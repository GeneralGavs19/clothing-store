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Реестр продаж" sheetId="1" r:id="rId4"/>
    <sheet name="По номенклатуре" sheetId="2" r:id="rId5"/>
    <sheet name="Категории и виды" sheetId="3" r:id="rId6"/>
    <sheet name="Динамика по дням" sheetId="4" r:id="rId7"/>
    <sheet name="Журнал чеков" sheetId="5" r:id="rId8"/>
    <sheet name="Выработка сотрудников" sheetId="6" r:id="rId9"/>
    <sheet name="Справка об учете" sheetId="7" r:id="rId10"/>
  </sheets>
  <definedNames>
    <definedName name="_xlnm._FilterDatabase" localSheetId="0" hidden="1">'Реестр продаж'!$A$7:$AB$1548</definedName>
    <definedName name="_xlnm._FilterDatabase" localSheetId="1" hidden="1">'По номенклатуре'!$A$7:$P$191</definedName>
    <definedName name="_xlnm._FilterDatabase" localSheetId="2" hidden="1">'Категории и виды'!$A$7:$N$28</definedName>
    <definedName name="_xlnm._FilterDatabase" localSheetId="3" hidden="1">'Динамика по дням'!$A$7:$O$64</definedName>
    <definedName name="_xlnm._FilterDatabase" localSheetId="4" hidden="1">'Журнал чеков'!$A$7:$S$1548</definedName>
    <definedName name="_xlnm._FilterDatabase" localSheetId="5" hidden="1">'Выработка сотрудников'!$A$7:$M$9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<sst xmlns="http://schemas.openxmlformats.org/spreadsheetml/2006/main" uniqueCount="2324">
  <si>
    <t>РЕГИСТР НАКОПЛЕНИЯ: ПРОДАЖИ (ОПЕРАЦИОННЫЙ ЖУРНАЛ)</t>
  </si>
  <si>
    <t>Организация: Магазин детской одежды и школьной формы · Период: Все время · Сформирован: 31.10.2026 02:30:41</t>
  </si>
  <si>
    <t>№ п/п</t>
  </si>
  <si>
    <t>Документ (№ чека)</t>
  </si>
  <si>
    <t>Дата и время</t>
  </si>
  <si>
    <t>Период (Месяц)</t>
  </si>
  <si>
    <t>Тип операции</t>
  </si>
  <si>
    <t>Категория</t>
  </si>
  <si>
    <t>Вид изделия</t>
  </si>
  <si>
    <t>Номенклатура (Товар)</t>
  </si>
  <si>
    <t>Размер (Характеристика)</t>
  </si>
  <si>
    <t>Артикул (SKU)</t>
  </si>
  <si>
    <t>Цвет</t>
  </si>
  <si>
    <t>Кол-во, шт.</t>
  </si>
  <si>
    <t>Базовая цена ед., ₸</t>
  </si>
  <si>
    <t>Скидка ед., ₸</t>
  </si>
  <si>
    <t>Скидка, %</t>
  </si>
  <si>
    <t>Цена продажи ед., ₸</t>
  </si>
  <si>
    <t>Базовая сумма, ₸</t>
  </si>
  <si>
    <t>Сумма скидки, ₸</t>
  </si>
  <si>
    <t>Сумма выручки, ₸</t>
  </si>
  <si>
    <t>Себестоимость ед., ₸</t>
  </si>
  <si>
    <t>Себестоимость общ., ₸</t>
  </si>
  <si>
    <t>Валовая прибыль, ₸</t>
  </si>
  <si>
    <t>Рентабельность, %</t>
  </si>
  <si>
    <t>Кассир (Ответственный)</t>
  </si>
  <si>
    <t>Статус документа</t>
  </si>
  <si>
    <t>Статус заказа</t>
  </si>
  <si>
    <t>Срок исполнения</t>
  </si>
  <si>
    <t>Примечание кассира</t>
  </si>
  <si>
    <t>№93</t>
  </si>
  <si>
    <t>26.10.2026 14:53</t>
  </si>
  <si>
    <t>2026-10</t>
  </si>
  <si>
    <t>В наличии</t>
  </si>
  <si>
    <t>Старшие классы</t>
  </si>
  <si>
    <t>Поло</t>
  </si>
  <si>
    <t>Поло к/р</t>
  </si>
  <si>
    <t>POLO-KR-158-1</t>
  </si>
  <si>
    <t>Синий</t>
  </si>
  <si>
    <t>Админ</t>
  </si>
  <si>
    <t>Оформлен</t>
  </si>
  <si>
    <t>Выдан сразу</t>
  </si>
  <si>
    <t>—</t>
  </si>
  <si>
    <t>№72</t>
  </si>
  <si>
    <t>26.10.2026 14:32</t>
  </si>
  <si>
    <t>Худи</t>
  </si>
  <si>
    <t>худи</t>
  </si>
  <si>
    <t>XUDI-158</t>
  </si>
  <si>
    <t>№69</t>
  </si>
  <si>
    <t>26.10.2026 14:28</t>
  </si>
  <si>
    <t>Начальные классы</t>
  </si>
  <si>
    <t>Футболка</t>
  </si>
  <si>
    <t>FUTBOLKA-170-1</t>
  </si>
  <si>
    <t>Голубой</t>
  </si>
  <si>
    <t>№54</t>
  </si>
  <si>
    <t>25.10.2026 00:29</t>
  </si>
  <si>
    <t>Шорты</t>
  </si>
  <si>
    <t>SORTY-164</t>
  </si>
  <si>
    <t>Store Admin</t>
  </si>
  <si>
    <t>№53</t>
  </si>
  <si>
    <t>25.10.2026 00:28</t>
  </si>
  <si>
    <t>FUTBOLKA-164</t>
  </si>
  <si>
    <t>№52</t>
  </si>
  <si>
    <t>Брюки</t>
  </si>
  <si>
    <t>Брюки спортивные</t>
  </si>
  <si>
    <t>BRIUKI-SPORTIVNYE-164</t>
  </si>
  <si>
    <t>№51</t>
  </si>
  <si>
    <t>25.10.2026 00:27</t>
  </si>
  <si>
    <t>📦 Под заказ</t>
  </si>
  <si>
    <t>Бомбер</t>
  </si>
  <si>
    <t>BOMBER-164</t>
  </si>
  <si>
    <t>Новый</t>
  </si>
  <si>
    <t>№50</t>
  </si>
  <si>
    <t>Поло д/р</t>
  </si>
  <si>
    <t>POLO-DR-164</t>
  </si>
  <si>
    <t>№49</t>
  </si>
  <si>
    <t>25.10.2026 00:26</t>
  </si>
  <si>
    <t>POLO-KR-164</t>
  </si>
  <si>
    <t>№48</t>
  </si>
  <si>
    <t>SORTY-116</t>
  </si>
  <si>
    <t>№47</t>
  </si>
  <si>
    <t>25.10.2026 00:25</t>
  </si>
  <si>
    <t>FUTBOLKA-122</t>
  </si>
  <si>
    <t>№46</t>
  </si>
  <si>
    <t>BRIUKI-SPORTIVNYE-116</t>
  </si>
  <si>
    <t>№45</t>
  </si>
  <si>
    <t>25.10.2026 00:18</t>
  </si>
  <si>
    <t>BOMBER-116</t>
  </si>
  <si>
    <t>№44</t>
  </si>
  <si>
    <t>POLO-DR-116</t>
  </si>
  <si>
    <t>№43</t>
  </si>
  <si>
    <t>25.10.2026 00:17</t>
  </si>
  <si>
    <t>POLO-KR-116</t>
  </si>
  <si>
    <t>№42</t>
  </si>
  <si>
    <t>Футболка спортивная</t>
  </si>
  <si>
    <t>FUTBOLKA-SPORTIVNAIA-122</t>
  </si>
  <si>
    <t>голубой</t>
  </si>
  <si>
    <t>№41</t>
  </si>
  <si>
    <t>25.10.2026 00:16</t>
  </si>
  <si>
    <t>BOMBER-122</t>
  </si>
  <si>
    <t>№40</t>
  </si>
  <si>
    <t>25.10.2026 00:15</t>
  </si>
  <si>
    <t>POLO-DR-122</t>
  </si>
  <si>
    <t>№39</t>
  </si>
  <si>
    <t>25.10.2026 00:14</t>
  </si>
  <si>
    <t>POLO-KR-122</t>
  </si>
  <si>
    <t>№38</t>
  </si>
  <si>
    <t>25.10.2026 00:13</t>
  </si>
  <si>
    <t>BOMBER-158</t>
  </si>
  <si>
    <t>№37</t>
  </si>
  <si>
    <t>BOMBER-128</t>
  </si>
  <si>
    <t>№36</t>
  </si>
  <si>
    <t>25.10.2026 00:12</t>
  </si>
  <si>
    <t>SORTY-122</t>
  </si>
  <si>
    <t>№35</t>
  </si>
  <si>
    <t>25.10.2026 00:11</t>
  </si>
  <si>
    <t>BRIUKI-SPORTIVNYE-128</t>
  </si>
  <si>
    <t>№34</t>
  </si>
  <si>
    <t>25.10.2026 00:10</t>
  </si>
  <si>
    <t>№28</t>
  </si>
  <si>
    <t>24.10.2026 19:08</t>
  </si>
  <si>
    <t>№27</t>
  </si>
  <si>
    <t>FUTBOLKA-158-1</t>
  </si>
  <si>
    <t>№26</t>
  </si>
  <si>
    <t>24.10.2026 19:07</t>
  </si>
  <si>
    <t>FUTBOLKA-158</t>
  </si>
  <si>
    <t>№25</t>
  </si>
  <si>
    <t>24.10.2026 19:06</t>
  </si>
  <si>
    <t>SORTY-158</t>
  </si>
  <si>
    <t>№24</t>
  </si>
  <si>
    <t>POLO-KR-158</t>
  </si>
  <si>
    <t>№23</t>
  </si>
  <si>
    <t>24.10.2026 19:05</t>
  </si>
  <si>
    <t>Без категории</t>
  </si>
  <si>
    <t>XUDI-128</t>
  </si>
  <si>
    <t>№22</t>
  </si>
  <si>
    <t>24.10.2026 19:04</t>
  </si>
  <si>
    <t>№21</t>
  </si>
  <si>
    <t>№1578</t>
  </si>
  <si>
    <t>08.10.2026 12:00</t>
  </si>
  <si>
    <t>XUDI-146-1</t>
  </si>
  <si>
    <t>№1577</t>
  </si>
  <si>
    <t>POLO-KR-170</t>
  </si>
  <si>
    <t>Новый завоз</t>
  </si>
  <si>
    <t>№1576</t>
  </si>
  <si>
    <t>№1575</t>
  </si>
  <si>
    <t>POLO-DR-134</t>
  </si>
  <si>
    <t>№1574</t>
  </si>
  <si>
    <t>Брюки.спорт</t>
  </si>
  <si>
    <t>BRIUKISPORT-170</t>
  </si>
  <si>
    <t>№1573</t>
  </si>
  <si>
    <t>POLO-KR-152</t>
  </si>
  <si>
    <t>№1572</t>
  </si>
  <si>
    <t>Полузамок</t>
  </si>
  <si>
    <t>POLUZAMOK-134</t>
  </si>
  <si>
    <t>№1571</t>
  </si>
  <si>
    <t>POLO-KR-128</t>
  </si>
  <si>
    <t>№1570</t>
  </si>
  <si>
    <t>Шапки</t>
  </si>
  <si>
    <t>Шапка</t>
  </si>
  <si>
    <t>SAPKA-128-5</t>
  </si>
  <si>
    <t>№1569</t>
  </si>
  <si>
    <t>Полузамок мерч</t>
  </si>
  <si>
    <t>POLUZAMOK-MERC-122</t>
  </si>
  <si>
    <t>№1568</t>
  </si>
  <si>
    <t>BRIUKISPORT-128</t>
  </si>
  <si>
    <t>№1567</t>
  </si>
  <si>
    <t>BRIUKISPORT-146</t>
  </si>
  <si>
    <t>№1566</t>
  </si>
  <si>
    <t>BRIUKISPORT-188</t>
  </si>
  <si>
    <t>№1565</t>
  </si>
  <si>
    <t>№1564</t>
  </si>
  <si>
    <t>Олимпийка мерч</t>
  </si>
  <si>
    <t>OLIMPIIKA-MERC-134</t>
  </si>
  <si>
    <t>№1563</t>
  </si>
  <si>
    <t>FUTBOLKA-134</t>
  </si>
  <si>
    <t>№1562</t>
  </si>
  <si>
    <t>POLO-KR-134-1</t>
  </si>
  <si>
    <t>№1561</t>
  </si>
  <si>
    <t>BOMBER-170</t>
  </si>
  <si>
    <t>№1560</t>
  </si>
  <si>
    <t>XUDI-170</t>
  </si>
  <si>
    <t>№1559</t>
  </si>
  <si>
    <t>XUDI-128-1</t>
  </si>
  <si>
    <t>№1558</t>
  </si>
  <si>
    <t>POLO-DR-128</t>
  </si>
  <si>
    <t>№1557</t>
  </si>
  <si>
    <t>POLO-DR-164-1</t>
  </si>
  <si>
    <t>№1556</t>
  </si>
  <si>
    <t>№1555</t>
  </si>
  <si>
    <t>№1554</t>
  </si>
  <si>
    <t>SAPKA-128-4</t>
  </si>
  <si>
    <t>№1553</t>
  </si>
  <si>
    <t>№1552</t>
  </si>
  <si>
    <t>№1551</t>
  </si>
  <si>
    <t>BRIUKISPORT-152-1</t>
  </si>
  <si>
    <t>№1550</t>
  </si>
  <si>
    <t>27.09.2026 12:00</t>
  </si>
  <si>
    <t>2026-09</t>
  </si>
  <si>
    <t>№1549</t>
  </si>
  <si>
    <t>№1548</t>
  </si>
  <si>
    <t>SAPKA-128-3</t>
  </si>
  <si>
    <t>№1547</t>
  </si>
  <si>
    <t>BOMBER-176</t>
  </si>
  <si>
    <t>№1546</t>
  </si>
  <si>
    <t>№1545</t>
  </si>
  <si>
    <t>№1544</t>
  </si>
  <si>
    <t>BOMBER-152</t>
  </si>
  <si>
    <t>№1542</t>
  </si>
  <si>
    <t>BOMBER-134</t>
  </si>
  <si>
    <t>№1541</t>
  </si>
  <si>
    <t>№1540</t>
  </si>
  <si>
    <t>SORTY-170</t>
  </si>
  <si>
    <t>№1539</t>
  </si>
  <si>
    <t>№1538</t>
  </si>
  <si>
    <t>№1537</t>
  </si>
  <si>
    <t>№1536</t>
  </si>
  <si>
    <t>BRIUKISPORT-158</t>
  </si>
  <si>
    <t>№1535</t>
  </si>
  <si>
    <t>№1534</t>
  </si>
  <si>
    <t>№1533</t>
  </si>
  <si>
    <t>BRIUKISPORT-140</t>
  </si>
  <si>
    <t>№1532</t>
  </si>
  <si>
    <t>POLO-KR-140</t>
  </si>
  <si>
    <t>№1531</t>
  </si>
  <si>
    <t>BOMBER-140-1</t>
  </si>
  <si>
    <t>№1530</t>
  </si>
  <si>
    <t>№1529</t>
  </si>
  <si>
    <t>BRIUKISPORT-110</t>
  </si>
  <si>
    <t>№1528</t>
  </si>
  <si>
    <t>FUTBOLKA-110</t>
  </si>
  <si>
    <t>№1527</t>
  </si>
  <si>
    <t>№1526</t>
  </si>
  <si>
    <t>BRIUKISPORT-176</t>
  </si>
  <si>
    <t>№1525</t>
  </si>
  <si>
    <t>№1524</t>
  </si>
  <si>
    <t>№1523</t>
  </si>
  <si>
    <t>Брюки палаццо</t>
  </si>
  <si>
    <t>BRIUKI-PALACCO-146</t>
  </si>
  <si>
    <t>№1522</t>
  </si>
  <si>
    <t>№1521</t>
  </si>
  <si>
    <t>BRIUKISPORT-122</t>
  </si>
  <si>
    <t>№1520</t>
  </si>
  <si>
    <t>№1519</t>
  </si>
  <si>
    <t>№1518</t>
  </si>
  <si>
    <t>№1517</t>
  </si>
  <si>
    <t>BRIUKISPORT-134</t>
  </si>
  <si>
    <t>№1516</t>
  </si>
  <si>
    <t>№1515</t>
  </si>
  <si>
    <t>№1514</t>
  </si>
  <si>
    <t>№1513</t>
  </si>
  <si>
    <t>BRIUKISPORT-152</t>
  </si>
  <si>
    <t>№1512</t>
  </si>
  <si>
    <t>№1511</t>
  </si>
  <si>
    <t>FUTBOLKA-146</t>
  </si>
  <si>
    <t>№1510</t>
  </si>
  <si>
    <t>№1509</t>
  </si>
  <si>
    <t>POLO-KR-146</t>
  </si>
  <si>
    <t>№1508</t>
  </si>
  <si>
    <t>№1507</t>
  </si>
  <si>
    <t>BOMBER-158-1</t>
  </si>
  <si>
    <t>№1506</t>
  </si>
  <si>
    <t>POLO-DR-152-1</t>
  </si>
  <si>
    <t>№1505</t>
  </si>
  <si>
    <t>BOMBER-146</t>
  </si>
  <si>
    <t>№1503</t>
  </si>
  <si>
    <t>№1502</t>
  </si>
  <si>
    <t>№1501</t>
  </si>
  <si>
    <t>№1500</t>
  </si>
  <si>
    <t>№1499</t>
  </si>
  <si>
    <t>№1498</t>
  </si>
  <si>
    <t>№1497</t>
  </si>
  <si>
    <t>№1496</t>
  </si>
  <si>
    <t>№1495</t>
  </si>
  <si>
    <t>№1494</t>
  </si>
  <si>
    <t>Новый  завоз</t>
  </si>
  <si>
    <t>№1493</t>
  </si>
  <si>
    <t>SAPKA-128-2</t>
  </si>
  <si>
    <t>№1492</t>
  </si>
  <si>
    <t>FUTBOLKA-140</t>
  </si>
  <si>
    <t>№1491</t>
  </si>
  <si>
    <t>SORTY-134</t>
  </si>
  <si>
    <t>№1490</t>
  </si>
  <si>
    <t>Бомбер мерч</t>
  </si>
  <si>
    <t>BOMBER-MERC-140</t>
  </si>
  <si>
    <t>№1489</t>
  </si>
  <si>
    <t>№1488</t>
  </si>
  <si>
    <t>№1487</t>
  </si>
  <si>
    <t>№1486</t>
  </si>
  <si>
    <t>№1485</t>
  </si>
  <si>
    <t>№1484</t>
  </si>
  <si>
    <t>POLO-DR-158</t>
  </si>
  <si>
    <t>№1483</t>
  </si>
  <si>
    <t>№1482</t>
  </si>
  <si>
    <t>SAPKA-128-1</t>
  </si>
  <si>
    <t>№1481</t>
  </si>
  <si>
    <t>№1480</t>
  </si>
  <si>
    <t>№1479</t>
  </si>
  <si>
    <t>№1478</t>
  </si>
  <si>
    <t>№1477</t>
  </si>
  <si>
    <t>26.09.2026 12:00</t>
  </si>
  <si>
    <t>№1476</t>
  </si>
  <si>
    <t>FUTBOLKA-152-1</t>
  </si>
  <si>
    <t>№1475</t>
  </si>
  <si>
    <t>№1474</t>
  </si>
  <si>
    <t>№1473</t>
  </si>
  <si>
    <t>№1472</t>
  </si>
  <si>
    <t>№1471</t>
  </si>
  <si>
    <t>24.09.2026 12:00</t>
  </si>
  <si>
    <t>№1470</t>
  </si>
  <si>
    <t>№1469</t>
  </si>
  <si>
    <t>SORTY-152-1</t>
  </si>
  <si>
    <t>№1467</t>
  </si>
  <si>
    <t>SAPKA-128</t>
  </si>
  <si>
    <t>№1466</t>
  </si>
  <si>
    <t>№1465</t>
  </si>
  <si>
    <t>№1464</t>
  </si>
  <si>
    <t>№1463</t>
  </si>
  <si>
    <t>XUDI-164</t>
  </si>
  <si>
    <t>№1462</t>
  </si>
  <si>
    <t>№1461</t>
  </si>
  <si>
    <t>FUTBOLKA-182</t>
  </si>
  <si>
    <t>№1460</t>
  </si>
  <si>
    <t>№1459</t>
  </si>
  <si>
    <t>FUTBOLKA-146-2</t>
  </si>
  <si>
    <t>№1458</t>
  </si>
  <si>
    <t>№1457</t>
  </si>
  <si>
    <t>№1456</t>
  </si>
  <si>
    <t>23.09.2026 12:00</t>
  </si>
  <si>
    <t>SORTY-152</t>
  </si>
  <si>
    <t>№1455</t>
  </si>
  <si>
    <t>№1454</t>
  </si>
  <si>
    <t>SAPKA-110</t>
  </si>
  <si>
    <t>№1453</t>
  </si>
  <si>
    <t>№1452</t>
  </si>
  <si>
    <t>POLO-KR-182</t>
  </si>
  <si>
    <t>№1451</t>
  </si>
  <si>
    <t>№1450</t>
  </si>
  <si>
    <t>№1449</t>
  </si>
  <si>
    <t>№1448</t>
  </si>
  <si>
    <t>POLO-DR-146</t>
  </si>
  <si>
    <t>№1447</t>
  </si>
  <si>
    <t>№1446</t>
  </si>
  <si>
    <t>№1445</t>
  </si>
  <si>
    <t>№1444</t>
  </si>
  <si>
    <t>XUDI-152-1</t>
  </si>
  <si>
    <t>№1443</t>
  </si>
  <si>
    <t>№1442</t>
  </si>
  <si>
    <t>№1441</t>
  </si>
  <si>
    <t>22.09.2026 12:00</t>
  </si>
  <si>
    <t>BOMBER-152-1</t>
  </si>
  <si>
    <t>№1440</t>
  </si>
  <si>
    <t>POLO-KR-176</t>
  </si>
  <si>
    <t>№1439</t>
  </si>
  <si>
    <t>POLO-DR-182</t>
  </si>
  <si>
    <t>№1438</t>
  </si>
  <si>
    <t>№1437</t>
  </si>
  <si>
    <t>№1436</t>
  </si>
  <si>
    <t>SAPKA-0-2</t>
  </si>
  <si>
    <t>№1435</t>
  </si>
  <si>
    <t>№1434</t>
  </si>
  <si>
    <t>№1433</t>
  </si>
  <si>
    <t>№1432</t>
  </si>
  <si>
    <t>№1431</t>
  </si>
  <si>
    <t>№1430</t>
  </si>
  <si>
    <t>BRIUKISPORT-164</t>
  </si>
  <si>
    <t>№1429</t>
  </si>
  <si>
    <t>№1428</t>
  </si>
  <si>
    <t>POLO-KR-188</t>
  </si>
  <si>
    <t>№1427</t>
  </si>
  <si>
    <t>№1426</t>
  </si>
  <si>
    <t>№1425</t>
  </si>
  <si>
    <t>21.09.2026 12:00</t>
  </si>
  <si>
    <t>№1424</t>
  </si>
  <si>
    <t>№1423</t>
  </si>
  <si>
    <t>№1422</t>
  </si>
  <si>
    <t>XUDI-134</t>
  </si>
  <si>
    <t>№1421</t>
  </si>
  <si>
    <t>№1420</t>
  </si>
  <si>
    <t>№1419</t>
  </si>
  <si>
    <t>№1418</t>
  </si>
  <si>
    <t>20.09.2026 12:00</t>
  </si>
  <si>
    <t>BOMBER-146-1</t>
  </si>
  <si>
    <t>№1417</t>
  </si>
  <si>
    <t>№1416</t>
  </si>
  <si>
    <t>№1415</t>
  </si>
  <si>
    <t>SAPKA-0-3</t>
  </si>
  <si>
    <t>№1414</t>
  </si>
  <si>
    <t>№1413</t>
  </si>
  <si>
    <t>№1412</t>
  </si>
  <si>
    <t>FUTBOLKA-128</t>
  </si>
  <si>
    <t>№1411</t>
  </si>
  <si>
    <t>№1410</t>
  </si>
  <si>
    <t>№1409</t>
  </si>
  <si>
    <t>№1408</t>
  </si>
  <si>
    <t>№1407</t>
  </si>
  <si>
    <t>№1406</t>
  </si>
  <si>
    <t>№1405</t>
  </si>
  <si>
    <t>19.09.2026 12:00</t>
  </si>
  <si>
    <t>№1404</t>
  </si>
  <si>
    <t>№1403</t>
  </si>
  <si>
    <t>№1402</t>
  </si>
  <si>
    <t>FUTBOLKA-152</t>
  </si>
  <si>
    <t>№1401</t>
  </si>
  <si>
    <t>FUTBOLKA-164-1</t>
  </si>
  <si>
    <t>№1400</t>
  </si>
  <si>
    <t>№1399</t>
  </si>
  <si>
    <t>POLO-KR-164-1</t>
  </si>
  <si>
    <t>№1398</t>
  </si>
  <si>
    <t>SORTY-164-1</t>
  </si>
  <si>
    <t>№1397</t>
  </si>
  <si>
    <t>XUDI-152</t>
  </si>
  <si>
    <t>№1396</t>
  </si>
  <si>
    <t>№1395</t>
  </si>
  <si>
    <t>XUDI-140</t>
  </si>
  <si>
    <t>№1394</t>
  </si>
  <si>
    <t>№1393</t>
  </si>
  <si>
    <t>№1392</t>
  </si>
  <si>
    <t>FUTBOLKA-176</t>
  </si>
  <si>
    <t>№1391</t>
  </si>
  <si>
    <t>POLO-DR-176</t>
  </si>
  <si>
    <t>№1390</t>
  </si>
  <si>
    <t>BOMBER-182</t>
  </si>
  <si>
    <t>№1389</t>
  </si>
  <si>
    <t>XUDI-176</t>
  </si>
  <si>
    <t>№1388</t>
  </si>
  <si>
    <t>18.09.2026 12:00</t>
  </si>
  <si>
    <t>№1387</t>
  </si>
  <si>
    <t>17.09.2026 12:00</t>
  </si>
  <si>
    <t>№1386</t>
  </si>
  <si>
    <t>№1385</t>
  </si>
  <si>
    <t>Свитшот</t>
  </si>
  <si>
    <t>SVITSOT-152</t>
  </si>
  <si>
    <t>№1384</t>
  </si>
  <si>
    <t>BRIUKISPORT-158-1</t>
  </si>
  <si>
    <t>№1383</t>
  </si>
  <si>
    <t>№1382</t>
  </si>
  <si>
    <t>№1381</t>
  </si>
  <si>
    <t>№1380</t>
  </si>
  <si>
    <t>№1379</t>
  </si>
  <si>
    <t>16.09.2026 12:00</t>
  </si>
  <si>
    <t>XUDI-158-1</t>
  </si>
  <si>
    <t>№1378</t>
  </si>
  <si>
    <t>№1377</t>
  </si>
  <si>
    <t>Свитшот Мерч</t>
  </si>
  <si>
    <t>SVITSOT-MERC-140-1</t>
  </si>
  <si>
    <t>Новый завоз мерч</t>
  </si>
  <si>
    <t>№1376</t>
  </si>
  <si>
    <t>№1375</t>
  </si>
  <si>
    <t>№1374</t>
  </si>
  <si>
    <t>№1373</t>
  </si>
  <si>
    <t>№1372</t>
  </si>
  <si>
    <t>№1371</t>
  </si>
  <si>
    <t>№1370</t>
  </si>
  <si>
    <t>№1369</t>
  </si>
  <si>
    <t>№1368</t>
  </si>
  <si>
    <t>№1367</t>
  </si>
  <si>
    <t>15.09.2026 12:00</t>
  </si>
  <si>
    <t>№1366</t>
  </si>
  <si>
    <t>№1365</t>
  </si>
  <si>
    <t>№1364</t>
  </si>
  <si>
    <t>№1363</t>
  </si>
  <si>
    <t>№1362</t>
  </si>
  <si>
    <t>№1361</t>
  </si>
  <si>
    <t>FUTBOLKA-116</t>
  </si>
  <si>
    <t>№1360</t>
  </si>
  <si>
    <t>№1359</t>
  </si>
  <si>
    <t>№1358</t>
  </si>
  <si>
    <t>SAPKA-0-1</t>
  </si>
  <si>
    <t>№1357</t>
  </si>
  <si>
    <t>№1356</t>
  </si>
  <si>
    <t>№1355</t>
  </si>
  <si>
    <t>14.09.2026 12:00</t>
  </si>
  <si>
    <t>SAPKA-0</t>
  </si>
  <si>
    <t>№1354</t>
  </si>
  <si>
    <t>№1353</t>
  </si>
  <si>
    <t>XUDI-122</t>
  </si>
  <si>
    <t>№1352</t>
  </si>
  <si>
    <t>№1351</t>
  </si>
  <si>
    <t>№1350</t>
  </si>
  <si>
    <t>№1349</t>
  </si>
  <si>
    <t>№1348</t>
  </si>
  <si>
    <t>№1347</t>
  </si>
  <si>
    <t>№1346</t>
  </si>
  <si>
    <t>№1345</t>
  </si>
  <si>
    <t>№1344</t>
  </si>
  <si>
    <t>№1343</t>
  </si>
  <si>
    <t>13.09.2026 12:00</t>
  </si>
  <si>
    <t>№1342</t>
  </si>
  <si>
    <t>№1341</t>
  </si>
  <si>
    <t>№1340</t>
  </si>
  <si>
    <t>№1339</t>
  </si>
  <si>
    <t>BOMBER-134-1</t>
  </si>
  <si>
    <t>№1338</t>
  </si>
  <si>
    <t>№1337</t>
  </si>
  <si>
    <t>№1336</t>
  </si>
  <si>
    <t>12.09.2026 12:00</t>
  </si>
  <si>
    <t>№1335</t>
  </si>
  <si>
    <t>№1334</t>
  </si>
  <si>
    <t>№1333</t>
  </si>
  <si>
    <t>№1332</t>
  </si>
  <si>
    <t>№1331</t>
  </si>
  <si>
    <t>№1330</t>
  </si>
  <si>
    <t>№1329</t>
  </si>
  <si>
    <t>№1328</t>
  </si>
  <si>
    <t>№1327</t>
  </si>
  <si>
    <t>№1326</t>
  </si>
  <si>
    <t>№1325</t>
  </si>
  <si>
    <t>№1324</t>
  </si>
  <si>
    <t>11.09.2026 12:00</t>
  </si>
  <si>
    <t>№1323</t>
  </si>
  <si>
    <t>№1322</t>
  </si>
  <si>
    <t>XUDI-188</t>
  </si>
  <si>
    <t>№1321</t>
  </si>
  <si>
    <t>№1320</t>
  </si>
  <si>
    <t>09.09.2026 12:00</t>
  </si>
  <si>
    <t>№1319</t>
  </si>
  <si>
    <t>08.09.2026 12:00</t>
  </si>
  <si>
    <t>№1318</t>
  </si>
  <si>
    <t>№1317</t>
  </si>
  <si>
    <t>№1316</t>
  </si>
  <si>
    <t>№1315</t>
  </si>
  <si>
    <t>07.09.2026 12:00</t>
  </si>
  <si>
    <t>№1314</t>
  </si>
  <si>
    <t>№1313</t>
  </si>
  <si>
    <t>№1312</t>
  </si>
  <si>
    <t>№1311</t>
  </si>
  <si>
    <t>№1310</t>
  </si>
  <si>
    <t>POLO-KR-146-1</t>
  </si>
  <si>
    <t>№1309</t>
  </si>
  <si>
    <t>06.09.2026 12:00</t>
  </si>
  <si>
    <t>№1308</t>
  </si>
  <si>
    <t>№1307</t>
  </si>
  <si>
    <t>POLO-DR-158-1</t>
  </si>
  <si>
    <t>№1306</t>
  </si>
  <si>
    <t>№1305</t>
  </si>
  <si>
    <t>№1304</t>
  </si>
  <si>
    <t>№1303</t>
  </si>
  <si>
    <t>№1302</t>
  </si>
  <si>
    <t>№1301</t>
  </si>
  <si>
    <t>№1300</t>
  </si>
  <si>
    <t>05.09.2026 12:00</t>
  </si>
  <si>
    <t>№1299</t>
  </si>
  <si>
    <t>№1298</t>
  </si>
  <si>
    <t>№1297</t>
  </si>
  <si>
    <t>№1296</t>
  </si>
  <si>
    <t>№1295</t>
  </si>
  <si>
    <t>№1294</t>
  </si>
  <si>
    <t>04.09.2026 12:00</t>
  </si>
  <si>
    <t>№1293</t>
  </si>
  <si>
    <t>№1292</t>
  </si>
  <si>
    <t>№1291</t>
  </si>
  <si>
    <t>№1290</t>
  </si>
  <si>
    <t>№1289</t>
  </si>
  <si>
    <t>№1288</t>
  </si>
  <si>
    <t>№1287</t>
  </si>
  <si>
    <t>№1286</t>
  </si>
  <si>
    <t>№1285</t>
  </si>
  <si>
    <t>XUDI-194</t>
  </si>
  <si>
    <t>№1284</t>
  </si>
  <si>
    <t>03.09.2026 12:00</t>
  </si>
  <si>
    <t>№1283</t>
  </si>
  <si>
    <t>№1282</t>
  </si>
  <si>
    <t>№1281</t>
  </si>
  <si>
    <t>№1280</t>
  </si>
  <si>
    <t>№1279</t>
  </si>
  <si>
    <t>№1278</t>
  </si>
  <si>
    <t>Шапка мерч</t>
  </si>
  <si>
    <t>SAPKA-MERC-0</t>
  </si>
  <si>
    <t>№1277</t>
  </si>
  <si>
    <t>POLO-DR-140</t>
  </si>
  <si>
    <t>№1276</t>
  </si>
  <si>
    <t>№1275</t>
  </si>
  <si>
    <t>№1274</t>
  </si>
  <si>
    <t>№1273</t>
  </si>
  <si>
    <t>№1272</t>
  </si>
  <si>
    <t>№1271</t>
  </si>
  <si>
    <t>SORTY-128</t>
  </si>
  <si>
    <t>№1270</t>
  </si>
  <si>
    <t>№1269</t>
  </si>
  <si>
    <t>№1268</t>
  </si>
  <si>
    <t>№1267</t>
  </si>
  <si>
    <t>№1266</t>
  </si>
  <si>
    <t>№1265</t>
  </si>
  <si>
    <t>№1264</t>
  </si>
  <si>
    <t>№1263</t>
  </si>
  <si>
    <t>№1262</t>
  </si>
  <si>
    <t>№1261</t>
  </si>
  <si>
    <t>№1260</t>
  </si>
  <si>
    <t>№1259</t>
  </si>
  <si>
    <t>№1258</t>
  </si>
  <si>
    <t>№1257</t>
  </si>
  <si>
    <t>02.09.2026 12:00</t>
  </si>
  <si>
    <t>№1256</t>
  </si>
  <si>
    <t>XUDI-116</t>
  </si>
  <si>
    <t>№1255</t>
  </si>
  <si>
    <t>№1254</t>
  </si>
  <si>
    <t>SORTY-140</t>
  </si>
  <si>
    <t>№1253</t>
  </si>
  <si>
    <t>Свитшот мерч</t>
  </si>
  <si>
    <t>SVITSOT-MERC-140</t>
  </si>
  <si>
    <t>№1252</t>
  </si>
  <si>
    <t>№1251</t>
  </si>
  <si>
    <t>№1250</t>
  </si>
  <si>
    <t>№1249</t>
  </si>
  <si>
    <t>POLO-DR-152</t>
  </si>
  <si>
    <t>№1248</t>
  </si>
  <si>
    <t>№1247</t>
  </si>
  <si>
    <t>Шапка KIS</t>
  </si>
  <si>
    <t>SAPKA-KIS-0</t>
  </si>
  <si>
    <t>№1246</t>
  </si>
  <si>
    <t>№1245</t>
  </si>
  <si>
    <t>№1244</t>
  </si>
  <si>
    <t>№1243</t>
  </si>
  <si>
    <t>№1242</t>
  </si>
  <si>
    <t>№1241</t>
  </si>
  <si>
    <t>№1240</t>
  </si>
  <si>
    <t>№1239</t>
  </si>
  <si>
    <t>№1238</t>
  </si>
  <si>
    <t>№1237</t>
  </si>
  <si>
    <t>№1236</t>
  </si>
  <si>
    <t>№1235</t>
  </si>
  <si>
    <t>№1234</t>
  </si>
  <si>
    <t>№1233</t>
  </si>
  <si>
    <t>№1232</t>
  </si>
  <si>
    <t>№1231</t>
  </si>
  <si>
    <t>№1230</t>
  </si>
  <si>
    <t>№1229</t>
  </si>
  <si>
    <t>№1228</t>
  </si>
  <si>
    <t>№1227</t>
  </si>
  <si>
    <t>01.09.2026 12:00</t>
  </si>
  <si>
    <t>№1226</t>
  </si>
  <si>
    <t>POLO-DR-146-1</t>
  </si>
  <si>
    <t>№1225</t>
  </si>
  <si>
    <t>№1224</t>
  </si>
  <si>
    <t>№1223</t>
  </si>
  <si>
    <t>№1222</t>
  </si>
  <si>
    <t>№1221</t>
  </si>
  <si>
    <t>№1220</t>
  </si>
  <si>
    <t>№1219</t>
  </si>
  <si>
    <t>№1218</t>
  </si>
  <si>
    <t>№1217</t>
  </si>
  <si>
    <t>POLO-KR-170-1</t>
  </si>
  <si>
    <t>№1216</t>
  </si>
  <si>
    <t>№1215</t>
  </si>
  <si>
    <t>POLO-DR-170-1</t>
  </si>
  <si>
    <t>№1214</t>
  </si>
  <si>
    <t>№1213</t>
  </si>
  <si>
    <t>POLO-DR-170</t>
  </si>
  <si>
    <t>№1212</t>
  </si>
  <si>
    <t>№1211</t>
  </si>
  <si>
    <t>31.08.2026 12:00</t>
  </si>
  <si>
    <t>2026-08</t>
  </si>
  <si>
    <t>№1210</t>
  </si>
  <si>
    <t>№1209</t>
  </si>
  <si>
    <t>SORTY-182</t>
  </si>
  <si>
    <t>№1208</t>
  </si>
  <si>
    <t>№1207</t>
  </si>
  <si>
    <t>№1206</t>
  </si>
  <si>
    <t>№1204</t>
  </si>
  <si>
    <t>29.08.2026 12:00</t>
  </si>
  <si>
    <t>№1203</t>
  </si>
  <si>
    <t>№1202</t>
  </si>
  <si>
    <t>№1201</t>
  </si>
  <si>
    <t>№1200</t>
  </si>
  <si>
    <t>SORTY-176</t>
  </si>
  <si>
    <t>№1199</t>
  </si>
  <si>
    <t>FUTBOLKA-182-1</t>
  </si>
  <si>
    <t>№1198</t>
  </si>
  <si>
    <t>№1197</t>
  </si>
  <si>
    <t>№1196</t>
  </si>
  <si>
    <t>№1195</t>
  </si>
  <si>
    <t>№1194</t>
  </si>
  <si>
    <t>№1193</t>
  </si>
  <si>
    <t>№1192</t>
  </si>
  <si>
    <t>№1191</t>
  </si>
  <si>
    <t>№1190</t>
  </si>
  <si>
    <t>№1189</t>
  </si>
  <si>
    <t>28.08.2026 12:00</t>
  </si>
  <si>
    <t>№1188</t>
  </si>
  <si>
    <t>FUTBOLKA-140-1</t>
  </si>
  <si>
    <t>№1187</t>
  </si>
  <si>
    <t>№1186</t>
  </si>
  <si>
    <t>№1185</t>
  </si>
  <si>
    <t>№1184</t>
  </si>
  <si>
    <t>POLO-KR-110-1</t>
  </si>
  <si>
    <t>№1183</t>
  </si>
  <si>
    <t>№1182</t>
  </si>
  <si>
    <t>№1181</t>
  </si>
  <si>
    <t>№1180</t>
  </si>
  <si>
    <t>№1179</t>
  </si>
  <si>
    <t>№1178</t>
  </si>
  <si>
    <t>№1177</t>
  </si>
  <si>
    <t>№1176</t>
  </si>
  <si>
    <t>№1175</t>
  </si>
  <si>
    <t>POLO-KR-176-1</t>
  </si>
  <si>
    <t>№1174</t>
  </si>
  <si>
    <t>№1173</t>
  </si>
  <si>
    <t>26.08.2026 12:00</t>
  </si>
  <si>
    <t>SORTY-170-1</t>
  </si>
  <si>
    <t>№1172</t>
  </si>
  <si>
    <t>POLO-KR-182-1</t>
  </si>
  <si>
    <t>№1171</t>
  </si>
  <si>
    <t>№1170</t>
  </si>
  <si>
    <t>№1169</t>
  </si>
  <si>
    <t>№1168</t>
  </si>
  <si>
    <t>№1167</t>
  </si>
  <si>
    <t>XUDI-146</t>
  </si>
  <si>
    <t>№1166</t>
  </si>
  <si>
    <t>№1165</t>
  </si>
  <si>
    <t>POLO-DR-140-1</t>
  </si>
  <si>
    <t>№1164</t>
  </si>
  <si>
    <t>№1163</t>
  </si>
  <si>
    <t>№1162</t>
  </si>
  <si>
    <t>№1161</t>
  </si>
  <si>
    <t>№1160</t>
  </si>
  <si>
    <t>№1159</t>
  </si>
  <si>
    <t>№1158</t>
  </si>
  <si>
    <t>№1157</t>
  </si>
  <si>
    <t>№1156</t>
  </si>
  <si>
    <t>POLO-DR-128-1</t>
  </si>
  <si>
    <t>№1155</t>
  </si>
  <si>
    <t>POLO-KR-134</t>
  </si>
  <si>
    <t>№1154</t>
  </si>
  <si>
    <t>FUTBOLKA-128-1</t>
  </si>
  <si>
    <t>№1153</t>
  </si>
  <si>
    <t>POLO-KR-152-1</t>
  </si>
  <si>
    <t>№1152</t>
  </si>
  <si>
    <t>№1151</t>
  </si>
  <si>
    <t>№1150</t>
  </si>
  <si>
    <t>№1149</t>
  </si>
  <si>
    <t>№1148</t>
  </si>
  <si>
    <t>№1147</t>
  </si>
  <si>
    <t>№1146</t>
  </si>
  <si>
    <t>FUTBOLKA-194</t>
  </si>
  <si>
    <t>№1145</t>
  </si>
  <si>
    <t>№1144</t>
  </si>
  <si>
    <t>№1143</t>
  </si>
  <si>
    <t>№1142</t>
  </si>
  <si>
    <t>BRIUKISPORT-182</t>
  </si>
  <si>
    <t>№1141</t>
  </si>
  <si>
    <t>№1140</t>
  </si>
  <si>
    <t>халык</t>
  </si>
  <si>
    <t>№1139</t>
  </si>
  <si>
    <t>25.08.2026 12:00</t>
  </si>
  <si>
    <t>№1138</t>
  </si>
  <si>
    <t>№1137</t>
  </si>
  <si>
    <t>№1136</t>
  </si>
  <si>
    <t>№1135</t>
  </si>
  <si>
    <t>№1134</t>
  </si>
  <si>
    <t>№1133</t>
  </si>
  <si>
    <t>SORTY-146</t>
  </si>
  <si>
    <t>№1132</t>
  </si>
  <si>
    <t>№1131</t>
  </si>
  <si>
    <t>№1130</t>
  </si>
  <si>
    <t>№1129</t>
  </si>
  <si>
    <t>№1128</t>
  </si>
  <si>
    <t>№1127</t>
  </si>
  <si>
    <t>№1125</t>
  </si>
  <si>
    <t>24.08.2026 12:00</t>
  </si>
  <si>
    <t>№1124</t>
  </si>
  <si>
    <t>№1123</t>
  </si>
  <si>
    <t>№1122</t>
  </si>
  <si>
    <t>№1121</t>
  </si>
  <si>
    <t>№1120</t>
  </si>
  <si>
    <t>№1119</t>
  </si>
  <si>
    <t>№1118</t>
  </si>
  <si>
    <t>№1117</t>
  </si>
  <si>
    <t>BOMBER-110</t>
  </si>
  <si>
    <t>№1116</t>
  </si>
  <si>
    <t>XUDI-110</t>
  </si>
  <si>
    <t>№1115</t>
  </si>
  <si>
    <t>POLO-DR-110</t>
  </si>
  <si>
    <t>№1114</t>
  </si>
  <si>
    <t>№1113</t>
  </si>
  <si>
    <t>№1112</t>
  </si>
  <si>
    <t>№1111</t>
  </si>
  <si>
    <t>№1110</t>
  </si>
  <si>
    <t>№1109</t>
  </si>
  <si>
    <t>№1108</t>
  </si>
  <si>
    <t>№1107</t>
  </si>
  <si>
    <t>№1106</t>
  </si>
  <si>
    <t>№1105</t>
  </si>
  <si>
    <t>№1104</t>
  </si>
  <si>
    <t>№1103</t>
  </si>
  <si>
    <t>№1102</t>
  </si>
  <si>
    <t>№1101</t>
  </si>
  <si>
    <t>XUDI-170-1</t>
  </si>
  <si>
    <t>№1100</t>
  </si>
  <si>
    <t>BRIUKISPORT-176-1</t>
  </si>
  <si>
    <t>№1099</t>
  </si>
  <si>
    <t>SORTY-158-1</t>
  </si>
  <si>
    <t>№1098</t>
  </si>
  <si>
    <t>№1097</t>
  </si>
  <si>
    <t>№1096</t>
  </si>
  <si>
    <t>№1095</t>
  </si>
  <si>
    <t>№1094</t>
  </si>
  <si>
    <t>№1093</t>
  </si>
  <si>
    <t>№1092</t>
  </si>
  <si>
    <t>22.08.2026 12:00</t>
  </si>
  <si>
    <t>№1091</t>
  </si>
  <si>
    <t>№1090</t>
  </si>
  <si>
    <t>№1089</t>
  </si>
  <si>
    <t>№1088</t>
  </si>
  <si>
    <t>№1087</t>
  </si>
  <si>
    <t>№1086</t>
  </si>
  <si>
    <t>№1085</t>
  </si>
  <si>
    <t>XUDI-182</t>
  </si>
  <si>
    <t>№1084</t>
  </si>
  <si>
    <t>№1083</t>
  </si>
  <si>
    <t>№1082</t>
  </si>
  <si>
    <t>№1081</t>
  </si>
  <si>
    <t>№1080</t>
  </si>
  <si>
    <t>№1079</t>
  </si>
  <si>
    <t>№1078</t>
  </si>
  <si>
    <t>№1077</t>
  </si>
  <si>
    <t>№1076</t>
  </si>
  <si>
    <t>№1075</t>
  </si>
  <si>
    <t>№1074</t>
  </si>
  <si>
    <t>№1073</t>
  </si>
  <si>
    <t>№1072</t>
  </si>
  <si>
    <t>№1071</t>
  </si>
  <si>
    <t>№1070</t>
  </si>
  <si>
    <t>№1069</t>
  </si>
  <si>
    <t>№1068</t>
  </si>
  <si>
    <t>№1067</t>
  </si>
  <si>
    <t>№1066</t>
  </si>
  <si>
    <t>№1065</t>
  </si>
  <si>
    <t>21.08.2026 12:00</t>
  </si>
  <si>
    <t>№1064</t>
  </si>
  <si>
    <t>№1063</t>
  </si>
  <si>
    <t>№1062</t>
  </si>
  <si>
    <t>№1061</t>
  </si>
  <si>
    <t>№1060</t>
  </si>
  <si>
    <t>№1059</t>
  </si>
  <si>
    <t>№1058</t>
  </si>
  <si>
    <t>№1057</t>
  </si>
  <si>
    <t>№1056</t>
  </si>
  <si>
    <t>№1055</t>
  </si>
  <si>
    <t>№1054</t>
  </si>
  <si>
    <t>№1053</t>
  </si>
  <si>
    <t>№1052</t>
  </si>
  <si>
    <t>№1051</t>
  </si>
  <si>
    <t>17.08.2026 12:00</t>
  </si>
  <si>
    <t>№1050</t>
  </si>
  <si>
    <t>№1049</t>
  </si>
  <si>
    <t>№1048</t>
  </si>
  <si>
    <t>№1047</t>
  </si>
  <si>
    <t>SORTY-146-1</t>
  </si>
  <si>
    <t>№1046</t>
  </si>
  <si>
    <t>№1045</t>
  </si>
  <si>
    <t>№1044</t>
  </si>
  <si>
    <t>№1043</t>
  </si>
  <si>
    <t>№1042</t>
  </si>
  <si>
    <t>№1041</t>
  </si>
  <si>
    <t>№1040</t>
  </si>
  <si>
    <t>№1039</t>
  </si>
  <si>
    <t>№1038</t>
  </si>
  <si>
    <t>№1037</t>
  </si>
  <si>
    <t>№1036</t>
  </si>
  <si>
    <t>№1035</t>
  </si>
  <si>
    <t>№1034</t>
  </si>
  <si>
    <t>№1033</t>
  </si>
  <si>
    <t>№1032</t>
  </si>
  <si>
    <t>№1031</t>
  </si>
  <si>
    <t>№1030</t>
  </si>
  <si>
    <t>№1029</t>
  </si>
  <si>
    <t>№1028</t>
  </si>
  <si>
    <t>№1027</t>
  </si>
  <si>
    <t>№1026</t>
  </si>
  <si>
    <t>№1025</t>
  </si>
  <si>
    <t>№1024</t>
  </si>
  <si>
    <t>№1023</t>
  </si>
  <si>
    <t>№1022</t>
  </si>
  <si>
    <t>№1021</t>
  </si>
  <si>
    <t>№1020</t>
  </si>
  <si>
    <t>№1019</t>
  </si>
  <si>
    <t>№1018</t>
  </si>
  <si>
    <t>№1017</t>
  </si>
  <si>
    <t>№1016</t>
  </si>
  <si>
    <t>№1015</t>
  </si>
  <si>
    <t>№1014</t>
  </si>
  <si>
    <t>№1013</t>
  </si>
  <si>
    <t>№1012</t>
  </si>
  <si>
    <t>№1011</t>
  </si>
  <si>
    <t>№1010</t>
  </si>
  <si>
    <t>№1009</t>
  </si>
  <si>
    <t>№1008</t>
  </si>
  <si>
    <t>№1007</t>
  </si>
  <si>
    <t>№1006</t>
  </si>
  <si>
    <t>№1005</t>
  </si>
  <si>
    <t>№1004</t>
  </si>
  <si>
    <t>№1003</t>
  </si>
  <si>
    <t>№1002</t>
  </si>
  <si>
    <t>№1001</t>
  </si>
  <si>
    <t>№1000</t>
  </si>
  <si>
    <t>№999</t>
  </si>
  <si>
    <t>№998</t>
  </si>
  <si>
    <t>№997</t>
  </si>
  <si>
    <t>№996</t>
  </si>
  <si>
    <t>№995</t>
  </si>
  <si>
    <t>№994</t>
  </si>
  <si>
    <t>POLO-DR-188</t>
  </si>
  <si>
    <t>№993</t>
  </si>
  <si>
    <t>№992</t>
  </si>
  <si>
    <t>№991</t>
  </si>
  <si>
    <t>№990</t>
  </si>
  <si>
    <t>№989</t>
  </si>
  <si>
    <t>№988</t>
  </si>
  <si>
    <t>FUTBOLKA-188</t>
  </si>
  <si>
    <t>№987</t>
  </si>
  <si>
    <t>№986</t>
  </si>
  <si>
    <t>№985</t>
  </si>
  <si>
    <t>№984</t>
  </si>
  <si>
    <t>№983</t>
  </si>
  <si>
    <t>№982</t>
  </si>
  <si>
    <t>№981</t>
  </si>
  <si>
    <t>BOMBER-188</t>
  </si>
  <si>
    <t>№980</t>
  </si>
  <si>
    <t>№979</t>
  </si>
  <si>
    <t>№978</t>
  </si>
  <si>
    <t>№977</t>
  </si>
  <si>
    <t>№976</t>
  </si>
  <si>
    <t>№975</t>
  </si>
  <si>
    <t>№974</t>
  </si>
  <si>
    <t>№973</t>
  </si>
  <si>
    <t>№972</t>
  </si>
  <si>
    <t>№971</t>
  </si>
  <si>
    <t>№970</t>
  </si>
  <si>
    <t>№969</t>
  </si>
  <si>
    <t>№968</t>
  </si>
  <si>
    <t>№967</t>
  </si>
  <si>
    <t>№966</t>
  </si>
  <si>
    <t>№965</t>
  </si>
  <si>
    <t>№964</t>
  </si>
  <si>
    <t>№963</t>
  </si>
  <si>
    <t>№962</t>
  </si>
  <si>
    <t>№961</t>
  </si>
  <si>
    <t>№960</t>
  </si>
  <si>
    <t>№959</t>
  </si>
  <si>
    <t>№958</t>
  </si>
  <si>
    <t>№957</t>
  </si>
  <si>
    <t>№956</t>
  </si>
  <si>
    <t>№955</t>
  </si>
  <si>
    <t>№954</t>
  </si>
  <si>
    <t>№953</t>
  </si>
  <si>
    <t>№952</t>
  </si>
  <si>
    <t>№951</t>
  </si>
  <si>
    <t>№950</t>
  </si>
  <si>
    <t>№949</t>
  </si>
  <si>
    <t>№948</t>
  </si>
  <si>
    <t>№947</t>
  </si>
  <si>
    <t>№946</t>
  </si>
  <si>
    <t>15.08.2026 12:00</t>
  </si>
  <si>
    <t>№945</t>
  </si>
  <si>
    <t>№944</t>
  </si>
  <si>
    <t>№943</t>
  </si>
  <si>
    <t>SORTY-110</t>
  </si>
  <si>
    <t>№942</t>
  </si>
  <si>
    <t>№941</t>
  </si>
  <si>
    <t>№940</t>
  </si>
  <si>
    <t>№939</t>
  </si>
  <si>
    <t>№938</t>
  </si>
  <si>
    <t>№937</t>
  </si>
  <si>
    <t>№936</t>
  </si>
  <si>
    <t>№935</t>
  </si>
  <si>
    <t>№934</t>
  </si>
  <si>
    <t>№933</t>
  </si>
  <si>
    <t>№932</t>
  </si>
  <si>
    <t>№931</t>
  </si>
  <si>
    <t>№930</t>
  </si>
  <si>
    <t>№929</t>
  </si>
  <si>
    <t>№928</t>
  </si>
  <si>
    <t>№927</t>
  </si>
  <si>
    <t>№926</t>
  </si>
  <si>
    <t>№925</t>
  </si>
  <si>
    <t>№924</t>
  </si>
  <si>
    <t>№923</t>
  </si>
  <si>
    <t>№922</t>
  </si>
  <si>
    <t>№921</t>
  </si>
  <si>
    <t>№920</t>
  </si>
  <si>
    <t>№919</t>
  </si>
  <si>
    <t>№918</t>
  </si>
  <si>
    <t>№917</t>
  </si>
  <si>
    <t>№916</t>
  </si>
  <si>
    <t>№915</t>
  </si>
  <si>
    <t>№914</t>
  </si>
  <si>
    <t>№913</t>
  </si>
  <si>
    <t>№912</t>
  </si>
  <si>
    <t>№911</t>
  </si>
  <si>
    <t>№910</t>
  </si>
  <si>
    <t>№909</t>
  </si>
  <si>
    <t>№908</t>
  </si>
  <si>
    <t>№907</t>
  </si>
  <si>
    <t>№906</t>
  </si>
  <si>
    <t>№905</t>
  </si>
  <si>
    <t>№904</t>
  </si>
  <si>
    <t>№903</t>
  </si>
  <si>
    <t>№902</t>
  </si>
  <si>
    <t>№901</t>
  </si>
  <si>
    <t>№900</t>
  </si>
  <si>
    <t>№899</t>
  </si>
  <si>
    <t>BOMBER-170-1</t>
  </si>
  <si>
    <t>№898</t>
  </si>
  <si>
    <t>№897</t>
  </si>
  <si>
    <t>№896</t>
  </si>
  <si>
    <t>№895</t>
  </si>
  <si>
    <t>№894</t>
  </si>
  <si>
    <t>№893</t>
  </si>
  <si>
    <t>№892</t>
  </si>
  <si>
    <t>№891</t>
  </si>
  <si>
    <t>№890</t>
  </si>
  <si>
    <t>№889</t>
  </si>
  <si>
    <t>№888</t>
  </si>
  <si>
    <t>№887</t>
  </si>
  <si>
    <t>№886</t>
  </si>
  <si>
    <t>№885</t>
  </si>
  <si>
    <t>№884</t>
  </si>
  <si>
    <t>№883</t>
  </si>
  <si>
    <t>№882</t>
  </si>
  <si>
    <t>скидка преподавателю 15%</t>
  </si>
  <si>
    <t>№881</t>
  </si>
  <si>
    <t>№880</t>
  </si>
  <si>
    <t>FUTBOLKA-176-1</t>
  </si>
  <si>
    <t>№879</t>
  </si>
  <si>
    <t>№878</t>
  </si>
  <si>
    <t>№877</t>
  </si>
  <si>
    <t>№876</t>
  </si>
  <si>
    <t>POLO-KR-194</t>
  </si>
  <si>
    <t>№875</t>
  </si>
  <si>
    <t>№874</t>
  </si>
  <si>
    <t>BOMBER-194</t>
  </si>
  <si>
    <t>№873</t>
  </si>
  <si>
    <t>№872</t>
  </si>
  <si>
    <t>№871</t>
  </si>
  <si>
    <t>№870</t>
  </si>
  <si>
    <t>№869</t>
  </si>
  <si>
    <t>№868</t>
  </si>
  <si>
    <t>№867</t>
  </si>
  <si>
    <t>№866</t>
  </si>
  <si>
    <t>№865</t>
  </si>
  <si>
    <t>№864</t>
  </si>
  <si>
    <t>№863</t>
  </si>
  <si>
    <t>№862</t>
  </si>
  <si>
    <t>№861</t>
  </si>
  <si>
    <t>№860</t>
  </si>
  <si>
    <t>№859</t>
  </si>
  <si>
    <t>№858</t>
  </si>
  <si>
    <t>№857</t>
  </si>
  <si>
    <t>№856</t>
  </si>
  <si>
    <t>№855</t>
  </si>
  <si>
    <t>№854</t>
  </si>
  <si>
    <t>№853</t>
  </si>
  <si>
    <t>№852</t>
  </si>
  <si>
    <t>№851</t>
  </si>
  <si>
    <t>№850</t>
  </si>
  <si>
    <t>№849</t>
  </si>
  <si>
    <t>№848</t>
  </si>
  <si>
    <t>№847</t>
  </si>
  <si>
    <t>№846</t>
  </si>
  <si>
    <t>№845</t>
  </si>
  <si>
    <t>№844</t>
  </si>
  <si>
    <t>№843</t>
  </si>
  <si>
    <t>№842</t>
  </si>
  <si>
    <t>№841</t>
  </si>
  <si>
    <t>№840</t>
  </si>
  <si>
    <t>№839</t>
  </si>
  <si>
    <t>№838</t>
  </si>
  <si>
    <t>№837</t>
  </si>
  <si>
    <t>№836</t>
  </si>
  <si>
    <t>№835</t>
  </si>
  <si>
    <t>№834</t>
  </si>
  <si>
    <t>№833</t>
  </si>
  <si>
    <t>№832</t>
  </si>
  <si>
    <t>№831</t>
  </si>
  <si>
    <t>№830</t>
  </si>
  <si>
    <t>№829</t>
  </si>
  <si>
    <t>№828</t>
  </si>
  <si>
    <t>№827</t>
  </si>
  <si>
    <t>№826</t>
  </si>
  <si>
    <t>14.08.2026 12:00</t>
  </si>
  <si>
    <t>№825</t>
  </si>
  <si>
    <t>№824</t>
  </si>
  <si>
    <t>№823</t>
  </si>
  <si>
    <t>№822</t>
  </si>
  <si>
    <t>№821</t>
  </si>
  <si>
    <t>№820</t>
  </si>
  <si>
    <t>№819</t>
  </si>
  <si>
    <t>№818</t>
  </si>
  <si>
    <t>№817</t>
  </si>
  <si>
    <t>№816</t>
  </si>
  <si>
    <t>№815</t>
  </si>
  <si>
    <t>№814</t>
  </si>
  <si>
    <t>№813</t>
  </si>
  <si>
    <t>№812</t>
  </si>
  <si>
    <t>№811</t>
  </si>
  <si>
    <t>№810</t>
  </si>
  <si>
    <t>№809</t>
  </si>
  <si>
    <t>№806</t>
  </si>
  <si>
    <t>№805</t>
  </si>
  <si>
    <t>№804</t>
  </si>
  <si>
    <t>№803</t>
  </si>
  <si>
    <t>№802</t>
  </si>
  <si>
    <t>№801</t>
  </si>
  <si>
    <t>№800</t>
  </si>
  <si>
    <t>№799</t>
  </si>
  <si>
    <t>№798</t>
  </si>
  <si>
    <t>№797</t>
  </si>
  <si>
    <t>№796</t>
  </si>
  <si>
    <t>№795</t>
  </si>
  <si>
    <t>№794</t>
  </si>
  <si>
    <t>№793</t>
  </si>
  <si>
    <t>№792</t>
  </si>
  <si>
    <t>№791</t>
  </si>
  <si>
    <t>№790</t>
  </si>
  <si>
    <t>№789</t>
  </si>
  <si>
    <t>№788</t>
  </si>
  <si>
    <t>№787</t>
  </si>
  <si>
    <t>№786</t>
  </si>
  <si>
    <t>№785</t>
  </si>
  <si>
    <t>№784</t>
  </si>
  <si>
    <t>№783</t>
  </si>
  <si>
    <t>№782</t>
  </si>
  <si>
    <t>№781</t>
  </si>
  <si>
    <t>№780</t>
  </si>
  <si>
    <t>№779</t>
  </si>
  <si>
    <t>№778</t>
  </si>
  <si>
    <t>№777</t>
  </si>
  <si>
    <t>№776</t>
  </si>
  <si>
    <t>№775</t>
  </si>
  <si>
    <t>№774</t>
  </si>
  <si>
    <t>№773</t>
  </si>
  <si>
    <t>№772</t>
  </si>
  <si>
    <t>№771</t>
  </si>
  <si>
    <t>№770</t>
  </si>
  <si>
    <t>№769</t>
  </si>
  <si>
    <t>№768</t>
  </si>
  <si>
    <t>FUTBOLKA-170</t>
  </si>
  <si>
    <t>№767</t>
  </si>
  <si>
    <t>№766</t>
  </si>
  <si>
    <t>№765</t>
  </si>
  <si>
    <t>№764</t>
  </si>
  <si>
    <t>№763</t>
  </si>
  <si>
    <t>№762</t>
  </si>
  <si>
    <t>№761</t>
  </si>
  <si>
    <t>№760</t>
  </si>
  <si>
    <t>№759</t>
  </si>
  <si>
    <t>№758</t>
  </si>
  <si>
    <t>№757</t>
  </si>
  <si>
    <t>№756</t>
  </si>
  <si>
    <t>№755</t>
  </si>
  <si>
    <t>№754</t>
  </si>
  <si>
    <t>№753</t>
  </si>
  <si>
    <t>№752</t>
  </si>
  <si>
    <t>№751</t>
  </si>
  <si>
    <t>№750</t>
  </si>
  <si>
    <t>№749</t>
  </si>
  <si>
    <t>№748</t>
  </si>
  <si>
    <t>№747</t>
  </si>
  <si>
    <t>№746</t>
  </si>
  <si>
    <t>№745</t>
  </si>
  <si>
    <t>№744</t>
  </si>
  <si>
    <t>№743</t>
  </si>
  <si>
    <t>№742</t>
  </si>
  <si>
    <t>№741</t>
  </si>
  <si>
    <t>№740</t>
  </si>
  <si>
    <t>№739</t>
  </si>
  <si>
    <t>№738</t>
  </si>
  <si>
    <t>№737</t>
  </si>
  <si>
    <t>№736</t>
  </si>
  <si>
    <t>№735</t>
  </si>
  <si>
    <t>№734</t>
  </si>
  <si>
    <t>№733</t>
  </si>
  <si>
    <t>№732</t>
  </si>
  <si>
    <t>№731</t>
  </si>
  <si>
    <t>№730</t>
  </si>
  <si>
    <t>SORTY-194</t>
  </si>
  <si>
    <t>№729</t>
  </si>
  <si>
    <t>№728</t>
  </si>
  <si>
    <t>№727</t>
  </si>
  <si>
    <t>POLO-DR-194</t>
  </si>
  <si>
    <t>№726</t>
  </si>
  <si>
    <t>№725</t>
  </si>
  <si>
    <t>№724</t>
  </si>
  <si>
    <t>№723</t>
  </si>
  <si>
    <t>№722</t>
  </si>
  <si>
    <t>№721</t>
  </si>
  <si>
    <t>№720</t>
  </si>
  <si>
    <t>№719</t>
  </si>
  <si>
    <t>№718</t>
  </si>
  <si>
    <t>№717</t>
  </si>
  <si>
    <t>№716</t>
  </si>
  <si>
    <t>№715</t>
  </si>
  <si>
    <t>№714</t>
  </si>
  <si>
    <t>№713</t>
  </si>
  <si>
    <t>№712</t>
  </si>
  <si>
    <t>№711</t>
  </si>
  <si>
    <t>№710</t>
  </si>
  <si>
    <t>№709</t>
  </si>
  <si>
    <t>№708</t>
  </si>
  <si>
    <t>№707</t>
  </si>
  <si>
    <t>№706</t>
  </si>
  <si>
    <t>№705</t>
  </si>
  <si>
    <t>№704</t>
  </si>
  <si>
    <t>№703</t>
  </si>
  <si>
    <t>№702</t>
  </si>
  <si>
    <t>№701</t>
  </si>
  <si>
    <t>№700</t>
  </si>
  <si>
    <t>№699</t>
  </si>
  <si>
    <t>№698</t>
  </si>
  <si>
    <t>№697</t>
  </si>
  <si>
    <t>№696</t>
  </si>
  <si>
    <t>№695</t>
  </si>
  <si>
    <t>№694</t>
  </si>
  <si>
    <t>№693</t>
  </si>
  <si>
    <t>№692</t>
  </si>
  <si>
    <t>№691</t>
  </si>
  <si>
    <t>№690</t>
  </si>
  <si>
    <t>№689</t>
  </si>
  <si>
    <t>№688</t>
  </si>
  <si>
    <t>№687</t>
  </si>
  <si>
    <t>№686</t>
  </si>
  <si>
    <t>№685</t>
  </si>
  <si>
    <t>№684</t>
  </si>
  <si>
    <t>№683</t>
  </si>
  <si>
    <t>№682</t>
  </si>
  <si>
    <t>№681</t>
  </si>
  <si>
    <t>№680</t>
  </si>
  <si>
    <t>№679</t>
  </si>
  <si>
    <t>№678</t>
  </si>
  <si>
    <t>№677</t>
  </si>
  <si>
    <t>№676</t>
  </si>
  <si>
    <t>№675</t>
  </si>
  <si>
    <t>В пошиве</t>
  </si>
  <si>
    <t>№674</t>
  </si>
  <si>
    <t>№673</t>
  </si>
  <si>
    <t>№672</t>
  </si>
  <si>
    <t>№671</t>
  </si>
  <si>
    <t>№670</t>
  </si>
  <si>
    <t>№669</t>
  </si>
  <si>
    <t>№668</t>
  </si>
  <si>
    <t>№667</t>
  </si>
  <si>
    <t>№666</t>
  </si>
  <si>
    <t>№665</t>
  </si>
  <si>
    <t>№664</t>
  </si>
  <si>
    <t>№663</t>
  </si>
  <si>
    <t>№662</t>
  </si>
  <si>
    <t>№661</t>
  </si>
  <si>
    <t>№660</t>
  </si>
  <si>
    <t>№659</t>
  </si>
  <si>
    <t>№658</t>
  </si>
  <si>
    <t>№657</t>
  </si>
  <si>
    <t>№656</t>
  </si>
  <si>
    <t>BRIUKISPORT-116</t>
  </si>
  <si>
    <t>№655</t>
  </si>
  <si>
    <t>№654</t>
  </si>
  <si>
    <t>№653</t>
  </si>
  <si>
    <t>№652</t>
  </si>
  <si>
    <t>№651</t>
  </si>
  <si>
    <t>№650</t>
  </si>
  <si>
    <t>№649</t>
  </si>
  <si>
    <t>№648</t>
  </si>
  <si>
    <t>№647</t>
  </si>
  <si>
    <t>№646</t>
  </si>
  <si>
    <t>№645</t>
  </si>
  <si>
    <t>№644</t>
  </si>
  <si>
    <t>№643</t>
  </si>
  <si>
    <t>№642</t>
  </si>
  <si>
    <t>№641</t>
  </si>
  <si>
    <t>№640</t>
  </si>
  <si>
    <t>№639</t>
  </si>
  <si>
    <t>№638</t>
  </si>
  <si>
    <t>№637</t>
  </si>
  <si>
    <t>№636</t>
  </si>
  <si>
    <t>№635</t>
  </si>
  <si>
    <t>№634</t>
  </si>
  <si>
    <t>№633</t>
  </si>
  <si>
    <t>№632</t>
  </si>
  <si>
    <t>№631</t>
  </si>
  <si>
    <t>№630</t>
  </si>
  <si>
    <t>№629</t>
  </si>
  <si>
    <t>№628</t>
  </si>
  <si>
    <t>№627</t>
  </si>
  <si>
    <t>№626</t>
  </si>
  <si>
    <t>№625</t>
  </si>
  <si>
    <t>№624</t>
  </si>
  <si>
    <t>№623</t>
  </si>
  <si>
    <t>13.08.2026 12:00</t>
  </si>
  <si>
    <t>№622</t>
  </si>
  <si>
    <t>№621</t>
  </si>
  <si>
    <t>№620</t>
  </si>
  <si>
    <t>№619</t>
  </si>
  <si>
    <t>№618</t>
  </si>
  <si>
    <t>№617</t>
  </si>
  <si>
    <t>№616</t>
  </si>
  <si>
    <t>№615</t>
  </si>
  <si>
    <t>POLO-KR-110</t>
  </si>
  <si>
    <t>№614</t>
  </si>
  <si>
    <t>№613</t>
  </si>
  <si>
    <t>№612</t>
  </si>
  <si>
    <t>№611</t>
  </si>
  <si>
    <t>№610</t>
  </si>
  <si>
    <t>№609</t>
  </si>
  <si>
    <t>№608</t>
  </si>
  <si>
    <t>№607</t>
  </si>
  <si>
    <t>№606</t>
  </si>
  <si>
    <t>№605</t>
  </si>
  <si>
    <t>№604</t>
  </si>
  <si>
    <t>№603</t>
  </si>
  <si>
    <t>№602</t>
  </si>
  <si>
    <t>№601</t>
  </si>
  <si>
    <t>№600</t>
  </si>
  <si>
    <t>№599</t>
  </si>
  <si>
    <t>№598</t>
  </si>
  <si>
    <t>№597</t>
  </si>
  <si>
    <t>№596</t>
  </si>
  <si>
    <t>№595</t>
  </si>
  <si>
    <t>№594</t>
  </si>
  <si>
    <t>№593</t>
  </si>
  <si>
    <t>№592</t>
  </si>
  <si>
    <t>№591</t>
  </si>
  <si>
    <t>№590</t>
  </si>
  <si>
    <t>№589</t>
  </si>
  <si>
    <t>№588</t>
  </si>
  <si>
    <t>№587</t>
  </si>
  <si>
    <t>№586</t>
  </si>
  <si>
    <t>№585</t>
  </si>
  <si>
    <t>№584</t>
  </si>
  <si>
    <t>№583</t>
  </si>
  <si>
    <t>№582</t>
  </si>
  <si>
    <t>№581</t>
  </si>
  <si>
    <t>№580</t>
  </si>
  <si>
    <t>№579</t>
  </si>
  <si>
    <t>№578</t>
  </si>
  <si>
    <t>12.08.2026 12:00</t>
  </si>
  <si>
    <t>№577</t>
  </si>
  <si>
    <t>№576</t>
  </si>
  <si>
    <t>№575</t>
  </si>
  <si>
    <t>№574</t>
  </si>
  <si>
    <t>№573</t>
  </si>
  <si>
    <t>№572</t>
  </si>
  <si>
    <t>№571</t>
  </si>
  <si>
    <t>№570</t>
  </si>
  <si>
    <t>№569</t>
  </si>
  <si>
    <t>№568</t>
  </si>
  <si>
    <t>№567</t>
  </si>
  <si>
    <t>№566</t>
  </si>
  <si>
    <t>№565</t>
  </si>
  <si>
    <t>№564</t>
  </si>
  <si>
    <t>№563</t>
  </si>
  <si>
    <t>№562</t>
  </si>
  <si>
    <t>№561</t>
  </si>
  <si>
    <t>№560</t>
  </si>
  <si>
    <t>№559</t>
  </si>
  <si>
    <t>№558</t>
  </si>
  <si>
    <t>№557</t>
  </si>
  <si>
    <t>№556</t>
  </si>
  <si>
    <t>№555</t>
  </si>
  <si>
    <t>№554</t>
  </si>
  <si>
    <t>№553</t>
  </si>
  <si>
    <t>№552</t>
  </si>
  <si>
    <t>№551</t>
  </si>
  <si>
    <t>№550</t>
  </si>
  <si>
    <t>№549</t>
  </si>
  <si>
    <t>№548</t>
  </si>
  <si>
    <t>№547</t>
  </si>
  <si>
    <t>11.08.2026 12:00</t>
  </si>
  <si>
    <t>№546</t>
  </si>
  <si>
    <t>№545</t>
  </si>
  <si>
    <t>№544</t>
  </si>
  <si>
    <t>№543</t>
  </si>
  <si>
    <t>№542</t>
  </si>
  <si>
    <t>№541</t>
  </si>
  <si>
    <t>№540</t>
  </si>
  <si>
    <t>№539</t>
  </si>
  <si>
    <t>№538</t>
  </si>
  <si>
    <t>№537</t>
  </si>
  <si>
    <t>№536</t>
  </si>
  <si>
    <t>№535</t>
  </si>
  <si>
    <t>№534</t>
  </si>
  <si>
    <t>№533</t>
  </si>
  <si>
    <t>№532</t>
  </si>
  <si>
    <t>№531</t>
  </si>
  <si>
    <t>№530</t>
  </si>
  <si>
    <t>№529</t>
  </si>
  <si>
    <t>№528</t>
  </si>
  <si>
    <t>№527</t>
  </si>
  <si>
    <t>№526</t>
  </si>
  <si>
    <t>№525</t>
  </si>
  <si>
    <t>№524</t>
  </si>
  <si>
    <t>№523</t>
  </si>
  <si>
    <t>№522</t>
  </si>
  <si>
    <t>№521</t>
  </si>
  <si>
    <t>№520</t>
  </si>
  <si>
    <t>№519</t>
  </si>
  <si>
    <t>№518</t>
  </si>
  <si>
    <t>№517</t>
  </si>
  <si>
    <t>№516</t>
  </si>
  <si>
    <t>№515</t>
  </si>
  <si>
    <t>№514</t>
  </si>
  <si>
    <t>№513</t>
  </si>
  <si>
    <t>№512</t>
  </si>
  <si>
    <t>№511</t>
  </si>
  <si>
    <t>№510</t>
  </si>
  <si>
    <t>№509</t>
  </si>
  <si>
    <t>№508</t>
  </si>
  <si>
    <t>№507</t>
  </si>
  <si>
    <t>№506</t>
  </si>
  <si>
    <t>№505</t>
  </si>
  <si>
    <t>№504</t>
  </si>
  <si>
    <t>№503</t>
  </si>
  <si>
    <t>№502</t>
  </si>
  <si>
    <t>№501</t>
  </si>
  <si>
    <t>№500</t>
  </si>
  <si>
    <t>№499</t>
  </si>
  <si>
    <t>№498</t>
  </si>
  <si>
    <t>№497</t>
  </si>
  <si>
    <t>№496</t>
  </si>
  <si>
    <t>№495</t>
  </si>
  <si>
    <t>№494</t>
  </si>
  <si>
    <t>№493</t>
  </si>
  <si>
    <t>№492</t>
  </si>
  <si>
    <t>№491</t>
  </si>
  <si>
    <t>№490</t>
  </si>
  <si>
    <t>№489</t>
  </si>
  <si>
    <t>№488</t>
  </si>
  <si>
    <t>№487</t>
  </si>
  <si>
    <t>№486</t>
  </si>
  <si>
    <t>№485</t>
  </si>
  <si>
    <t>№484</t>
  </si>
  <si>
    <t>№483</t>
  </si>
  <si>
    <t>шорты</t>
  </si>
  <si>
    <t>SORTY-134-1</t>
  </si>
  <si>
    <t>№482</t>
  </si>
  <si>
    <t>№481</t>
  </si>
  <si>
    <t>№480</t>
  </si>
  <si>
    <t>№479</t>
  </si>
  <si>
    <t>№478</t>
  </si>
  <si>
    <t>№477</t>
  </si>
  <si>
    <t>№476</t>
  </si>
  <si>
    <t>№475</t>
  </si>
  <si>
    <t>№474</t>
  </si>
  <si>
    <t>№473</t>
  </si>
  <si>
    <t>№472</t>
  </si>
  <si>
    <t>№471</t>
  </si>
  <si>
    <t>№470</t>
  </si>
  <si>
    <t>№469</t>
  </si>
  <si>
    <t>№468</t>
  </si>
  <si>
    <t>№467</t>
  </si>
  <si>
    <t>№466</t>
  </si>
  <si>
    <t>10.08.2026 12:00</t>
  </si>
  <si>
    <t>№465</t>
  </si>
  <si>
    <t>№464</t>
  </si>
  <si>
    <t>№463</t>
  </si>
  <si>
    <t>SORTY-110-1</t>
  </si>
  <si>
    <t>№462</t>
  </si>
  <si>
    <t>№461</t>
  </si>
  <si>
    <t>№460</t>
  </si>
  <si>
    <t>№459</t>
  </si>
  <si>
    <t>№458</t>
  </si>
  <si>
    <t>№457</t>
  </si>
  <si>
    <t>№456</t>
  </si>
  <si>
    <t>№455</t>
  </si>
  <si>
    <t>№454</t>
  </si>
  <si>
    <t>№453</t>
  </si>
  <si>
    <t>№452</t>
  </si>
  <si>
    <t>№451</t>
  </si>
  <si>
    <t>№450</t>
  </si>
  <si>
    <t>№449</t>
  </si>
  <si>
    <t>№448</t>
  </si>
  <si>
    <t>№447</t>
  </si>
  <si>
    <t>№446</t>
  </si>
  <si>
    <t>№445</t>
  </si>
  <si>
    <t>№444</t>
  </si>
  <si>
    <t>№443</t>
  </si>
  <si>
    <t>№442</t>
  </si>
  <si>
    <t>№441</t>
  </si>
  <si>
    <t>№440</t>
  </si>
  <si>
    <t>№439</t>
  </si>
  <si>
    <t>№438</t>
  </si>
  <si>
    <t>№437</t>
  </si>
  <si>
    <t>№436</t>
  </si>
  <si>
    <t>№435</t>
  </si>
  <si>
    <t>№434</t>
  </si>
  <si>
    <t>№433</t>
  </si>
  <si>
    <t>№432</t>
  </si>
  <si>
    <t>SORTY-140-1</t>
  </si>
  <si>
    <t>№431</t>
  </si>
  <si>
    <t>футболка</t>
  </si>
  <si>
    <t>FUTBOLKA-146-1</t>
  </si>
  <si>
    <t>№430</t>
  </si>
  <si>
    <t>№429</t>
  </si>
  <si>
    <t>№428</t>
  </si>
  <si>
    <t>№427</t>
  </si>
  <si>
    <t>№426</t>
  </si>
  <si>
    <t>№425</t>
  </si>
  <si>
    <t>№424</t>
  </si>
  <si>
    <t>№423</t>
  </si>
  <si>
    <t>№422</t>
  </si>
  <si>
    <t>№421</t>
  </si>
  <si>
    <t>№420</t>
  </si>
  <si>
    <t>№419</t>
  </si>
  <si>
    <t>№418</t>
  </si>
  <si>
    <t>№417</t>
  </si>
  <si>
    <t>№416</t>
  </si>
  <si>
    <t>№415</t>
  </si>
  <si>
    <t>№414</t>
  </si>
  <si>
    <t>№413</t>
  </si>
  <si>
    <t>№412</t>
  </si>
  <si>
    <t>№411</t>
  </si>
  <si>
    <t>№410</t>
  </si>
  <si>
    <t>№409</t>
  </si>
  <si>
    <t>№408</t>
  </si>
  <si>
    <t>№407</t>
  </si>
  <si>
    <t>№406</t>
  </si>
  <si>
    <t>№405</t>
  </si>
  <si>
    <t>09.08.2026 12:00</t>
  </si>
  <si>
    <t>№404</t>
  </si>
  <si>
    <t>№403</t>
  </si>
  <si>
    <t>№402</t>
  </si>
  <si>
    <t>№401</t>
  </si>
  <si>
    <t>№400</t>
  </si>
  <si>
    <t>№399</t>
  </si>
  <si>
    <t>№398</t>
  </si>
  <si>
    <t>№397</t>
  </si>
  <si>
    <t>№396</t>
  </si>
  <si>
    <t>№395</t>
  </si>
  <si>
    <t>№394</t>
  </si>
  <si>
    <t>№393</t>
  </si>
  <si>
    <t>№392</t>
  </si>
  <si>
    <t>№391</t>
  </si>
  <si>
    <t>№390</t>
  </si>
  <si>
    <t>№389</t>
  </si>
  <si>
    <t>08.08.2026 12:00</t>
  </si>
  <si>
    <t>№388</t>
  </si>
  <si>
    <t>№387</t>
  </si>
  <si>
    <t>№386</t>
  </si>
  <si>
    <t>№385</t>
  </si>
  <si>
    <t>№384</t>
  </si>
  <si>
    <t>№383</t>
  </si>
  <si>
    <t>№382</t>
  </si>
  <si>
    <t>№381</t>
  </si>
  <si>
    <t>№380</t>
  </si>
  <si>
    <t>№379</t>
  </si>
  <si>
    <t>№378</t>
  </si>
  <si>
    <t>BRIUKISPORT-164-1</t>
  </si>
  <si>
    <t>№377</t>
  </si>
  <si>
    <t>№376</t>
  </si>
  <si>
    <t>№375</t>
  </si>
  <si>
    <t>POLO-KR-116-1</t>
  </si>
  <si>
    <t>№374</t>
  </si>
  <si>
    <t>№373</t>
  </si>
  <si>
    <t>№372</t>
  </si>
  <si>
    <t>№371</t>
  </si>
  <si>
    <t>№370</t>
  </si>
  <si>
    <t>№369</t>
  </si>
  <si>
    <t>№368</t>
  </si>
  <si>
    <t>№367</t>
  </si>
  <si>
    <t>№366</t>
  </si>
  <si>
    <t>№365</t>
  </si>
  <si>
    <t>№364</t>
  </si>
  <si>
    <t>№363</t>
  </si>
  <si>
    <t>№362</t>
  </si>
  <si>
    <t>№361</t>
  </si>
  <si>
    <t>№360</t>
  </si>
  <si>
    <t>№359</t>
  </si>
  <si>
    <t>№358</t>
  </si>
  <si>
    <t>№357</t>
  </si>
  <si>
    <t>№356</t>
  </si>
  <si>
    <t>№355</t>
  </si>
  <si>
    <t>№354</t>
  </si>
  <si>
    <t>№353</t>
  </si>
  <si>
    <t>№352</t>
  </si>
  <si>
    <t>№351</t>
  </si>
  <si>
    <t>№350</t>
  </si>
  <si>
    <t>№349</t>
  </si>
  <si>
    <t>07.08.2026 12:00</t>
  </si>
  <si>
    <t>№348</t>
  </si>
  <si>
    <t>№347</t>
  </si>
  <si>
    <t>№346</t>
  </si>
  <si>
    <t>№345</t>
  </si>
  <si>
    <t>№344</t>
  </si>
  <si>
    <t>№343</t>
  </si>
  <si>
    <t>№342</t>
  </si>
  <si>
    <t>№341</t>
  </si>
  <si>
    <t>№340</t>
  </si>
  <si>
    <t>№339</t>
  </si>
  <si>
    <t>№338</t>
  </si>
  <si>
    <t>№337</t>
  </si>
  <si>
    <t>№336</t>
  </si>
  <si>
    <t>№335</t>
  </si>
  <si>
    <t>№334</t>
  </si>
  <si>
    <t>№333</t>
  </si>
  <si>
    <t>№332</t>
  </si>
  <si>
    <t>№331</t>
  </si>
  <si>
    <t>№330</t>
  </si>
  <si>
    <t>№329</t>
  </si>
  <si>
    <t>№328</t>
  </si>
  <si>
    <t>№327</t>
  </si>
  <si>
    <t>№326</t>
  </si>
  <si>
    <t>№325</t>
  </si>
  <si>
    <t>№324</t>
  </si>
  <si>
    <t>№323</t>
  </si>
  <si>
    <t>№322</t>
  </si>
  <si>
    <t>№321</t>
  </si>
  <si>
    <t>№320</t>
  </si>
  <si>
    <t>№319</t>
  </si>
  <si>
    <t>№318</t>
  </si>
  <si>
    <t>№317</t>
  </si>
  <si>
    <t>№316</t>
  </si>
  <si>
    <t>№315</t>
  </si>
  <si>
    <t>№314</t>
  </si>
  <si>
    <t>№313</t>
  </si>
  <si>
    <t>BOMBER-164-1</t>
  </si>
  <si>
    <t>№312</t>
  </si>
  <si>
    <t>№311</t>
  </si>
  <si>
    <t>№310</t>
  </si>
  <si>
    <t>№309</t>
  </si>
  <si>
    <t>№308</t>
  </si>
  <si>
    <t>№307</t>
  </si>
  <si>
    <t>№306</t>
  </si>
  <si>
    <t>№305</t>
  </si>
  <si>
    <t>№304</t>
  </si>
  <si>
    <t>№303</t>
  </si>
  <si>
    <t>№302</t>
  </si>
  <si>
    <t>06.08.2026 12:00</t>
  </si>
  <si>
    <t>№301</t>
  </si>
  <si>
    <t>№300</t>
  </si>
  <si>
    <t>№299</t>
  </si>
  <si>
    <t>№298</t>
  </si>
  <si>
    <t>№297</t>
  </si>
  <si>
    <t>№296</t>
  </si>
  <si>
    <t>№295</t>
  </si>
  <si>
    <t>№294</t>
  </si>
  <si>
    <t>№293</t>
  </si>
  <si>
    <t>№292</t>
  </si>
  <si>
    <t>№291</t>
  </si>
  <si>
    <t>№290</t>
  </si>
  <si>
    <t>№289</t>
  </si>
  <si>
    <t>№288</t>
  </si>
  <si>
    <t>№287</t>
  </si>
  <si>
    <t>№286</t>
  </si>
  <si>
    <t>№285</t>
  </si>
  <si>
    <t>№284</t>
  </si>
  <si>
    <t>№283</t>
  </si>
  <si>
    <t>№282</t>
  </si>
  <si>
    <t>№281</t>
  </si>
  <si>
    <t>№280</t>
  </si>
  <si>
    <t>№279</t>
  </si>
  <si>
    <t>№278</t>
  </si>
  <si>
    <t>№277</t>
  </si>
  <si>
    <t>№276</t>
  </si>
  <si>
    <t>BRIUKISPORT-128-1</t>
  </si>
  <si>
    <t>№275</t>
  </si>
  <si>
    <t>№274</t>
  </si>
  <si>
    <t>№273</t>
  </si>
  <si>
    <t>№272</t>
  </si>
  <si>
    <t>POLO-DR-134-1</t>
  </si>
  <si>
    <t>№271</t>
  </si>
  <si>
    <t>№270</t>
  </si>
  <si>
    <t>№269</t>
  </si>
  <si>
    <t>№268</t>
  </si>
  <si>
    <t>№267</t>
  </si>
  <si>
    <t>№266</t>
  </si>
  <si>
    <t>FUTBOLKA-152-2</t>
  </si>
  <si>
    <t>№265</t>
  </si>
  <si>
    <t>№264</t>
  </si>
  <si>
    <t>№263</t>
  </si>
  <si>
    <t>№262</t>
  </si>
  <si>
    <t>№261</t>
  </si>
  <si>
    <t>№260</t>
  </si>
  <si>
    <t>№259</t>
  </si>
  <si>
    <t>№258</t>
  </si>
  <si>
    <t>№257</t>
  </si>
  <si>
    <t>№256</t>
  </si>
  <si>
    <t>№255</t>
  </si>
  <si>
    <t>№254</t>
  </si>
  <si>
    <t>№253</t>
  </si>
  <si>
    <t>05.08.2026 12:00</t>
  </si>
  <si>
    <t>№252</t>
  </si>
  <si>
    <t>№251</t>
  </si>
  <si>
    <t>№250</t>
  </si>
  <si>
    <t>№249</t>
  </si>
  <si>
    <t>№248</t>
  </si>
  <si>
    <t>№247</t>
  </si>
  <si>
    <t>№246</t>
  </si>
  <si>
    <t>№245</t>
  </si>
  <si>
    <t>№244</t>
  </si>
  <si>
    <t>№243</t>
  </si>
  <si>
    <t>№242</t>
  </si>
  <si>
    <t>№241</t>
  </si>
  <si>
    <t>№240</t>
  </si>
  <si>
    <t>№239</t>
  </si>
  <si>
    <t>№238</t>
  </si>
  <si>
    <t>№237</t>
  </si>
  <si>
    <t>№236</t>
  </si>
  <si>
    <t>№235</t>
  </si>
  <si>
    <t>№234</t>
  </si>
  <si>
    <t>№233</t>
  </si>
  <si>
    <t>№232</t>
  </si>
  <si>
    <t>№231</t>
  </si>
  <si>
    <t>№230</t>
  </si>
  <si>
    <t>№229</t>
  </si>
  <si>
    <t>№228</t>
  </si>
  <si>
    <t>№227</t>
  </si>
  <si>
    <t>№226</t>
  </si>
  <si>
    <t>№225</t>
  </si>
  <si>
    <t>№224</t>
  </si>
  <si>
    <t>№223</t>
  </si>
  <si>
    <t>№222</t>
  </si>
  <si>
    <t>№221</t>
  </si>
  <si>
    <t>№220</t>
  </si>
  <si>
    <t>№219</t>
  </si>
  <si>
    <t>№218</t>
  </si>
  <si>
    <t>№217</t>
  </si>
  <si>
    <t>№216</t>
  </si>
  <si>
    <t>№215</t>
  </si>
  <si>
    <t>№214</t>
  </si>
  <si>
    <t>04.08.2026 12:00</t>
  </si>
  <si>
    <t>№213</t>
  </si>
  <si>
    <t>№212</t>
  </si>
  <si>
    <t>№211</t>
  </si>
  <si>
    <t>№210</t>
  </si>
  <si>
    <t>№209</t>
  </si>
  <si>
    <t>№208</t>
  </si>
  <si>
    <t>№207</t>
  </si>
  <si>
    <t>XUDI-140-1</t>
  </si>
  <si>
    <t>№206</t>
  </si>
  <si>
    <t>№205</t>
  </si>
  <si>
    <t>№204</t>
  </si>
  <si>
    <t>№203</t>
  </si>
  <si>
    <t>№202</t>
  </si>
  <si>
    <t>№201</t>
  </si>
  <si>
    <t>№193</t>
  </si>
  <si>
    <t>№200</t>
  </si>
  <si>
    <t>03.08.2026 12:00</t>
  </si>
  <si>
    <t>№199</t>
  </si>
  <si>
    <t>ijhns</t>
  </si>
  <si>
    <t>IJHNS-134</t>
  </si>
  <si>
    <t>№198</t>
  </si>
  <si>
    <t>№197</t>
  </si>
  <si>
    <t>№196</t>
  </si>
  <si>
    <t>№195</t>
  </si>
  <si>
    <t>№194</t>
  </si>
  <si>
    <t>№192</t>
  </si>
  <si>
    <t>№191</t>
  </si>
  <si>
    <t>№190</t>
  </si>
  <si>
    <t>№189</t>
  </si>
  <si>
    <t>№188</t>
  </si>
  <si>
    <t>№187</t>
  </si>
  <si>
    <t>№186</t>
  </si>
  <si>
    <t>№185</t>
  </si>
  <si>
    <t>№184</t>
  </si>
  <si>
    <t>№183</t>
  </si>
  <si>
    <t>№182</t>
  </si>
  <si>
    <t>№181</t>
  </si>
  <si>
    <t>№180</t>
  </si>
  <si>
    <t>№179</t>
  </si>
  <si>
    <t>№178</t>
  </si>
  <si>
    <t>№177</t>
  </si>
  <si>
    <t>№176</t>
  </si>
  <si>
    <t>№175</t>
  </si>
  <si>
    <t>№174</t>
  </si>
  <si>
    <t>№173</t>
  </si>
  <si>
    <t>02.08.2026 12:00</t>
  </si>
  <si>
    <t>№172</t>
  </si>
  <si>
    <t>№171</t>
  </si>
  <si>
    <t>№170</t>
  </si>
  <si>
    <t>BRIUKISPORT-134-1</t>
  </si>
  <si>
    <t>№169</t>
  </si>
  <si>
    <t>№168</t>
  </si>
  <si>
    <t>№167</t>
  </si>
  <si>
    <t>01.08.2026 12:00</t>
  </si>
  <si>
    <t>№166</t>
  </si>
  <si>
    <t>№165</t>
  </si>
  <si>
    <t>№164</t>
  </si>
  <si>
    <t>№163</t>
  </si>
  <si>
    <t>№162</t>
  </si>
  <si>
    <t>№161</t>
  </si>
  <si>
    <t>№160</t>
  </si>
  <si>
    <t>№159</t>
  </si>
  <si>
    <t>№158</t>
  </si>
  <si>
    <t>№157</t>
  </si>
  <si>
    <t>№156</t>
  </si>
  <si>
    <t>POLO-KR-128-1</t>
  </si>
  <si>
    <t>№155</t>
  </si>
  <si>
    <t>№154</t>
  </si>
  <si>
    <t>№153</t>
  </si>
  <si>
    <t>№152</t>
  </si>
  <si>
    <t>№151</t>
  </si>
  <si>
    <t>№150</t>
  </si>
  <si>
    <t>№149</t>
  </si>
  <si>
    <t>№148</t>
  </si>
  <si>
    <t>№147</t>
  </si>
  <si>
    <t>№146</t>
  </si>
  <si>
    <t>№145</t>
  </si>
  <si>
    <t>№144</t>
  </si>
  <si>
    <t>№143</t>
  </si>
  <si>
    <t>№142</t>
  </si>
  <si>
    <t>№141</t>
  </si>
  <si>
    <t>№140</t>
  </si>
  <si>
    <t>№139</t>
  </si>
  <si>
    <t>№138</t>
  </si>
  <si>
    <t>№137</t>
  </si>
  <si>
    <t>№136</t>
  </si>
  <si>
    <t>№135</t>
  </si>
  <si>
    <t>№134</t>
  </si>
  <si>
    <t>№133</t>
  </si>
  <si>
    <t>№132</t>
  </si>
  <si>
    <t>№131</t>
  </si>
  <si>
    <t>№130</t>
  </si>
  <si>
    <t>№129</t>
  </si>
  <si>
    <t>№128</t>
  </si>
  <si>
    <t>№127</t>
  </si>
  <si>
    <t>№126</t>
  </si>
  <si>
    <t>№125</t>
  </si>
  <si>
    <t>№124</t>
  </si>
  <si>
    <t>№123</t>
  </si>
  <si>
    <t>№122</t>
  </si>
  <si>
    <t>№121</t>
  </si>
  <si>
    <t>№120</t>
  </si>
  <si>
    <t>№119</t>
  </si>
  <si>
    <t>№118</t>
  </si>
  <si>
    <t>30.07.2026 12:00</t>
  </si>
  <si>
    <t>2026-07</t>
  </si>
  <si>
    <t>№117</t>
  </si>
  <si>
    <t>№116</t>
  </si>
  <si>
    <t>№115</t>
  </si>
  <si>
    <t>№114</t>
  </si>
  <si>
    <t>№113</t>
  </si>
  <si>
    <t>№112</t>
  </si>
  <si>
    <t>№111</t>
  </si>
  <si>
    <t>№110</t>
  </si>
  <si>
    <t>№109</t>
  </si>
  <si>
    <t>BOMBER-140</t>
  </si>
  <si>
    <t>№108</t>
  </si>
  <si>
    <t>№107</t>
  </si>
  <si>
    <t>27.07.2026 12:00</t>
  </si>
  <si>
    <t>№106</t>
  </si>
  <si>
    <t>№105</t>
  </si>
  <si>
    <t>№104</t>
  </si>
  <si>
    <t>№103</t>
  </si>
  <si>
    <t>№102</t>
  </si>
  <si>
    <t>№101</t>
  </si>
  <si>
    <t>№100</t>
  </si>
  <si>
    <t>№98</t>
  </si>
  <si>
    <t>№97</t>
  </si>
  <si>
    <t>№96</t>
  </si>
  <si>
    <t>№95</t>
  </si>
  <si>
    <t>№94</t>
  </si>
  <si>
    <t>№92</t>
  </si>
  <si>
    <t>№91</t>
  </si>
  <si>
    <t>Штаны</t>
  </si>
  <si>
    <t>брюки спортивные</t>
  </si>
  <si>
    <t>BRIUKI-SPORTIVNYE-158</t>
  </si>
  <si>
    <t>№90</t>
  </si>
  <si>
    <t>№89</t>
  </si>
  <si>
    <t>щорты</t>
  </si>
  <si>
    <t>SHHORTY-146</t>
  </si>
  <si>
    <t>№88</t>
  </si>
  <si>
    <t>№87</t>
  </si>
  <si>
    <t>№86</t>
  </si>
  <si>
    <t>№85</t>
  </si>
  <si>
    <t>№84</t>
  </si>
  <si>
    <t>№83</t>
  </si>
  <si>
    <t>№82</t>
  </si>
  <si>
    <t>BRIUKI-SPORTIVNYE-128-1</t>
  </si>
  <si>
    <t>№81</t>
  </si>
  <si>
    <t>№80</t>
  </si>
  <si>
    <t>№79</t>
  </si>
  <si>
    <t>№78</t>
  </si>
  <si>
    <t>№77</t>
  </si>
  <si>
    <t>№76</t>
  </si>
  <si>
    <t>№75</t>
  </si>
  <si>
    <t>№74</t>
  </si>
  <si>
    <t>№73</t>
  </si>
  <si>
    <t>№71</t>
  </si>
  <si>
    <t>№70</t>
  </si>
  <si>
    <t>26.07.2026 12:00</t>
  </si>
  <si>
    <t>№68</t>
  </si>
  <si>
    <t>№67</t>
  </si>
  <si>
    <t>№66</t>
  </si>
  <si>
    <t>№65</t>
  </si>
  <si>
    <t>№64</t>
  </si>
  <si>
    <t>№62</t>
  </si>
  <si>
    <t>№61</t>
  </si>
  <si>
    <t>№60</t>
  </si>
  <si>
    <t>№59</t>
  </si>
  <si>
    <t>№63</t>
  </si>
  <si>
    <t>26.07.2018 12:00</t>
  </si>
  <si>
    <t>2018-07</t>
  </si>
  <si>
    <t>BRIUKI-SPORTIVNYE-170</t>
  </si>
  <si>
    <t>ИТОГО ПО ВЫБОРКЕ (ДИНАМИЧЕСКИЙ ПЕРЕСЧЕТ ПРИ ФИЛЬТРАЦИИ):</t>
  </si>
  <si>
    <t>ВСЕГО ПО РЕЕСТРУ:</t>
  </si>
  <si>
    <t>ВЕДОМОСТЬ ПРОДАЖ ПО НОМЕНКЛАТУРЕ И ХАРАКТЕРИСТИКАМ (РАЗМЕРАМ)</t>
  </si>
  <si>
    <t>Организация: Магазин детской одежды и школьной формы · Период: Все время · Сформирован: 31.10.2026 02:30:46</t>
  </si>
  <si>
    <t>Продано всего, шт.</t>
  </si>
  <si>
    <t>✓ Из наличия, шт.</t>
  </si>
  <si>
    <t>📦 Под заказ, шт.</t>
  </si>
  <si>
    <t>Скидки, ₸</t>
  </si>
  <si>
    <t>Выручка (Фактически), ₸</t>
  </si>
  <si>
    <t>Средняя цена шт., ₸</t>
  </si>
  <si>
    <t>Доля в выручке вида, %</t>
  </si>
  <si>
    <t>0.7%</t>
  </si>
  <si>
    <t>5%</t>
  </si>
  <si>
    <t>0.4%</t>
  </si>
  <si>
    <t>3.3%</t>
  </si>
  <si>
    <t>2.1%</t>
  </si>
  <si>
    <t>8.4%</t>
  </si>
  <si>
    <t>8.8%</t>
  </si>
  <si>
    <t>10.7%</t>
  </si>
  <si>
    <t>9.7%</t>
  </si>
  <si>
    <t>9.5%</t>
  </si>
  <si>
    <t>1.7%</t>
  </si>
  <si>
    <t>0.8%</t>
  </si>
  <si>
    <t>0.2%</t>
  </si>
  <si>
    <t>0.6%</t>
  </si>
  <si>
    <t>1.3%</t>
  </si>
  <si>
    <t>1.8%</t>
  </si>
  <si>
    <t>10.2%</t>
  </si>
  <si>
    <t>9.6%</t>
  </si>
  <si>
    <t>6.6%</t>
  </si>
  <si>
    <t>3.1%</t>
  </si>
  <si>
    <t>0.9%</t>
  </si>
  <si>
    <t>0.1%</t>
  </si>
  <si>
    <t>2.9%</t>
  </si>
  <si>
    <t>2.5%</t>
  </si>
  <si>
    <t>2.6%</t>
  </si>
  <si>
    <t>1.4%</t>
  </si>
  <si>
    <t>1.5%</t>
  </si>
  <si>
    <t>1.1%</t>
  </si>
  <si>
    <t>2.8%</t>
  </si>
  <si>
    <t>3.2%</t>
  </si>
  <si>
    <t>8.1%</t>
  </si>
  <si>
    <t>8%</t>
  </si>
  <si>
    <t>4.6%</t>
  </si>
  <si>
    <t>5.7%</t>
  </si>
  <si>
    <t>0.5%</t>
  </si>
  <si>
    <t>50%</t>
  </si>
  <si>
    <t>1.2%</t>
  </si>
  <si>
    <t>1%</t>
  </si>
  <si>
    <t>6.3%</t>
  </si>
  <si>
    <t>5.3%</t>
  </si>
  <si>
    <t>12.6%</t>
  </si>
  <si>
    <t>10.6%</t>
  </si>
  <si>
    <t>7.4%</t>
  </si>
  <si>
    <t>4%</t>
  </si>
  <si>
    <t>0.3%</t>
  </si>
  <si>
    <t>4.1%</t>
  </si>
  <si>
    <t>7.6%</t>
  </si>
  <si>
    <t>6.2%</t>
  </si>
  <si>
    <t>8.3%</t>
  </si>
  <si>
    <t>5.5%</t>
  </si>
  <si>
    <t>6%</t>
  </si>
  <si>
    <t>55%</t>
  </si>
  <si>
    <t>10%</t>
  </si>
  <si>
    <t>2.4%</t>
  </si>
  <si>
    <t>9.3%</t>
  </si>
  <si>
    <t>9.9%</t>
  </si>
  <si>
    <t>4.8%</t>
  </si>
  <si>
    <t>34.5%</t>
  </si>
  <si>
    <t>4.7%</t>
  </si>
  <si>
    <t>7.2%</t>
  </si>
  <si>
    <t>6.9%</t>
  </si>
  <si>
    <t>9.4%</t>
  </si>
  <si>
    <t>4.2%</t>
  </si>
  <si>
    <t>6.1%</t>
  </si>
  <si>
    <t>8.5%</t>
  </si>
  <si>
    <t>6.8%</t>
  </si>
  <si>
    <t>2.2%</t>
  </si>
  <si>
    <t>2%</t>
  </si>
  <si>
    <t>10.5%</t>
  </si>
  <si>
    <t>3.5%</t>
  </si>
  <si>
    <t>1.9%</t>
  </si>
  <si>
    <t>11.4%</t>
  </si>
  <si>
    <t>9%</t>
  </si>
  <si>
    <t>10.8%</t>
  </si>
  <si>
    <t>9.2%</t>
  </si>
  <si>
    <t>8.9%</t>
  </si>
  <si>
    <t>32.8%</t>
  </si>
  <si>
    <t>20%</t>
  </si>
  <si>
    <t>100.0%</t>
  </si>
  <si>
    <t>ВСЕГО ПО НОМЕНКЛАТУРЕ:</t>
  </si>
  <si>
    <t>СВОДКА ПРОДАЖ ПО КАТЕГОРИЯМ И ВИДАМ ИЗДЕЛИЙ</t>
  </si>
  <si>
    <t>Организация: Магазин детской одежды и школьной формы · Период: Все время · Сформирован: 31.10.2026 02:30:47</t>
  </si>
  <si>
    <t>Категория номенклатуры</t>
  </si>
  <si>
    <t>✓ В наличии, шт.</t>
  </si>
  <si>
    <t>Доля в выручке магазина, %</t>
  </si>
  <si>
    <t>ВСЕГО ПО КАТЕГОРИЯМ:</t>
  </si>
  <si>
    <t>ДИНАМИКА ПРОДАЖ ПО КАЛЕНДАРНЫМ ПЕРИОДАМ (ДНЯМ И МЕСЯЦАМ)</t>
  </si>
  <si>
    <t>Месяц (ГГГГ-ММ)</t>
  </si>
  <si>
    <t>Дата</t>
  </si>
  <si>
    <t>День недели</t>
  </si>
  <si>
    <t>Количество чеков</t>
  </si>
  <si>
    <t>Продано вещей, шт.</t>
  </si>
  <si>
    <t>Себестоимость, ₸</t>
  </si>
  <si>
    <t>Средний чек дня, ₸</t>
  </si>
  <si>
    <t>Вещей в чеке, шт.</t>
  </si>
  <si>
    <t>26.10.2026</t>
  </si>
  <si>
    <t>Пн</t>
  </si>
  <si>
    <t>25.10.2026</t>
  </si>
  <si>
    <t>Вс</t>
  </si>
  <si>
    <t>24.10.2026</t>
  </si>
  <si>
    <t>Сб</t>
  </si>
  <si>
    <t>08.10.2026</t>
  </si>
  <si>
    <t>Чт</t>
  </si>
  <si>
    <t>27.09.2026</t>
  </si>
  <si>
    <t>26.09.2026</t>
  </si>
  <si>
    <t>24.09.2026</t>
  </si>
  <si>
    <t>23.09.2026</t>
  </si>
  <si>
    <t>Ср</t>
  </si>
  <si>
    <t>22.09.2026</t>
  </si>
  <si>
    <t>Вт</t>
  </si>
  <si>
    <t>21.09.2026</t>
  </si>
  <si>
    <t>20.09.2026</t>
  </si>
  <si>
    <t>19.09.2026</t>
  </si>
  <si>
    <t>18.09.2026</t>
  </si>
  <si>
    <t>Пт</t>
  </si>
  <si>
    <t>17.09.2026</t>
  </si>
  <si>
    <t>16.09.2026</t>
  </si>
  <si>
    <t>15.09.2026</t>
  </si>
  <si>
    <t>14.09.2026</t>
  </si>
  <si>
    <t>13.09.2026</t>
  </si>
  <si>
    <t>12.09.2026</t>
  </si>
  <si>
    <t>11.09.2026</t>
  </si>
  <si>
    <t>09.09.2026</t>
  </si>
  <si>
    <t>08.09.2026</t>
  </si>
  <si>
    <t>07.09.2026</t>
  </si>
  <si>
    <t>06.09.2026</t>
  </si>
  <si>
    <t>05.09.2026</t>
  </si>
  <si>
    <t>04.09.2026</t>
  </si>
  <si>
    <t>03.09.2026</t>
  </si>
  <si>
    <t>02.09.2026</t>
  </si>
  <si>
    <t>01.09.2026</t>
  </si>
  <si>
    <t>31.08.2026</t>
  </si>
  <si>
    <t>29.08.2026</t>
  </si>
  <si>
    <t>28.08.2026</t>
  </si>
  <si>
    <t>26.08.2026</t>
  </si>
  <si>
    <t>25.08.2026</t>
  </si>
  <si>
    <t>24.08.2026</t>
  </si>
  <si>
    <t>22.08.2026</t>
  </si>
  <si>
    <t>21.08.2026</t>
  </si>
  <si>
    <t>17.08.2026</t>
  </si>
  <si>
    <t>15.08.2026</t>
  </si>
  <si>
    <t>14.08.2026</t>
  </si>
  <si>
    <t>13.08.2026</t>
  </si>
  <si>
    <t>12.08.2026</t>
  </si>
  <si>
    <t>11.08.2026</t>
  </si>
  <si>
    <t>10.08.2026</t>
  </si>
  <si>
    <t>09.08.2026</t>
  </si>
  <si>
    <t>08.08.2026</t>
  </si>
  <si>
    <t>07.08.2026</t>
  </si>
  <si>
    <t>06.08.2026</t>
  </si>
  <si>
    <t>05.08.2026</t>
  </si>
  <si>
    <t>04.08.2026</t>
  </si>
  <si>
    <t>03.08.2026</t>
  </si>
  <si>
    <t>02.08.2026</t>
  </si>
  <si>
    <t>01.08.2026</t>
  </si>
  <si>
    <t>30.07.2026</t>
  </si>
  <si>
    <t>27.07.2026</t>
  </si>
  <si>
    <t>26.07.2026</t>
  </si>
  <si>
    <t>26.07.2018</t>
  </si>
  <si>
    <t>ВСЕГО ЗА ПЕРИОД:</t>
  </si>
  <si>
    <t>ЖУРНАЛ ДОКУМЕНТОВ: ЧЕКИ ККМ И ЗАКАЗЫ ПОКУПАТЕЛЕЙ</t>
  </si>
  <si>
    <t>Месяц</t>
  </si>
  <si>
    <t>Позиций в чеке</t>
  </si>
  <si>
    <t>Всего вещей, шт.</t>
  </si>
  <si>
    <t>Сумма без скидки, ₸</t>
  </si>
  <si>
    <t>Скидка по чеку, ₸</t>
  </si>
  <si>
    <t>Итого сумма (Выручка), ₸</t>
  </si>
  <si>
    <t>Себестоимость чека, ₸</t>
  </si>
  <si>
    <t>Прибыль чека, ₸</t>
  </si>
  <si>
    <t>Статус чека</t>
  </si>
  <si>
    <t>Краткий состав чека</t>
  </si>
  <si>
    <t>Поло к/р (158) × 1</t>
  </si>
  <si>
    <t>худи (158) × 1</t>
  </si>
  <si>
    <t>Футболка (170) × 1</t>
  </si>
  <si>
    <t>Шорты (164) × 1</t>
  </si>
  <si>
    <t>Футболка (164) × 1</t>
  </si>
  <si>
    <t>Брюки спортивные (164) × 1</t>
  </si>
  <si>
    <t>Бомбер (164) × 1</t>
  </si>
  <si>
    <t>Поло д/р (164) × 1</t>
  </si>
  <si>
    <t>Поло к/р (164) × 1</t>
  </si>
  <si>
    <t>Шорты (116) × 1</t>
  </si>
  <si>
    <t>Футболка (122) × 1</t>
  </si>
  <si>
    <t>Брюки спортивные (116) × 1</t>
  </si>
  <si>
    <t>Бомбер (116) × 1</t>
  </si>
  <si>
    <t>Поло д/р (116) × 1</t>
  </si>
  <si>
    <t>Поло к/р (116) × 1</t>
  </si>
  <si>
    <t>Футболка спортивная (122) × 1</t>
  </si>
  <si>
    <t>Бомбер (122) × 1</t>
  </si>
  <si>
    <t>Поло д/р (122) × 1</t>
  </si>
  <si>
    <t>Поло к/р (122) × 1</t>
  </si>
  <si>
    <t>Бомбер (158) × 1</t>
  </si>
  <si>
    <t>Бомбер (128) × 1</t>
  </si>
  <si>
    <t>Шорты (122) × 1</t>
  </si>
  <si>
    <t>Брюки спортивные (128) × 2</t>
  </si>
  <si>
    <t>Поло д/р (122) × 2</t>
  </si>
  <si>
    <t>Поло к/р (158) × 2</t>
  </si>
  <si>
    <t>Футболка (158) × 1</t>
  </si>
  <si>
    <t>Шорты (158) × 1</t>
  </si>
  <si>
    <t>Худи (128) × 1</t>
  </si>
  <si>
    <t>Поло к/р (122) × 2</t>
  </si>
  <si>
    <t>худи (146) × 1</t>
  </si>
  <si>
    <t>Поло к/р (170) × 2</t>
  </si>
  <si>
    <t>Поло д/р (134) × 1</t>
  </si>
  <si>
    <t>Брюки.спорт (170) × 1</t>
  </si>
  <si>
    <t>Поло к/р (152) × 1</t>
  </si>
  <si>
    <t>Полузамок (134) × 1</t>
  </si>
  <si>
    <t>Поло к/р (128) × 1</t>
  </si>
  <si>
    <t>Шапка × 1</t>
  </si>
  <si>
    <t>Полузамок мерч (122) × 1</t>
  </si>
  <si>
    <t>Брюки.спорт (128) × 1</t>
  </si>
  <si>
    <t>Брюки.спорт (146) × 1</t>
  </si>
  <si>
    <t>Брюки.спорт (188) × 1</t>
  </si>
  <si>
    <t>Олимпийка мерч (134) × 1</t>
  </si>
  <si>
    <t>Футболка (134) × 1</t>
  </si>
  <si>
    <t>Поло к/р (134) × 2</t>
  </si>
  <si>
    <t>Бомбер (170) × 1</t>
  </si>
  <si>
    <t>худи (170) × 1</t>
  </si>
  <si>
    <t>худи (128) × 1</t>
  </si>
  <si>
    <t>Поло д/р (128) × 1</t>
  </si>
  <si>
    <t>Поло к/р (170) × 1</t>
  </si>
  <si>
    <t>Брюки.спорт (152) × 2</t>
  </si>
  <si>
    <t>Бомбер (176) × 1</t>
  </si>
  <si>
    <t>Брюки.спорт (152) × 1</t>
  </si>
  <si>
    <t>Бомбер (152) × 1</t>
  </si>
  <si>
    <t>Бомбер (134) × 1</t>
  </si>
  <si>
    <t>Шорты (170) × 1</t>
  </si>
  <si>
    <t>Брюки.спорт (164) × 1</t>
  </si>
  <si>
    <t>Брюки.спорт (140) × 1</t>
  </si>
  <si>
    <t>Поло к/р (140) × 1</t>
  </si>
  <si>
    <t>Бомбер (140) × 1</t>
  </si>
  <si>
    <t>Брюки.спорт (110) × 1</t>
  </si>
  <si>
    <t>Футболка (110) × 1</t>
  </si>
  <si>
    <t>Брюки.спорт (176) × 1</t>
  </si>
  <si>
    <t>Брюки палаццо (146) × 1</t>
  </si>
  <si>
    <t>Брюки.спорт (122) × 1</t>
  </si>
  <si>
    <t>Брюки.спорт (134) × 1</t>
  </si>
  <si>
    <t>Поло д/р (134) × 2</t>
  </si>
  <si>
    <t>Брюки.спорт (158) × 1</t>
  </si>
  <si>
    <t>Футболка (146) × 1</t>
  </si>
  <si>
    <t>Поло к/р (146) × 1</t>
  </si>
  <si>
    <t>Поло д/р (152) × 2</t>
  </si>
  <si>
    <t>Бомбер (146) × 1</t>
  </si>
  <si>
    <t>Поло к/р (164) × 2</t>
  </si>
  <si>
    <t>Поло к/р (152) × 3</t>
  </si>
  <si>
    <t>Футболка (140) × 2</t>
  </si>
  <si>
    <t>Шорты (134) × 2</t>
  </si>
  <si>
    <t>Бомбер мерч (140) × 1</t>
  </si>
  <si>
    <t>Поло к/р (140) × 3</t>
  </si>
  <si>
    <t>Поло д/р (158) × 2</t>
  </si>
  <si>
    <t>Футболка (152) × 1</t>
  </si>
  <si>
    <t>Брюки.спорт (140) × 2</t>
  </si>
  <si>
    <t>Шорты (152) × 1</t>
  </si>
  <si>
    <t>Поло к/р (134) × 1</t>
  </si>
  <si>
    <t>Худи (164) × 1</t>
  </si>
  <si>
    <t>Футболка (182) × 1</t>
  </si>
  <si>
    <t>Поло к/р (182) × 1</t>
  </si>
  <si>
    <t>Поло д/р (146) × 1</t>
  </si>
  <si>
    <t>худи (152) × 1</t>
  </si>
  <si>
    <t>Поло к/р (176) × 1</t>
  </si>
  <si>
    <t>Поло д/р (182) × 1</t>
  </si>
  <si>
    <t>Футболка (140) × 1</t>
  </si>
  <si>
    <t>Поло к/р (188) × 1</t>
  </si>
  <si>
    <t>худи (164) × 2</t>
  </si>
  <si>
    <t>худи (134) × 1</t>
  </si>
  <si>
    <t>Футболка (128) × 1</t>
  </si>
  <si>
    <t>Поло к/р (152) × 2</t>
  </si>
  <si>
    <t>худи (164) × 1</t>
  </si>
  <si>
    <t>худи (140) × 1</t>
  </si>
  <si>
    <t>Футболка (176) × 1</t>
  </si>
  <si>
    <t>Поло д/р (176) × 1</t>
  </si>
  <si>
    <t>Бомбер (182) × 1</t>
  </si>
  <si>
    <t>худи (176) × 1</t>
  </si>
  <si>
    <t>Свитшот (152) × 1</t>
  </si>
  <si>
    <t>Брюки.спорт (158) × 2</t>
  </si>
  <si>
    <t>Свитшот Мерч (140) × 1</t>
  </si>
  <si>
    <t>Футболка (116) × 1</t>
  </si>
  <si>
    <t>Шапка × 2</t>
  </si>
  <si>
    <t>худи (122) × 1</t>
  </si>
  <si>
    <t>Поло д/р (158) × 1</t>
  </si>
  <si>
    <t>Брюки.спорт (176) × 2</t>
  </si>
  <si>
    <t>Поло д/р (176) × 2</t>
  </si>
  <si>
    <t>Поло к/р (176) × 2</t>
  </si>
  <si>
    <t>худи (188) × 1</t>
  </si>
  <si>
    <t>Поло д/р (182) × 2</t>
  </si>
  <si>
    <t>худи (194) × 1</t>
  </si>
  <si>
    <t>Шапка мерч × 1</t>
  </si>
  <si>
    <t>Поло д/р (140) × 1</t>
  </si>
  <si>
    <t>Шорты (134) × 1</t>
  </si>
  <si>
    <t>Шорты (128) × 1</t>
  </si>
  <si>
    <t>Поло к/р (140) × 2</t>
  </si>
  <si>
    <t>худи (116) × 1</t>
  </si>
  <si>
    <t>Шорты (140) × 1</t>
  </si>
  <si>
    <t>Свитшот мерч (140) × 1</t>
  </si>
  <si>
    <t>Поло д/р (152) × 1</t>
  </si>
  <si>
    <t>Шапка KIS × 1</t>
  </si>
  <si>
    <t>Поло к/р (146) × 2</t>
  </si>
  <si>
    <t>Футболка (146) × 2</t>
  </si>
  <si>
    <t>Поло д/р (170) × 1</t>
  </si>
  <si>
    <t>Шорты (182) × 1</t>
  </si>
  <si>
    <t>Поло д/р (176) × 3</t>
  </si>
  <si>
    <t>Шорты (176) × 1</t>
  </si>
  <si>
    <t>Поло к/р (110) × 1</t>
  </si>
  <si>
    <t>Бомбер (182) × 2</t>
  </si>
  <si>
    <t>Шорты (170) × 2</t>
  </si>
  <si>
    <t>Футболка (164) × 2</t>
  </si>
  <si>
    <t>Поло к/р (182) × 2</t>
  </si>
  <si>
    <t>Поло д/р (140) × 2</t>
  </si>
  <si>
    <t>Поло д/р (170) × 2</t>
  </si>
  <si>
    <t>Поло д/р (128) × 3</t>
  </si>
  <si>
    <t>Поло к/р (134) × 4</t>
  </si>
  <si>
    <t>Футболка (194) × 1</t>
  </si>
  <si>
    <t>Брюки.спорт (182) × 1</t>
  </si>
  <si>
    <t>Поло к/р (158) × 3</t>
  </si>
  <si>
    <t>Шорты (146) × 1</t>
  </si>
  <si>
    <t>Бомбер (110) × 1</t>
  </si>
  <si>
    <t>худи (110) × 1</t>
  </si>
  <si>
    <t>Поло д/р (110) × 1</t>
  </si>
  <si>
    <t>Брюки.спорт (182) × 2</t>
  </si>
  <si>
    <t>Поло д/р (164) × 2</t>
  </si>
  <si>
    <t>худи (182) × 1</t>
  </si>
  <si>
    <t>Бомбер (158) × 2</t>
  </si>
  <si>
    <t>Поло д/р (188) × 1</t>
  </si>
  <si>
    <t>Футболка (188) × 2</t>
  </si>
  <si>
    <t>Футболка (152) × 2</t>
  </si>
  <si>
    <t>Бомбер (188) × 1</t>
  </si>
  <si>
    <t>Брюки.спорт (146) × 2</t>
  </si>
  <si>
    <t>Бомбер (146) × 2</t>
  </si>
  <si>
    <t>Поло к/р (164) × 4</t>
  </si>
  <si>
    <t>Шорты (110) × 1</t>
  </si>
  <si>
    <t>Поло д/р (128) × 2</t>
  </si>
  <si>
    <t>Бомбер (152) × 2</t>
  </si>
  <si>
    <t>Поло к/р (128) × 2</t>
  </si>
  <si>
    <t>Поло к/р (134) × 3</t>
  </si>
  <si>
    <t>Футболка (134) × 2</t>
  </si>
  <si>
    <t>Футболка (176) × 2</t>
  </si>
  <si>
    <t>Футболка (170) × 2</t>
  </si>
  <si>
    <t>Поло к/р (194) × 1</t>
  </si>
  <si>
    <t>Бомбер (194) × 1</t>
  </si>
  <si>
    <t>Брюки.спорт (134) × 2</t>
  </si>
  <si>
    <t>Поло д/р (140) × 3</t>
  </si>
  <si>
    <t>Поло к/р (140) × 5</t>
  </si>
  <si>
    <t>Шорты (152) × 2</t>
  </si>
  <si>
    <t>Поло к/р (170) × 4</t>
  </si>
  <si>
    <t>Брюки.спорт (170) × 2</t>
  </si>
  <si>
    <t>худи (170) × 2</t>
  </si>
  <si>
    <t>Брюки.спорт (134) × 3</t>
  </si>
  <si>
    <t>Футболка (164) × 3</t>
  </si>
  <si>
    <t>Брюки.спорт (164) × 2</t>
  </si>
  <si>
    <t>Шорты (194) × 1</t>
  </si>
  <si>
    <t>Поло д/р (194) × 1</t>
  </si>
  <si>
    <t>Брюки.спорт (128) × 2</t>
  </si>
  <si>
    <t>Бомбер (128) × 2</t>
  </si>
  <si>
    <t>Брюки.спорт (116) × 1</t>
  </si>
  <si>
    <t>Поло к/р (170) × 3</t>
  </si>
  <si>
    <t>Поло к/р (146) × 3</t>
  </si>
  <si>
    <t>Поло к/р (134) × 5</t>
  </si>
  <si>
    <t>Футболка (188) × 1</t>
  </si>
  <si>
    <t>шорты (134) × 1</t>
  </si>
  <si>
    <t>шорты (110) × 1</t>
  </si>
  <si>
    <t>Бомбер (176) × 2</t>
  </si>
  <si>
    <t>Поло к/р (164) × 3</t>
  </si>
  <si>
    <t>Футболка (158) × 2</t>
  </si>
  <si>
    <t>Шорты (158) × 2</t>
  </si>
  <si>
    <t>футболка (146) × 1</t>
  </si>
  <si>
    <t>Поло к/р (194) × 2</t>
  </si>
  <si>
    <t>Шорты (122) × 2</t>
  </si>
  <si>
    <t>Брюки.спорт (122) × 2</t>
  </si>
  <si>
    <t>Поло д/р (116) × 4</t>
  </si>
  <si>
    <t>Поло к/р (116) × 2</t>
  </si>
  <si>
    <t>Бомбер (134) × 2</t>
  </si>
  <si>
    <t>Бомбер (164) × 2</t>
  </si>
  <si>
    <t>Поло д/р (194) × 2</t>
  </si>
  <si>
    <t>футболка (152) × 1</t>
  </si>
  <si>
    <t>Брюки.спорт (122) × 3</t>
  </si>
  <si>
    <t>Футболка (122) × 3</t>
  </si>
  <si>
    <t>Поло д/р (122) × 3</t>
  </si>
  <si>
    <t>Поло к/р (122) × 3</t>
  </si>
  <si>
    <t>Брюки.спорт (140) × 3</t>
  </si>
  <si>
    <t>Шорты (140) × 2</t>
  </si>
  <si>
    <t>Футболка (140) × 3</t>
  </si>
  <si>
    <t>Поло к/р (128) × 3</t>
  </si>
  <si>
    <t>ijhns (134) × 1</t>
  </si>
  <si>
    <t>Футболка (128) × 2</t>
  </si>
  <si>
    <t>Шорты (128) × 2</t>
  </si>
  <si>
    <t>Поло д/р (134) × 3</t>
  </si>
  <si>
    <t>Футболка (122) × 2</t>
  </si>
  <si>
    <t>Бомбер (140) × 3</t>
  </si>
  <si>
    <t>брюки спортивные (158) × 1</t>
  </si>
  <si>
    <t>щорты (146) × 1</t>
  </si>
  <si>
    <t>брюки спортивные (128) × 1</t>
  </si>
  <si>
    <t>Поло к/р (152) × 8</t>
  </si>
  <si>
    <t>Поло к/р (164) × 8</t>
  </si>
  <si>
    <t>брюки спортивные (170) × 1</t>
  </si>
  <si>
    <t>ВСЕГО ЧЕКОВ ПО ЖУРНАЛУ:</t>
  </si>
  <si>
    <t>ОТЧЕТ ПО ВЫРАБОТКЕ СОТРУДНИКОВ И КАССИРОВ</t>
  </si>
  <si>
    <t>Организация: Магазин детской одежды и школьной формы · Период: Все время · Сформирован: 31.10.2026 02:30:50</t>
  </si>
  <si>
    <t>Сотрудник (ФИО)</t>
  </si>
  <si>
    <t>Роль в системе</t>
  </si>
  <si>
    <t>Продано единиц, шт.</t>
  </si>
  <si>
    <t>Предоставлено скидок, ₸</t>
  </si>
  <si>
    <t>Итоговая выручка, ₸</t>
  </si>
  <si>
    <t>Средний чек сотрудника, ₸</t>
  </si>
  <si>
    <t>Среднее число вещей в чеке</t>
  </si>
  <si>
    <t>Администратор</t>
  </si>
  <si>
    <t>ВСЕГО ПО СОТРУДНИКАМ:</t>
  </si>
  <si>
    <t>ПОЯСНИТЕЛЬНАЯ ЗАПИСКА К ЭКСПОРТУ ОТЧЕТНОСТИ (МЕТОДОЛОГИЯ 1С)</t>
  </si>
  <si>
    <t>Магазин детской одежды и школьной формы · Сформирован: 31.10.2026 02:30</t>
  </si>
  <si>
    <t>1. Достоверность данных</t>
  </si>
  <si>
    <t>Отчетность строго опирается на фактически завершенные операции (статус: Оформлен / Approved). Не содержит расчетных или предположительных экстраполяций.</t>
  </si>
  <si>
    <t>2. Складской учет остатков</t>
  </si>
  <si>
    <t>Магазин на данном этапе НЕ ведет складской учет фактических физических остатков. В соответствии с учетной политикой проекта вымышленные остатки и формулы («Было = Продано + Остаток») исключены из всех форм.</t>
  </si>
  <si>
    <t>3. Разделение типов операций</t>
  </si>
  <si>
    <t>Все продажи строго разделены на два независимых потока: «В наличии» (товар выдан непосредственно из торгового зала) и «Под заказ» (индивидуальный пошив школьной формы).</t>
  </si>
  <si>
    <t>4. Учет размеров детской одежды</t>
  </si>
  <si>
    <t>Размеры фиксируются по первичным чекам и сортируются в естественном порядке (числовой рост: 110, 116, 122... либо буквенные: XXS..XXL). Для головных уборов размер не требуется.</t>
  </si>
  <si>
    <t>5. Себестоимость и прибыль</t>
  </si>
  <si>
    <t>Себестоимость рассчитывается по полю закупочной цены (purchase_price). Если закупочная цена не была заполнена при создании товара, она принимается равной 0.00 без искажения учетных записей.</t>
  </si>
  <si>
    <t>6. Поставщики и закупки</t>
  </si>
  <si>
    <t>Справочник поставщиков и входящие приходные накладные в текущей версии базы данных не предусмотрены. Учет ведется по факту расходных операций продажи.</t>
  </si>
  <si>
    <t>7. Формулы и автофильтры</t>
  </si>
  <si>
    <t>Во всех таблицах используются стандартные формулы Excel SUBTOTAL(109, ...) и SUBTOTAL(103, ...). При наложении любого фильтра (по дате, кассиру, категории) все итоги сверху и снизу автоматически пересчитываются.</t>
  </si>
</sst>
</file>

<file path=xl/styles.xml><?xml version="1.0" encoding="utf-8"?>
<styleSheet xmlns="http://schemas.openxmlformats.org/spreadsheetml/2006/main" xml:space="preserve">
  <numFmts count="3">
    <numFmt numFmtId="164" formatCode="#,##0 [$₸-43F]"/>
    <numFmt numFmtId="165" formatCode="0.0%"/>
    <numFmt numFmtId="166" formatCode="0.0"/>
  </numFmts>
  <fonts count="8"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2"/>
      <color rgb="FF0F172A"/>
      <name val="Calibri"/>
    </font>
    <font>
      <b val="0"/>
      <i val="1"/>
      <strike val="0"/>
      <u val="none"/>
      <sz val="9"/>
      <color rgb="FF64748B"/>
      <name val="Calibri"/>
    </font>
    <font>
      <b val="1"/>
      <i val="0"/>
      <strike val="0"/>
      <u val="none"/>
      <sz val="9"/>
      <color rgb="FF1E293B"/>
      <name val="Calibri"/>
    </font>
    <font>
      <b val="1"/>
      <i val="0"/>
      <strike val="0"/>
      <u val="none"/>
      <sz val="9"/>
      <color rgb="FF0F172A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2"/>
      <color rgb="FF1E293B"/>
      <name val="Calibri"/>
    </font>
    <font>
      <b val="1"/>
      <i val="0"/>
      <strike val="0"/>
      <u val="none"/>
      <sz val="9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2E8F0"/>
        <bgColor rgb="FF000000"/>
      </patternFill>
    </fill>
    <fill>
      <patternFill patternType="solid">
        <fgColor rgb="FFF1F5F9"/>
        <bgColor rgb="FF000000"/>
      </patternFill>
    </fill>
    <fill>
      <patternFill patternType="solid">
        <fgColor rgb="FFF8FAFC"/>
        <bgColor rgb="FF000000"/>
      </patternFill>
    </fill>
  </fills>
  <borders count="5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94A3B8"/>
      </top>
      <bottom style="thin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94A3B8"/>
      </top>
      <bottom style="double">
        <color rgb="FF00000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1" applyFont="1" applyNumberFormat="0" applyFill="1" applyBorder="1" applyAlignment="1">
      <alignment horizontal="center" vertical="center" textRotation="0" wrapText="true" shrinkToFit="false"/>
    </xf>
    <xf xfId="0" fontId="4" numFmtId="0" fillId="3" borderId="2" applyFont="1" applyNumberFormat="0" applyFill="1" applyBorder="1" applyAlignment="1">
      <alignment vertical="center" textRotation="0" wrapText="false" shrinkToFit="false"/>
    </xf>
    <xf xfId="0" fontId="5" numFmtId="0" fillId="3" borderId="3" applyFont="1" applyNumberFormat="0" applyFill="1" applyBorder="1" applyAlignment="1">
      <alignment vertical="center" textRotation="0" wrapText="false" shrinkToFit="false"/>
    </xf>
    <xf xfId="0" fontId="0" numFmtId="0" fillId="4" borderId="4" applyFont="0" applyNumberFormat="0" applyFill="1" applyBorder="1" applyAlignment="0"/>
    <xf xfId="0" fontId="0" numFmtId="0" fillId="0" borderId="4" applyFont="0" applyNumberFormat="0" applyFill="0" applyBorder="1" applyAlignment="0"/>
    <xf xfId="0" fontId="0" numFmtId="0" fillId="4" borderId="4" applyFont="0" applyNumberFormat="0" applyFill="1" applyBorder="1" applyAlignment="1">
      <alignment horizontal="center" vertical="bottom" textRotation="0" wrapText="false" shrinkToFit="false"/>
    </xf>
    <xf xfId="0" fontId="0" numFmtId="0" fillId="0" borderId="4" applyFont="0" applyNumberFormat="0" applyFill="0" applyBorder="1" applyAlignment="1">
      <alignment horizontal="center" vertical="bottom" textRotation="0" wrapText="false" shrinkToFit="false"/>
    </xf>
    <xf xfId="0" fontId="0" numFmtId="3" fillId="4" borderId="4" applyFont="0" applyNumberFormat="1" applyFill="1" applyBorder="1" applyAlignment="0"/>
    <xf xfId="0" fontId="0" numFmtId="3" fillId="0" borderId="4" applyFont="0" applyNumberFormat="1" applyFill="0" applyBorder="1" applyAlignment="0"/>
    <xf xfId="0" fontId="5" numFmtId="3" fillId="3" borderId="3" applyFont="1" applyNumberFormat="1" applyFill="1" applyBorder="1" applyAlignment="1">
      <alignment vertical="center" textRotation="0" wrapText="false" shrinkToFit="false"/>
    </xf>
    <xf xfId="0" fontId="0" numFmtId="164" fillId="4" borderId="4" applyFont="0" applyNumberFormat="1" applyFill="1" applyBorder="1" applyAlignment="0"/>
    <xf xfId="0" fontId="0" numFmtId="164" fillId="0" borderId="4" applyFont="0" applyNumberFormat="1" applyFill="0" applyBorder="1" applyAlignment="0"/>
    <xf xfId="0" fontId="0" numFmtId="165" fillId="4" borderId="4" applyFont="0" applyNumberFormat="1" applyFill="1" applyBorder="1" applyAlignment="0"/>
    <xf xfId="0" fontId="0" numFmtId="165" fillId="0" borderId="4" applyFont="0" applyNumberFormat="1" applyFill="0" applyBorder="1" applyAlignment="0"/>
    <xf xfId="0" fontId="5" numFmtId="165" fillId="3" borderId="3" applyFont="1" applyNumberFormat="1" applyFill="1" applyBorder="1" applyAlignment="1">
      <alignment vertical="center" textRotation="0" wrapText="false" shrinkToFit="false"/>
    </xf>
    <xf xfId="0" fontId="5" numFmtId="164" fillId="3" borderId="3" applyFont="1" applyNumberFormat="1" applyFill="1" applyBorder="1" applyAlignment="1">
      <alignment vertical="center" textRotation="0" wrapText="false" shrinkToFit="false"/>
    </xf>
    <xf xfId="0" fontId="0" numFmtId="0" fillId="4" borderId="4" applyFont="0" applyNumberFormat="0" applyFill="1" applyBorder="1" applyAlignment="1">
      <alignment horizontal="right" vertical="bottom" textRotation="0" wrapText="false" shrinkToFit="false"/>
    </xf>
    <xf xfId="0" fontId="0" numFmtId="0" fillId="0" borderId="4" applyFont="0" applyNumberFormat="0" applyFill="0" applyBorder="1" applyAlignment="1">
      <alignment horizontal="right" vertical="bottom" textRotation="0" wrapText="false" shrinkToFit="false"/>
    </xf>
    <xf xfId="0" fontId="0" numFmtId="166" fillId="4" borderId="4" applyFont="0" applyNumberFormat="1" applyFill="1" applyBorder="1" applyAlignment="0"/>
    <xf xfId="0" fontId="0" numFmtId="166" fillId="0" borderId="4" applyFont="0" applyNumberFormat="1" applyFill="0" applyBorder="1" applyAlignment="0"/>
    <xf xfId="0" fontId="5" numFmtId="166" fillId="3" borderId="3" applyFont="1" applyNumberFormat="1" applyFill="1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0"/>
    <xf xfId="0" fontId="7" numFmtId="0" fillId="4" borderId="4" applyFont="1" applyNumberFormat="0" applyFill="1" applyBorder="1" applyAlignment="0"/>
    <xf xfId="0" fontId="7" numFmtId="0" fillId="0" borderId="4" applyFont="1" applyNumberFormat="0" applyFill="0" applyBorder="1" applyAlignment="0"/>
    <xf xfId="0" fontId="0" numFmtId="0" fillId="4" borderId="4" applyFont="0" applyNumberFormat="0" applyFill="1" applyBorder="1" applyAlignment="1">
      <alignment vertical="bottom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B1549"/>
  <sheetViews>
    <sheetView tabSelected="1" workbookViewId="0" showGridLines="true" showRowColHeaders="1">
      <pane ySplit="7" activePane="bottomLeft" state="frozen" topLeftCell="A8"/>
      <selection pane="bottomLeft" activeCell="W8" sqref="W8:W1549"/>
    </sheetView>
  </sheetViews>
  <sheetFormatPr defaultRowHeight="14.4" outlineLevelRow="0" outlineLevelCol="0"/>
  <cols>
    <col min="1" max="1" width="121.316" bestFit="true" customWidth="true" style="0"/>
    <col min="2" max="2" width="24.497" bestFit="true" customWidth="true" style="0"/>
    <col min="3" max="3" width="21.164" bestFit="true" customWidth="true" style="0"/>
    <col min="4" max="4" width="21.164" bestFit="true" customWidth="true" style="0"/>
    <col min="5" max="5" width="18.997" bestFit="true" customWidth="true" style="0"/>
    <col min="6" max="6" width="18.997" bestFit="true" customWidth="true" style="0"/>
    <col min="7" max="7" width="17.664" bestFit="true" customWidth="true" style="0"/>
    <col min="8" max="8" width="27.996" bestFit="true" customWidth="true" style="0"/>
    <col min="9" max="9" width="31.162" bestFit="true" customWidth="true" style="0"/>
    <col min="10" max="10" width="30.163" bestFit="true" customWidth="true" style="0"/>
    <col min="11" max="11" width="10.832" bestFit="true" customWidth="true" style="0"/>
    <col min="12" max="12" width="17.664" bestFit="true" customWidth="true" style="0"/>
    <col min="13" max="13" width="26.663" bestFit="true" customWidth="true" style="0"/>
    <col min="14" max="14" width="19.997" bestFit="true" customWidth="true" style="0"/>
    <col min="15" max="15" width="21.164" bestFit="true" customWidth="true" style="0"/>
    <col min="16" max="16" width="26.663" bestFit="true" customWidth="true" style="0"/>
    <col min="17" max="17" width="23.497" bestFit="true" customWidth="true" style="0"/>
    <col min="18" max="18" width="22.164" bestFit="true" customWidth="true" style="0"/>
    <col min="19" max="19" width="23.497" bestFit="true" customWidth="true" style="0"/>
    <col min="20" max="20" width="27.996" bestFit="true" customWidth="true" style="0"/>
    <col min="21" max="21" width="28.996" bestFit="true" customWidth="true" style="0"/>
    <col min="22" max="22" width="25.663" bestFit="true" customWidth="true" style="0"/>
    <col min="23" max="23" width="24.497" bestFit="true" customWidth="true" style="0"/>
    <col min="24" max="24" width="30.163" bestFit="true" customWidth="true" style="0"/>
    <col min="25" max="25" width="23.497" bestFit="true" customWidth="true" style="0"/>
    <col min="26" max="26" width="19.997" bestFit="true" customWidth="true" style="0"/>
    <col min="27" max="27" width="22.164" bestFit="true" customWidth="true" style="0"/>
    <col min="28" max="28" width="27.996" bestFit="true" customWidth="true" style="0"/>
  </cols>
  <sheetData>
    <row r="2" spans="1:28">
      <c r="A2" s="1" t="s">
        <v>0</v>
      </c>
    </row>
    <row r="3" spans="1:28">
      <c r="A3" s="2" t="s">
        <v>1</v>
      </c>
    </row>
    <row r="5" spans="1:28" customHeight="1" ht="22">
      <c r="A5" s="4" t="s">
        <v>1892</v>
      </c>
      <c r="B5" s="4"/>
      <c r="C5" s="4"/>
      <c r="D5" s="4"/>
      <c r="E5" s="4"/>
      <c r="F5" s="4"/>
      <c r="G5" s="4"/>
      <c r="H5" s="4"/>
      <c r="I5" s="4"/>
      <c r="J5" s="4"/>
      <c r="K5" s="4"/>
      <c r="L5" s="4">
        <f>SUBTOTAL(109, L8:L1548)</f>
        <v>1922</v>
      </c>
      <c r="M5" s="4" t="s">
        <v>42</v>
      </c>
      <c r="N5" s="4" t="s">
        <v>42</v>
      </c>
      <c r="O5" s="4">
        <f>IF(Q5&gt;0, R5/Q5, 0)</f>
        <v>0.0009228410992758</v>
      </c>
      <c r="P5" s="4" t="s">
        <v>42</v>
      </c>
      <c r="Q5" s="4">
        <f>SUBTOTAL(109, Q8:Q1548)</f>
        <v>19179900</v>
      </c>
      <c r="R5" s="4">
        <f>SUBTOTAL(109, R8:R1548)</f>
        <v>17700</v>
      </c>
      <c r="S5" s="4">
        <f>SUBTOTAL(109, S8:S1548)</f>
        <v>19162200</v>
      </c>
      <c r="T5" s="4" t="s">
        <v>42</v>
      </c>
      <c r="U5" s="4">
        <f>SUBTOTAL(109, U8:U1548)</f>
        <v>0</v>
      </c>
      <c r="V5" s="4">
        <f>SUBTOTAL(109, V8:V1548)</f>
        <v>19162200</v>
      </c>
      <c r="W5" s="4">
        <f>IF(S5&gt;0, V5/S5, 0)</f>
        <v>1</v>
      </c>
      <c r="X5" s="4" t="str">
        <f>SUBTOTAL(103, A8:A1548) &amp; " поз."</f>
        <v>1541 поз.</v>
      </c>
      <c r="Y5" s="4"/>
      <c r="Z5" s="4"/>
      <c r="AA5" s="4"/>
      <c r="AB5" s="4"/>
    </row>
    <row r="7" spans="1:28" customHeight="1" ht="28">
      <c r="A7" s="3" t="s">
        <v>2</v>
      </c>
      <c r="B7" s="3" t="s">
        <v>3</v>
      </c>
      <c r="C7" s="3" t="s">
        <v>4</v>
      </c>
      <c r="D7" s="3" t="s">
        <v>5</v>
      </c>
      <c r="E7" s="3" t="s">
        <v>6</v>
      </c>
      <c r="F7" s="3" t="s">
        <v>7</v>
      </c>
      <c r="G7" s="3" t="s">
        <v>8</v>
      </c>
      <c r="H7" s="3" t="s">
        <v>9</v>
      </c>
      <c r="I7" s="3" t="s">
        <v>10</v>
      </c>
      <c r="J7" s="3" t="s">
        <v>11</v>
      </c>
      <c r="K7" s="3" t="s">
        <v>12</v>
      </c>
      <c r="L7" s="3" t="s">
        <v>13</v>
      </c>
      <c r="M7" s="3" t="s">
        <v>14</v>
      </c>
      <c r="N7" s="3" t="s">
        <v>15</v>
      </c>
      <c r="O7" s="3" t="s">
        <v>16</v>
      </c>
      <c r="P7" s="3" t="s">
        <v>17</v>
      </c>
      <c r="Q7" s="3" t="s">
        <v>18</v>
      </c>
      <c r="R7" s="3" t="s">
        <v>19</v>
      </c>
      <c r="S7" s="3" t="s">
        <v>20</v>
      </c>
      <c r="T7" s="3" t="s">
        <v>21</v>
      </c>
      <c r="U7" s="3" t="s">
        <v>22</v>
      </c>
      <c r="V7" s="3" t="s">
        <v>23</v>
      </c>
      <c r="W7" s="3" t="s">
        <v>24</v>
      </c>
      <c r="X7" s="3" t="s">
        <v>25</v>
      </c>
      <c r="Y7" s="3" t="s">
        <v>26</v>
      </c>
      <c r="Z7" s="3" t="s">
        <v>27</v>
      </c>
      <c r="AA7" s="3" t="s">
        <v>28</v>
      </c>
      <c r="AB7" s="3" t="s">
        <v>29</v>
      </c>
    </row>
    <row r="8" spans="1:28">
      <c r="A8" s="8">
        <v>1</v>
      </c>
      <c r="B8" s="8" t="s">
        <v>30</v>
      </c>
      <c r="C8" s="8" t="s">
        <v>31</v>
      </c>
      <c r="D8" s="8" t="s">
        <v>32</v>
      </c>
      <c r="E8" s="8" t="s">
        <v>33</v>
      </c>
      <c r="F8" s="6" t="s">
        <v>34</v>
      </c>
      <c r="G8" s="6" t="s">
        <v>35</v>
      </c>
      <c r="H8" s="6" t="s">
        <v>36</v>
      </c>
      <c r="I8" s="8">
        <v>158</v>
      </c>
      <c r="J8" s="8" t="s">
        <v>37</v>
      </c>
      <c r="K8" s="8" t="s">
        <v>38</v>
      </c>
      <c r="L8" s="10">
        <v>1</v>
      </c>
      <c r="M8" s="13">
        <v>8000.0</v>
      </c>
      <c r="N8" s="13"/>
      <c r="O8" s="15">
        <f>IF(M8&gt;0, N8/M8, 0)</f>
        <v>0</v>
      </c>
      <c r="P8" s="13">
        <f>M8-N8</f>
        <v>8000</v>
      </c>
      <c r="Q8" s="13">
        <f>L8*M8</f>
        <v>8000</v>
      </c>
      <c r="R8" s="13">
        <f>L8*N8</f>
        <v>0</v>
      </c>
      <c r="S8" s="13">
        <f>L8*P8</f>
        <v>8000</v>
      </c>
      <c r="T8" s="13"/>
      <c r="U8" s="13">
        <f>L8*T8</f>
        <v>0</v>
      </c>
      <c r="V8" s="13">
        <f>S8-U8</f>
        <v>8000</v>
      </c>
      <c r="W8" s="15">
        <f>IF(S8&gt;0, V8/S8, 0)</f>
        <v>1</v>
      </c>
      <c r="X8" s="6" t="s">
        <v>39</v>
      </c>
      <c r="Y8" s="8" t="s">
        <v>40</v>
      </c>
      <c r="Z8" s="8" t="s">
        <v>41</v>
      </c>
      <c r="AA8" s="8" t="s">
        <v>42</v>
      </c>
      <c r="AB8" s="6" t="s">
        <v>42</v>
      </c>
    </row>
    <row r="9" spans="1:28">
      <c r="A9" s="9">
        <v>2</v>
      </c>
      <c r="B9" s="9" t="s">
        <v>43</v>
      </c>
      <c r="C9" s="9" t="s">
        <v>44</v>
      </c>
      <c r="D9" s="9" t="s">
        <v>32</v>
      </c>
      <c r="E9" s="9" t="s">
        <v>33</v>
      </c>
      <c r="F9" s="7" t="s">
        <v>34</v>
      </c>
      <c r="G9" s="7" t="s">
        <v>45</v>
      </c>
      <c r="H9" s="7" t="s">
        <v>46</v>
      </c>
      <c r="I9" s="9">
        <v>158</v>
      </c>
      <c r="J9" s="9" t="s">
        <v>47</v>
      </c>
      <c r="K9" s="9" t="s">
        <v>38</v>
      </c>
      <c r="L9" s="11">
        <v>1</v>
      </c>
      <c r="M9" s="14">
        <v>18000.0</v>
      </c>
      <c r="N9" s="14"/>
      <c r="O9" s="16">
        <f>IF(M9&gt;0, N9/M9, 0)</f>
        <v>0</v>
      </c>
      <c r="P9" s="14">
        <f>M9-N9</f>
        <v>18000</v>
      </c>
      <c r="Q9" s="14">
        <f>L9*M9</f>
        <v>18000</v>
      </c>
      <c r="R9" s="14">
        <f>L9*N9</f>
        <v>0</v>
      </c>
      <c r="S9" s="14">
        <f>L9*P9</f>
        <v>18000</v>
      </c>
      <c r="T9" s="14"/>
      <c r="U9" s="14">
        <f>L9*T9</f>
        <v>0</v>
      </c>
      <c r="V9" s="14">
        <f>S9-U9</f>
        <v>18000</v>
      </c>
      <c r="W9" s="16">
        <f>IF(S9&gt;0, V9/S9, 0)</f>
        <v>1</v>
      </c>
      <c r="X9" s="7" t="s">
        <v>39</v>
      </c>
      <c r="Y9" s="9" t="s">
        <v>40</v>
      </c>
      <c r="Z9" s="9" t="s">
        <v>41</v>
      </c>
      <c r="AA9" s="9" t="s">
        <v>42</v>
      </c>
      <c r="AB9" s="7" t="s">
        <v>42</v>
      </c>
    </row>
    <row r="10" spans="1:28">
      <c r="A10" s="8">
        <v>3</v>
      </c>
      <c r="B10" s="8" t="s">
        <v>48</v>
      </c>
      <c r="C10" s="8" t="s">
        <v>49</v>
      </c>
      <c r="D10" s="8" t="s">
        <v>32</v>
      </c>
      <c r="E10" s="8" t="s">
        <v>33</v>
      </c>
      <c r="F10" s="6" t="s">
        <v>50</v>
      </c>
      <c r="G10" s="6" t="s">
        <v>51</v>
      </c>
      <c r="H10" s="6" t="s">
        <v>51</v>
      </c>
      <c r="I10" s="8">
        <v>170</v>
      </c>
      <c r="J10" s="8" t="s">
        <v>52</v>
      </c>
      <c r="K10" s="8" t="s">
        <v>53</v>
      </c>
      <c r="L10" s="10">
        <v>1</v>
      </c>
      <c r="M10" s="13">
        <v>8000.0</v>
      </c>
      <c r="N10" s="13"/>
      <c r="O10" s="15">
        <f>IF(M10&gt;0, N10/M10, 0)</f>
        <v>0</v>
      </c>
      <c r="P10" s="13">
        <f>M10-N10</f>
        <v>8000</v>
      </c>
      <c r="Q10" s="13">
        <f>L10*M10</f>
        <v>8000</v>
      </c>
      <c r="R10" s="13">
        <f>L10*N10</f>
        <v>0</v>
      </c>
      <c r="S10" s="13">
        <f>L10*P10</f>
        <v>8000</v>
      </c>
      <c r="T10" s="13"/>
      <c r="U10" s="13">
        <f>L10*T10</f>
        <v>0</v>
      </c>
      <c r="V10" s="13">
        <f>S10-U10</f>
        <v>8000</v>
      </c>
      <c r="W10" s="15">
        <f>IF(S10&gt;0, V10/S10, 0)</f>
        <v>1</v>
      </c>
      <c r="X10" s="6" t="s">
        <v>39</v>
      </c>
      <c r="Y10" s="8" t="s">
        <v>40</v>
      </c>
      <c r="Z10" s="8" t="s">
        <v>41</v>
      </c>
      <c r="AA10" s="8" t="s">
        <v>42</v>
      </c>
      <c r="AB10" s="6" t="s">
        <v>42</v>
      </c>
    </row>
    <row r="11" spans="1:28">
      <c r="A11" s="9">
        <v>4</v>
      </c>
      <c r="B11" s="9" t="s">
        <v>54</v>
      </c>
      <c r="C11" s="9" t="s">
        <v>55</v>
      </c>
      <c r="D11" s="9" t="s">
        <v>32</v>
      </c>
      <c r="E11" s="9" t="s">
        <v>33</v>
      </c>
      <c r="F11" s="7" t="s">
        <v>34</v>
      </c>
      <c r="G11" s="7" t="s">
        <v>56</v>
      </c>
      <c r="H11" s="7" t="s">
        <v>56</v>
      </c>
      <c r="I11" s="9">
        <v>164</v>
      </c>
      <c r="J11" s="9" t="s">
        <v>57</v>
      </c>
      <c r="K11" s="9" t="s">
        <v>38</v>
      </c>
      <c r="L11" s="11">
        <v>1</v>
      </c>
      <c r="M11" s="14">
        <v>7500.0</v>
      </c>
      <c r="N11" s="14"/>
      <c r="O11" s="16">
        <f>IF(M11&gt;0, N11/M11, 0)</f>
        <v>0</v>
      </c>
      <c r="P11" s="14">
        <f>M11-N11</f>
        <v>7500</v>
      </c>
      <c r="Q11" s="14">
        <f>L11*M11</f>
        <v>7500</v>
      </c>
      <c r="R11" s="14">
        <f>L11*N11</f>
        <v>0</v>
      </c>
      <c r="S11" s="14">
        <f>L11*P11</f>
        <v>7500</v>
      </c>
      <c r="T11" s="14"/>
      <c r="U11" s="14">
        <f>L11*T11</f>
        <v>0</v>
      </c>
      <c r="V11" s="14">
        <f>S11-U11</f>
        <v>7500</v>
      </c>
      <c r="W11" s="16">
        <f>IF(S11&gt;0, V11/S11, 0)</f>
        <v>1</v>
      </c>
      <c r="X11" s="7" t="s">
        <v>58</v>
      </c>
      <c r="Y11" s="9" t="s">
        <v>40</v>
      </c>
      <c r="Z11" s="9" t="s">
        <v>41</v>
      </c>
      <c r="AA11" s="9" t="s">
        <v>42</v>
      </c>
      <c r="AB11" s="7" t="s">
        <v>42</v>
      </c>
    </row>
    <row r="12" spans="1:28">
      <c r="A12" s="8">
        <v>5</v>
      </c>
      <c r="B12" s="8" t="s">
        <v>59</v>
      </c>
      <c r="C12" s="8" t="s">
        <v>60</v>
      </c>
      <c r="D12" s="8" t="s">
        <v>32</v>
      </c>
      <c r="E12" s="8" t="s">
        <v>33</v>
      </c>
      <c r="F12" s="6" t="s">
        <v>34</v>
      </c>
      <c r="G12" s="6" t="s">
        <v>51</v>
      </c>
      <c r="H12" s="6" t="s">
        <v>51</v>
      </c>
      <c r="I12" s="8">
        <v>164</v>
      </c>
      <c r="J12" s="8" t="s">
        <v>61</v>
      </c>
      <c r="K12" s="8" t="s">
        <v>38</v>
      </c>
      <c r="L12" s="10">
        <v>1</v>
      </c>
      <c r="M12" s="13">
        <v>8500.0</v>
      </c>
      <c r="N12" s="13"/>
      <c r="O12" s="15">
        <f>IF(M12&gt;0, N12/M12, 0)</f>
        <v>0</v>
      </c>
      <c r="P12" s="13">
        <f>M12-N12</f>
        <v>8500</v>
      </c>
      <c r="Q12" s="13">
        <f>L12*M12</f>
        <v>8500</v>
      </c>
      <c r="R12" s="13">
        <f>L12*N12</f>
        <v>0</v>
      </c>
      <c r="S12" s="13">
        <f>L12*P12</f>
        <v>8500</v>
      </c>
      <c r="T12" s="13"/>
      <c r="U12" s="13">
        <f>L12*T12</f>
        <v>0</v>
      </c>
      <c r="V12" s="13">
        <f>S12-U12</f>
        <v>8500</v>
      </c>
      <c r="W12" s="15">
        <f>IF(S12&gt;0, V12/S12, 0)</f>
        <v>1</v>
      </c>
      <c r="X12" s="6" t="s">
        <v>58</v>
      </c>
      <c r="Y12" s="8" t="s">
        <v>40</v>
      </c>
      <c r="Z12" s="8" t="s">
        <v>41</v>
      </c>
      <c r="AA12" s="8" t="s">
        <v>42</v>
      </c>
      <c r="AB12" s="6" t="s">
        <v>42</v>
      </c>
    </row>
    <row r="13" spans="1:28">
      <c r="A13" s="9">
        <v>6</v>
      </c>
      <c r="B13" s="9" t="s">
        <v>62</v>
      </c>
      <c r="C13" s="9" t="s">
        <v>60</v>
      </c>
      <c r="D13" s="9" t="s">
        <v>32</v>
      </c>
      <c r="E13" s="9" t="s">
        <v>33</v>
      </c>
      <c r="F13" s="7" t="s">
        <v>34</v>
      </c>
      <c r="G13" s="7" t="s">
        <v>63</v>
      </c>
      <c r="H13" s="7" t="s">
        <v>64</v>
      </c>
      <c r="I13" s="9">
        <v>164</v>
      </c>
      <c r="J13" s="9" t="s">
        <v>65</v>
      </c>
      <c r="K13" s="9" t="s">
        <v>38</v>
      </c>
      <c r="L13" s="11">
        <v>1</v>
      </c>
      <c r="M13" s="14">
        <v>9500.0</v>
      </c>
      <c r="N13" s="14"/>
      <c r="O13" s="16">
        <f>IF(M13&gt;0, N13/M13, 0)</f>
        <v>0</v>
      </c>
      <c r="P13" s="14">
        <f>M13-N13</f>
        <v>9500</v>
      </c>
      <c r="Q13" s="14">
        <f>L13*M13</f>
        <v>9500</v>
      </c>
      <c r="R13" s="14">
        <f>L13*N13</f>
        <v>0</v>
      </c>
      <c r="S13" s="14">
        <f>L13*P13</f>
        <v>9500</v>
      </c>
      <c r="T13" s="14"/>
      <c r="U13" s="14">
        <f>L13*T13</f>
        <v>0</v>
      </c>
      <c r="V13" s="14">
        <f>S13-U13</f>
        <v>9500</v>
      </c>
      <c r="W13" s="16">
        <f>IF(S13&gt;0, V13/S13, 0)</f>
        <v>1</v>
      </c>
      <c r="X13" s="7" t="s">
        <v>58</v>
      </c>
      <c r="Y13" s="9" t="s">
        <v>40</v>
      </c>
      <c r="Z13" s="9" t="s">
        <v>41</v>
      </c>
      <c r="AA13" s="9" t="s">
        <v>42</v>
      </c>
      <c r="AB13" s="7" t="s">
        <v>42</v>
      </c>
    </row>
    <row r="14" spans="1:28">
      <c r="A14" s="8">
        <v>7</v>
      </c>
      <c r="B14" s="8" t="s">
        <v>66</v>
      </c>
      <c r="C14" s="8" t="s">
        <v>67</v>
      </c>
      <c r="D14" s="8" t="s">
        <v>32</v>
      </c>
      <c r="E14" s="8" t="s">
        <v>68</v>
      </c>
      <c r="F14" s="6" t="s">
        <v>34</v>
      </c>
      <c r="G14" s="6" t="s">
        <v>69</v>
      </c>
      <c r="H14" s="6" t="s">
        <v>69</v>
      </c>
      <c r="I14" s="8">
        <v>164</v>
      </c>
      <c r="J14" s="8" t="s">
        <v>70</v>
      </c>
      <c r="K14" s="8" t="s">
        <v>38</v>
      </c>
      <c r="L14" s="10">
        <v>1</v>
      </c>
      <c r="M14" s="13">
        <v>18000.0</v>
      </c>
      <c r="N14" s="13"/>
      <c r="O14" s="15">
        <f>IF(M14&gt;0, N14/M14, 0)</f>
        <v>0</v>
      </c>
      <c r="P14" s="13">
        <f>M14-N14</f>
        <v>18000</v>
      </c>
      <c r="Q14" s="13">
        <f>L14*M14</f>
        <v>18000</v>
      </c>
      <c r="R14" s="13">
        <f>L14*N14</f>
        <v>0</v>
      </c>
      <c r="S14" s="13">
        <f>L14*P14</f>
        <v>18000</v>
      </c>
      <c r="T14" s="13"/>
      <c r="U14" s="13">
        <f>L14*T14</f>
        <v>0</v>
      </c>
      <c r="V14" s="13">
        <f>S14-U14</f>
        <v>18000</v>
      </c>
      <c r="W14" s="15">
        <f>IF(S14&gt;0, V14/S14, 0)</f>
        <v>1</v>
      </c>
      <c r="X14" s="6" t="s">
        <v>58</v>
      </c>
      <c r="Y14" s="8" t="s">
        <v>40</v>
      </c>
      <c r="Z14" s="8" t="s">
        <v>71</v>
      </c>
      <c r="AA14" s="8" t="s">
        <v>42</v>
      </c>
      <c r="AB14" s="6" t="s">
        <v>42</v>
      </c>
    </row>
    <row r="15" spans="1:28">
      <c r="A15" s="9">
        <v>8</v>
      </c>
      <c r="B15" s="9" t="s">
        <v>72</v>
      </c>
      <c r="C15" s="9" t="s">
        <v>67</v>
      </c>
      <c r="D15" s="9" t="s">
        <v>32</v>
      </c>
      <c r="E15" s="9" t="s">
        <v>33</v>
      </c>
      <c r="F15" s="7" t="s">
        <v>34</v>
      </c>
      <c r="G15" s="7" t="s">
        <v>35</v>
      </c>
      <c r="H15" s="7" t="s">
        <v>73</v>
      </c>
      <c r="I15" s="9">
        <v>164</v>
      </c>
      <c r="J15" s="9" t="s">
        <v>74</v>
      </c>
      <c r="K15" s="9" t="s">
        <v>38</v>
      </c>
      <c r="L15" s="11">
        <v>1</v>
      </c>
      <c r="M15" s="14">
        <v>9000.0</v>
      </c>
      <c r="N15" s="14"/>
      <c r="O15" s="16">
        <f>IF(M15&gt;0, N15/M15, 0)</f>
        <v>0</v>
      </c>
      <c r="P15" s="14">
        <f>M15-N15</f>
        <v>9000</v>
      </c>
      <c r="Q15" s="14">
        <f>L15*M15</f>
        <v>9000</v>
      </c>
      <c r="R15" s="14">
        <f>L15*N15</f>
        <v>0</v>
      </c>
      <c r="S15" s="14">
        <f>L15*P15</f>
        <v>9000</v>
      </c>
      <c r="T15" s="14"/>
      <c r="U15" s="14">
        <f>L15*T15</f>
        <v>0</v>
      </c>
      <c r="V15" s="14">
        <f>S15-U15</f>
        <v>9000</v>
      </c>
      <c r="W15" s="16">
        <f>IF(S15&gt;0, V15/S15, 0)</f>
        <v>1</v>
      </c>
      <c r="X15" s="7" t="s">
        <v>58</v>
      </c>
      <c r="Y15" s="9" t="s">
        <v>40</v>
      </c>
      <c r="Z15" s="9" t="s">
        <v>41</v>
      </c>
      <c r="AA15" s="9" t="s">
        <v>42</v>
      </c>
      <c r="AB15" s="7" t="s">
        <v>42</v>
      </c>
    </row>
    <row r="16" spans="1:28">
      <c r="A16" s="8">
        <v>9</v>
      </c>
      <c r="B16" s="8" t="s">
        <v>75</v>
      </c>
      <c r="C16" s="8" t="s">
        <v>76</v>
      </c>
      <c r="D16" s="8" t="s">
        <v>32</v>
      </c>
      <c r="E16" s="8" t="s">
        <v>33</v>
      </c>
      <c r="F16" s="6" t="s">
        <v>34</v>
      </c>
      <c r="G16" s="6" t="s">
        <v>35</v>
      </c>
      <c r="H16" s="6" t="s">
        <v>36</v>
      </c>
      <c r="I16" s="8">
        <v>164</v>
      </c>
      <c r="J16" s="8" t="s">
        <v>77</v>
      </c>
      <c r="K16" s="8" t="s">
        <v>38</v>
      </c>
      <c r="L16" s="10">
        <v>1</v>
      </c>
      <c r="M16" s="13">
        <v>8000.0</v>
      </c>
      <c r="N16" s="13"/>
      <c r="O16" s="15">
        <f>IF(M16&gt;0, N16/M16, 0)</f>
        <v>0</v>
      </c>
      <c r="P16" s="13">
        <f>M16-N16</f>
        <v>8000</v>
      </c>
      <c r="Q16" s="13">
        <f>L16*M16</f>
        <v>8000</v>
      </c>
      <c r="R16" s="13">
        <f>L16*N16</f>
        <v>0</v>
      </c>
      <c r="S16" s="13">
        <f>L16*P16</f>
        <v>8000</v>
      </c>
      <c r="T16" s="13"/>
      <c r="U16" s="13">
        <f>L16*T16</f>
        <v>0</v>
      </c>
      <c r="V16" s="13">
        <f>S16-U16</f>
        <v>8000</v>
      </c>
      <c r="W16" s="15">
        <f>IF(S16&gt;0, V16/S16, 0)</f>
        <v>1</v>
      </c>
      <c r="X16" s="6" t="s">
        <v>58</v>
      </c>
      <c r="Y16" s="8" t="s">
        <v>40</v>
      </c>
      <c r="Z16" s="8" t="s">
        <v>41</v>
      </c>
      <c r="AA16" s="8" t="s">
        <v>42</v>
      </c>
      <c r="AB16" s="6" t="s">
        <v>42</v>
      </c>
    </row>
    <row r="17" spans="1:28">
      <c r="A17" s="9">
        <v>10</v>
      </c>
      <c r="B17" s="9" t="s">
        <v>78</v>
      </c>
      <c r="C17" s="9" t="s">
        <v>76</v>
      </c>
      <c r="D17" s="9" t="s">
        <v>32</v>
      </c>
      <c r="E17" s="9" t="s">
        <v>33</v>
      </c>
      <c r="F17" s="7" t="s">
        <v>50</v>
      </c>
      <c r="G17" s="7" t="s">
        <v>56</v>
      </c>
      <c r="H17" s="7" t="s">
        <v>56</v>
      </c>
      <c r="I17" s="9">
        <v>116</v>
      </c>
      <c r="J17" s="9" t="s">
        <v>79</v>
      </c>
      <c r="K17" s="9" t="s">
        <v>38</v>
      </c>
      <c r="L17" s="11">
        <v>1</v>
      </c>
      <c r="M17" s="14">
        <v>7000.0</v>
      </c>
      <c r="N17" s="14"/>
      <c r="O17" s="16">
        <f>IF(M17&gt;0, N17/M17, 0)</f>
        <v>0</v>
      </c>
      <c r="P17" s="14">
        <f>M17-N17</f>
        <v>7000</v>
      </c>
      <c r="Q17" s="14">
        <f>L17*M17</f>
        <v>7000</v>
      </c>
      <c r="R17" s="14">
        <f>L17*N17</f>
        <v>0</v>
      </c>
      <c r="S17" s="14">
        <f>L17*P17</f>
        <v>7000</v>
      </c>
      <c r="T17" s="14"/>
      <c r="U17" s="14">
        <f>L17*T17</f>
        <v>0</v>
      </c>
      <c r="V17" s="14">
        <f>S17-U17</f>
        <v>7000</v>
      </c>
      <c r="W17" s="16">
        <f>IF(S17&gt;0, V17/S17, 0)</f>
        <v>1</v>
      </c>
      <c r="X17" s="7" t="s">
        <v>58</v>
      </c>
      <c r="Y17" s="9" t="s">
        <v>40</v>
      </c>
      <c r="Z17" s="9" t="s">
        <v>41</v>
      </c>
      <c r="AA17" s="9" t="s">
        <v>42</v>
      </c>
      <c r="AB17" s="7" t="s">
        <v>42</v>
      </c>
    </row>
    <row r="18" spans="1:28">
      <c r="A18" s="8">
        <v>11</v>
      </c>
      <c r="B18" s="8" t="s">
        <v>80</v>
      </c>
      <c r="C18" s="8" t="s">
        <v>81</v>
      </c>
      <c r="D18" s="8" t="s">
        <v>32</v>
      </c>
      <c r="E18" s="8" t="s">
        <v>33</v>
      </c>
      <c r="F18" s="6" t="s">
        <v>50</v>
      </c>
      <c r="G18" s="6" t="s">
        <v>51</v>
      </c>
      <c r="H18" s="6" t="s">
        <v>51</v>
      </c>
      <c r="I18" s="8">
        <v>122</v>
      </c>
      <c r="J18" s="8" t="s">
        <v>82</v>
      </c>
      <c r="K18" s="8" t="s">
        <v>53</v>
      </c>
      <c r="L18" s="10">
        <v>1</v>
      </c>
      <c r="M18" s="13">
        <v>8000.0</v>
      </c>
      <c r="N18" s="13"/>
      <c r="O18" s="15">
        <f>IF(M18&gt;0, N18/M18, 0)</f>
        <v>0</v>
      </c>
      <c r="P18" s="13">
        <f>M18-N18</f>
        <v>8000</v>
      </c>
      <c r="Q18" s="13">
        <f>L18*M18</f>
        <v>8000</v>
      </c>
      <c r="R18" s="13">
        <f>L18*N18</f>
        <v>0</v>
      </c>
      <c r="S18" s="13">
        <f>L18*P18</f>
        <v>8000</v>
      </c>
      <c r="T18" s="13"/>
      <c r="U18" s="13">
        <f>L18*T18</f>
        <v>0</v>
      </c>
      <c r="V18" s="13">
        <f>S18-U18</f>
        <v>8000</v>
      </c>
      <c r="W18" s="15">
        <f>IF(S18&gt;0, V18/S18, 0)</f>
        <v>1</v>
      </c>
      <c r="X18" s="6" t="s">
        <v>58</v>
      </c>
      <c r="Y18" s="8" t="s">
        <v>40</v>
      </c>
      <c r="Z18" s="8" t="s">
        <v>41</v>
      </c>
      <c r="AA18" s="8" t="s">
        <v>42</v>
      </c>
      <c r="AB18" s="6" t="s">
        <v>42</v>
      </c>
    </row>
    <row r="19" spans="1:28">
      <c r="A19" s="9">
        <v>12</v>
      </c>
      <c r="B19" s="9" t="s">
        <v>83</v>
      </c>
      <c r="C19" s="9" t="s">
        <v>81</v>
      </c>
      <c r="D19" s="9" t="s">
        <v>32</v>
      </c>
      <c r="E19" s="9" t="s">
        <v>33</v>
      </c>
      <c r="F19" s="7" t="s">
        <v>50</v>
      </c>
      <c r="G19" s="7" t="s">
        <v>63</v>
      </c>
      <c r="H19" s="7" t="s">
        <v>64</v>
      </c>
      <c r="I19" s="9">
        <v>116</v>
      </c>
      <c r="J19" s="9" t="s">
        <v>84</v>
      </c>
      <c r="K19" s="9" t="s">
        <v>38</v>
      </c>
      <c r="L19" s="11">
        <v>1</v>
      </c>
      <c r="M19" s="14">
        <v>9000.0</v>
      </c>
      <c r="N19" s="14"/>
      <c r="O19" s="16">
        <f>IF(M19&gt;0, N19/M19, 0)</f>
        <v>0</v>
      </c>
      <c r="P19" s="14">
        <f>M19-N19</f>
        <v>9000</v>
      </c>
      <c r="Q19" s="14">
        <f>L19*M19</f>
        <v>9000</v>
      </c>
      <c r="R19" s="14">
        <f>L19*N19</f>
        <v>0</v>
      </c>
      <c r="S19" s="14">
        <f>L19*P19</f>
        <v>9000</v>
      </c>
      <c r="T19" s="14"/>
      <c r="U19" s="14">
        <f>L19*T19</f>
        <v>0</v>
      </c>
      <c r="V19" s="14">
        <f>S19-U19</f>
        <v>9000</v>
      </c>
      <c r="W19" s="16">
        <f>IF(S19&gt;0, V19/S19, 0)</f>
        <v>1</v>
      </c>
      <c r="X19" s="7" t="s">
        <v>58</v>
      </c>
      <c r="Y19" s="9" t="s">
        <v>40</v>
      </c>
      <c r="Z19" s="9" t="s">
        <v>41</v>
      </c>
      <c r="AA19" s="9" t="s">
        <v>42</v>
      </c>
      <c r="AB19" s="7" t="s">
        <v>42</v>
      </c>
    </row>
    <row r="20" spans="1:28">
      <c r="A20" s="8">
        <v>13</v>
      </c>
      <c r="B20" s="8" t="s">
        <v>85</v>
      </c>
      <c r="C20" s="8" t="s">
        <v>86</v>
      </c>
      <c r="D20" s="8" t="s">
        <v>32</v>
      </c>
      <c r="E20" s="8" t="s">
        <v>33</v>
      </c>
      <c r="F20" s="6" t="s">
        <v>50</v>
      </c>
      <c r="G20" s="6" t="s">
        <v>69</v>
      </c>
      <c r="H20" s="6" t="s">
        <v>69</v>
      </c>
      <c r="I20" s="8">
        <v>116</v>
      </c>
      <c r="J20" s="8" t="s">
        <v>87</v>
      </c>
      <c r="K20" s="8" t="s">
        <v>38</v>
      </c>
      <c r="L20" s="10">
        <v>1</v>
      </c>
      <c r="M20" s="13">
        <v>17000.0</v>
      </c>
      <c r="N20" s="13"/>
      <c r="O20" s="15">
        <f>IF(M20&gt;0, N20/M20, 0)</f>
        <v>0</v>
      </c>
      <c r="P20" s="13">
        <f>M20-N20</f>
        <v>17000</v>
      </c>
      <c r="Q20" s="13">
        <f>L20*M20</f>
        <v>17000</v>
      </c>
      <c r="R20" s="13">
        <f>L20*N20</f>
        <v>0</v>
      </c>
      <c r="S20" s="13">
        <f>L20*P20</f>
        <v>17000</v>
      </c>
      <c r="T20" s="13"/>
      <c r="U20" s="13">
        <f>L20*T20</f>
        <v>0</v>
      </c>
      <c r="V20" s="13">
        <f>S20-U20</f>
        <v>17000</v>
      </c>
      <c r="W20" s="15">
        <f>IF(S20&gt;0, V20/S20, 0)</f>
        <v>1</v>
      </c>
      <c r="X20" s="6" t="s">
        <v>58</v>
      </c>
      <c r="Y20" s="8" t="s">
        <v>40</v>
      </c>
      <c r="Z20" s="8" t="s">
        <v>41</v>
      </c>
      <c r="AA20" s="8" t="s">
        <v>42</v>
      </c>
      <c r="AB20" s="6" t="s">
        <v>42</v>
      </c>
    </row>
    <row r="21" spans="1:28">
      <c r="A21" s="9">
        <v>14</v>
      </c>
      <c r="B21" s="9" t="s">
        <v>88</v>
      </c>
      <c r="C21" s="9" t="s">
        <v>86</v>
      </c>
      <c r="D21" s="9" t="s">
        <v>32</v>
      </c>
      <c r="E21" s="9" t="s">
        <v>33</v>
      </c>
      <c r="F21" s="7" t="s">
        <v>50</v>
      </c>
      <c r="G21" s="7" t="s">
        <v>35</v>
      </c>
      <c r="H21" s="7" t="s">
        <v>73</v>
      </c>
      <c r="I21" s="9">
        <v>116</v>
      </c>
      <c r="J21" s="9" t="s">
        <v>89</v>
      </c>
      <c r="K21" s="9" t="s">
        <v>53</v>
      </c>
      <c r="L21" s="11">
        <v>1</v>
      </c>
      <c r="M21" s="14">
        <v>8000.0</v>
      </c>
      <c r="N21" s="14"/>
      <c r="O21" s="16">
        <f>IF(M21&gt;0, N21/M21, 0)</f>
        <v>0</v>
      </c>
      <c r="P21" s="14">
        <f>M21-N21</f>
        <v>8000</v>
      </c>
      <c r="Q21" s="14">
        <f>L21*M21</f>
        <v>8000</v>
      </c>
      <c r="R21" s="14">
        <f>L21*N21</f>
        <v>0</v>
      </c>
      <c r="S21" s="14">
        <f>L21*P21</f>
        <v>8000</v>
      </c>
      <c r="T21" s="14"/>
      <c r="U21" s="14">
        <f>L21*T21</f>
        <v>0</v>
      </c>
      <c r="V21" s="14">
        <f>S21-U21</f>
        <v>8000</v>
      </c>
      <c r="W21" s="16">
        <f>IF(S21&gt;0, V21/S21, 0)</f>
        <v>1</v>
      </c>
      <c r="X21" s="7" t="s">
        <v>58</v>
      </c>
      <c r="Y21" s="9" t="s">
        <v>40</v>
      </c>
      <c r="Z21" s="9" t="s">
        <v>41</v>
      </c>
      <c r="AA21" s="9" t="s">
        <v>42</v>
      </c>
      <c r="AB21" s="7" t="s">
        <v>42</v>
      </c>
    </row>
    <row r="22" spans="1:28">
      <c r="A22" s="8">
        <v>15</v>
      </c>
      <c r="B22" s="8" t="s">
        <v>90</v>
      </c>
      <c r="C22" s="8" t="s">
        <v>91</v>
      </c>
      <c r="D22" s="8" t="s">
        <v>32</v>
      </c>
      <c r="E22" s="8" t="s">
        <v>33</v>
      </c>
      <c r="F22" s="6" t="s">
        <v>50</v>
      </c>
      <c r="G22" s="6" t="s">
        <v>35</v>
      </c>
      <c r="H22" s="6" t="s">
        <v>36</v>
      </c>
      <c r="I22" s="8">
        <v>116</v>
      </c>
      <c r="J22" s="8" t="s">
        <v>92</v>
      </c>
      <c r="K22" s="8" t="s">
        <v>53</v>
      </c>
      <c r="L22" s="10">
        <v>1</v>
      </c>
      <c r="M22" s="13">
        <v>7000.0</v>
      </c>
      <c r="N22" s="13"/>
      <c r="O22" s="15">
        <f>IF(M22&gt;0, N22/M22, 0)</f>
        <v>0</v>
      </c>
      <c r="P22" s="13">
        <f>M22-N22</f>
        <v>7000</v>
      </c>
      <c r="Q22" s="13">
        <f>L22*M22</f>
        <v>7000</v>
      </c>
      <c r="R22" s="13">
        <f>L22*N22</f>
        <v>0</v>
      </c>
      <c r="S22" s="13">
        <f>L22*P22</f>
        <v>7000</v>
      </c>
      <c r="T22" s="13"/>
      <c r="U22" s="13">
        <f>L22*T22</f>
        <v>0</v>
      </c>
      <c r="V22" s="13">
        <f>S22-U22</f>
        <v>7000</v>
      </c>
      <c r="W22" s="15">
        <f>IF(S22&gt;0, V22/S22, 0)</f>
        <v>1</v>
      </c>
      <c r="X22" s="6" t="s">
        <v>58</v>
      </c>
      <c r="Y22" s="8" t="s">
        <v>40</v>
      </c>
      <c r="Z22" s="8" t="s">
        <v>41</v>
      </c>
      <c r="AA22" s="8" t="s">
        <v>42</v>
      </c>
      <c r="AB22" s="6" t="s">
        <v>42</v>
      </c>
    </row>
    <row r="23" spans="1:28">
      <c r="A23" s="9">
        <v>16</v>
      </c>
      <c r="B23" s="9" t="s">
        <v>93</v>
      </c>
      <c r="C23" s="9" t="s">
        <v>91</v>
      </c>
      <c r="D23" s="9" t="s">
        <v>32</v>
      </c>
      <c r="E23" s="9" t="s">
        <v>33</v>
      </c>
      <c r="F23" s="7" t="s">
        <v>50</v>
      </c>
      <c r="G23" s="7" t="s">
        <v>51</v>
      </c>
      <c r="H23" s="7" t="s">
        <v>94</v>
      </c>
      <c r="I23" s="9">
        <v>122</v>
      </c>
      <c r="J23" s="9" t="s">
        <v>95</v>
      </c>
      <c r="K23" s="9" t="s">
        <v>96</v>
      </c>
      <c r="L23" s="11">
        <v>1</v>
      </c>
      <c r="M23" s="14">
        <v>8000.0</v>
      </c>
      <c r="N23" s="14"/>
      <c r="O23" s="16">
        <f>IF(M23&gt;0, N23/M23, 0)</f>
        <v>0</v>
      </c>
      <c r="P23" s="14">
        <f>M23-N23</f>
        <v>8000</v>
      </c>
      <c r="Q23" s="14">
        <f>L23*M23</f>
        <v>8000</v>
      </c>
      <c r="R23" s="14">
        <f>L23*N23</f>
        <v>0</v>
      </c>
      <c r="S23" s="14">
        <f>L23*P23</f>
        <v>8000</v>
      </c>
      <c r="T23" s="14"/>
      <c r="U23" s="14">
        <f>L23*T23</f>
        <v>0</v>
      </c>
      <c r="V23" s="14">
        <f>S23-U23</f>
        <v>8000</v>
      </c>
      <c r="W23" s="16">
        <f>IF(S23&gt;0, V23/S23, 0)</f>
        <v>1</v>
      </c>
      <c r="X23" s="7" t="s">
        <v>58</v>
      </c>
      <c r="Y23" s="9" t="s">
        <v>40</v>
      </c>
      <c r="Z23" s="9" t="s">
        <v>41</v>
      </c>
      <c r="AA23" s="9" t="s">
        <v>42</v>
      </c>
      <c r="AB23" s="7" t="s">
        <v>42</v>
      </c>
    </row>
    <row r="24" spans="1:28">
      <c r="A24" s="8">
        <v>17</v>
      </c>
      <c r="B24" s="8" t="s">
        <v>97</v>
      </c>
      <c r="C24" s="8" t="s">
        <v>98</v>
      </c>
      <c r="D24" s="8" t="s">
        <v>32</v>
      </c>
      <c r="E24" s="8" t="s">
        <v>33</v>
      </c>
      <c r="F24" s="6" t="s">
        <v>50</v>
      </c>
      <c r="G24" s="6" t="s">
        <v>69</v>
      </c>
      <c r="H24" s="6" t="s">
        <v>69</v>
      </c>
      <c r="I24" s="8">
        <v>122</v>
      </c>
      <c r="J24" s="8" t="s">
        <v>99</v>
      </c>
      <c r="K24" s="8" t="s">
        <v>38</v>
      </c>
      <c r="L24" s="10">
        <v>1</v>
      </c>
      <c r="M24" s="13">
        <v>17000.0</v>
      </c>
      <c r="N24" s="13"/>
      <c r="O24" s="15">
        <f>IF(M24&gt;0, N24/M24, 0)</f>
        <v>0</v>
      </c>
      <c r="P24" s="13">
        <f>M24-N24</f>
        <v>17000</v>
      </c>
      <c r="Q24" s="13">
        <f>L24*M24</f>
        <v>17000</v>
      </c>
      <c r="R24" s="13">
        <f>L24*N24</f>
        <v>0</v>
      </c>
      <c r="S24" s="13">
        <f>L24*P24</f>
        <v>17000</v>
      </c>
      <c r="T24" s="13"/>
      <c r="U24" s="13">
        <f>L24*T24</f>
        <v>0</v>
      </c>
      <c r="V24" s="13">
        <f>S24-U24</f>
        <v>17000</v>
      </c>
      <c r="W24" s="15">
        <f>IF(S24&gt;0, V24/S24, 0)</f>
        <v>1</v>
      </c>
      <c r="X24" s="6" t="s">
        <v>58</v>
      </c>
      <c r="Y24" s="8" t="s">
        <v>40</v>
      </c>
      <c r="Z24" s="8" t="s">
        <v>41</v>
      </c>
      <c r="AA24" s="8" t="s">
        <v>42</v>
      </c>
      <c r="AB24" s="6" t="s">
        <v>42</v>
      </c>
    </row>
    <row r="25" spans="1:28">
      <c r="A25" s="9">
        <v>18</v>
      </c>
      <c r="B25" s="9" t="s">
        <v>100</v>
      </c>
      <c r="C25" s="9" t="s">
        <v>101</v>
      </c>
      <c r="D25" s="9" t="s">
        <v>32</v>
      </c>
      <c r="E25" s="9" t="s">
        <v>33</v>
      </c>
      <c r="F25" s="7" t="s">
        <v>50</v>
      </c>
      <c r="G25" s="7" t="s">
        <v>35</v>
      </c>
      <c r="H25" s="7" t="s">
        <v>73</v>
      </c>
      <c r="I25" s="9">
        <v>122</v>
      </c>
      <c r="J25" s="9" t="s">
        <v>102</v>
      </c>
      <c r="K25" s="9" t="s">
        <v>53</v>
      </c>
      <c r="L25" s="11">
        <v>1</v>
      </c>
      <c r="M25" s="14">
        <v>8000.0</v>
      </c>
      <c r="N25" s="14"/>
      <c r="O25" s="16">
        <f>IF(M25&gt;0, N25/M25, 0)</f>
        <v>0</v>
      </c>
      <c r="P25" s="14">
        <f>M25-N25</f>
        <v>8000</v>
      </c>
      <c r="Q25" s="14">
        <f>L25*M25</f>
        <v>8000</v>
      </c>
      <c r="R25" s="14">
        <f>L25*N25</f>
        <v>0</v>
      </c>
      <c r="S25" s="14">
        <f>L25*P25</f>
        <v>8000</v>
      </c>
      <c r="T25" s="14"/>
      <c r="U25" s="14">
        <f>L25*T25</f>
        <v>0</v>
      </c>
      <c r="V25" s="14">
        <f>S25-U25</f>
        <v>8000</v>
      </c>
      <c r="W25" s="16">
        <f>IF(S25&gt;0, V25/S25, 0)</f>
        <v>1</v>
      </c>
      <c r="X25" s="7" t="s">
        <v>58</v>
      </c>
      <c r="Y25" s="9" t="s">
        <v>40</v>
      </c>
      <c r="Z25" s="9" t="s">
        <v>41</v>
      </c>
      <c r="AA25" s="9" t="s">
        <v>42</v>
      </c>
      <c r="AB25" s="7" t="s">
        <v>42</v>
      </c>
    </row>
    <row r="26" spans="1:28">
      <c r="A26" s="8">
        <v>19</v>
      </c>
      <c r="B26" s="8" t="s">
        <v>103</v>
      </c>
      <c r="C26" s="8" t="s">
        <v>104</v>
      </c>
      <c r="D26" s="8" t="s">
        <v>32</v>
      </c>
      <c r="E26" s="8" t="s">
        <v>33</v>
      </c>
      <c r="F26" s="6" t="s">
        <v>50</v>
      </c>
      <c r="G26" s="6" t="s">
        <v>35</v>
      </c>
      <c r="H26" s="6" t="s">
        <v>36</v>
      </c>
      <c r="I26" s="8">
        <v>122</v>
      </c>
      <c r="J26" s="8" t="s">
        <v>105</v>
      </c>
      <c r="K26" s="8" t="s">
        <v>53</v>
      </c>
      <c r="L26" s="10">
        <v>1</v>
      </c>
      <c r="M26" s="13">
        <v>7000.0</v>
      </c>
      <c r="N26" s="13"/>
      <c r="O26" s="15">
        <f>IF(M26&gt;0, N26/M26, 0)</f>
        <v>0</v>
      </c>
      <c r="P26" s="13">
        <f>M26-N26</f>
        <v>7000</v>
      </c>
      <c r="Q26" s="13">
        <f>L26*M26</f>
        <v>7000</v>
      </c>
      <c r="R26" s="13">
        <f>L26*N26</f>
        <v>0</v>
      </c>
      <c r="S26" s="13">
        <f>L26*P26</f>
        <v>7000</v>
      </c>
      <c r="T26" s="13"/>
      <c r="U26" s="13">
        <f>L26*T26</f>
        <v>0</v>
      </c>
      <c r="V26" s="13">
        <f>S26-U26</f>
        <v>7000</v>
      </c>
      <c r="W26" s="15">
        <f>IF(S26&gt;0, V26/S26, 0)</f>
        <v>1</v>
      </c>
      <c r="X26" s="6" t="s">
        <v>58</v>
      </c>
      <c r="Y26" s="8" t="s">
        <v>40</v>
      </c>
      <c r="Z26" s="8" t="s">
        <v>41</v>
      </c>
      <c r="AA26" s="8" t="s">
        <v>42</v>
      </c>
      <c r="AB26" s="6" t="s">
        <v>42</v>
      </c>
    </row>
    <row r="27" spans="1:28">
      <c r="A27" s="9">
        <v>20</v>
      </c>
      <c r="B27" s="9" t="s">
        <v>106</v>
      </c>
      <c r="C27" s="9" t="s">
        <v>107</v>
      </c>
      <c r="D27" s="9" t="s">
        <v>32</v>
      </c>
      <c r="E27" s="9" t="s">
        <v>68</v>
      </c>
      <c r="F27" s="7" t="s">
        <v>50</v>
      </c>
      <c r="G27" s="7" t="s">
        <v>69</v>
      </c>
      <c r="H27" s="7" t="s">
        <v>69</v>
      </c>
      <c r="I27" s="9">
        <v>158</v>
      </c>
      <c r="J27" s="9" t="s">
        <v>108</v>
      </c>
      <c r="K27" s="9" t="s">
        <v>38</v>
      </c>
      <c r="L27" s="11">
        <v>1</v>
      </c>
      <c r="M27" s="14">
        <v>17500.0</v>
      </c>
      <c r="N27" s="14"/>
      <c r="O27" s="16">
        <f>IF(M27&gt;0, N27/M27, 0)</f>
        <v>0</v>
      </c>
      <c r="P27" s="14">
        <f>M27-N27</f>
        <v>17500</v>
      </c>
      <c r="Q27" s="14">
        <f>L27*M27</f>
        <v>17500</v>
      </c>
      <c r="R27" s="14">
        <f>L27*N27</f>
        <v>0</v>
      </c>
      <c r="S27" s="14">
        <f>L27*P27</f>
        <v>17500</v>
      </c>
      <c r="T27" s="14"/>
      <c r="U27" s="14">
        <f>L27*T27</f>
        <v>0</v>
      </c>
      <c r="V27" s="14">
        <f>S27-U27</f>
        <v>17500</v>
      </c>
      <c r="W27" s="16">
        <f>IF(S27&gt;0, V27/S27, 0)</f>
        <v>1</v>
      </c>
      <c r="X27" s="7" t="s">
        <v>58</v>
      </c>
      <c r="Y27" s="9" t="s">
        <v>40</v>
      </c>
      <c r="Z27" s="9" t="s">
        <v>71</v>
      </c>
      <c r="AA27" s="9" t="s">
        <v>42</v>
      </c>
      <c r="AB27" s="7" t="s">
        <v>42</v>
      </c>
    </row>
    <row r="28" spans="1:28">
      <c r="A28" s="8">
        <v>21</v>
      </c>
      <c r="B28" s="8" t="s">
        <v>109</v>
      </c>
      <c r="C28" s="8" t="s">
        <v>107</v>
      </c>
      <c r="D28" s="8" t="s">
        <v>32</v>
      </c>
      <c r="E28" s="8" t="s">
        <v>68</v>
      </c>
      <c r="F28" s="6" t="s">
        <v>50</v>
      </c>
      <c r="G28" s="6" t="s">
        <v>69</v>
      </c>
      <c r="H28" s="6" t="s">
        <v>69</v>
      </c>
      <c r="I28" s="8">
        <v>128</v>
      </c>
      <c r="J28" s="8" t="s">
        <v>110</v>
      </c>
      <c r="K28" s="8" t="s">
        <v>38</v>
      </c>
      <c r="L28" s="10">
        <v>1</v>
      </c>
      <c r="M28" s="13">
        <v>17000.0</v>
      </c>
      <c r="N28" s="13"/>
      <c r="O28" s="15">
        <f>IF(M28&gt;0, N28/M28, 0)</f>
        <v>0</v>
      </c>
      <c r="P28" s="13">
        <f>M28-N28</f>
        <v>17000</v>
      </c>
      <c r="Q28" s="13">
        <f>L28*M28</f>
        <v>17000</v>
      </c>
      <c r="R28" s="13">
        <f>L28*N28</f>
        <v>0</v>
      </c>
      <c r="S28" s="13">
        <f>L28*P28</f>
        <v>17000</v>
      </c>
      <c r="T28" s="13"/>
      <c r="U28" s="13">
        <f>L28*T28</f>
        <v>0</v>
      </c>
      <c r="V28" s="13">
        <f>S28-U28</f>
        <v>17000</v>
      </c>
      <c r="W28" s="15">
        <f>IF(S28&gt;0, V28/S28, 0)</f>
        <v>1</v>
      </c>
      <c r="X28" s="6" t="s">
        <v>58</v>
      </c>
      <c r="Y28" s="8" t="s">
        <v>40</v>
      </c>
      <c r="Z28" s="8" t="s">
        <v>71</v>
      </c>
      <c r="AA28" s="8" t="s">
        <v>42</v>
      </c>
      <c r="AB28" s="6" t="s">
        <v>42</v>
      </c>
    </row>
    <row r="29" spans="1:28">
      <c r="A29" s="9">
        <v>22</v>
      </c>
      <c r="B29" s="9" t="s">
        <v>111</v>
      </c>
      <c r="C29" s="9" t="s">
        <v>112</v>
      </c>
      <c r="D29" s="9" t="s">
        <v>32</v>
      </c>
      <c r="E29" s="9" t="s">
        <v>68</v>
      </c>
      <c r="F29" s="7" t="s">
        <v>50</v>
      </c>
      <c r="G29" s="7" t="s">
        <v>56</v>
      </c>
      <c r="H29" s="7" t="s">
        <v>56</v>
      </c>
      <c r="I29" s="9">
        <v>122</v>
      </c>
      <c r="J29" s="9" t="s">
        <v>113</v>
      </c>
      <c r="K29" s="9" t="s">
        <v>38</v>
      </c>
      <c r="L29" s="11">
        <v>1</v>
      </c>
      <c r="M29" s="14">
        <v>8000.0</v>
      </c>
      <c r="N29" s="14"/>
      <c r="O29" s="16">
        <f>IF(M29&gt;0, N29/M29, 0)</f>
        <v>0</v>
      </c>
      <c r="P29" s="14">
        <f>M29-N29</f>
        <v>8000</v>
      </c>
      <c r="Q29" s="14">
        <f>L29*M29</f>
        <v>8000</v>
      </c>
      <c r="R29" s="14">
        <f>L29*N29</f>
        <v>0</v>
      </c>
      <c r="S29" s="14">
        <f>L29*P29</f>
        <v>8000</v>
      </c>
      <c r="T29" s="14"/>
      <c r="U29" s="14">
        <f>L29*T29</f>
        <v>0</v>
      </c>
      <c r="V29" s="14">
        <f>S29-U29</f>
        <v>8000</v>
      </c>
      <c r="W29" s="16">
        <f>IF(S29&gt;0, V29/S29, 0)</f>
        <v>1</v>
      </c>
      <c r="X29" s="7" t="s">
        <v>58</v>
      </c>
      <c r="Y29" s="9" t="s">
        <v>40</v>
      </c>
      <c r="Z29" s="9" t="s">
        <v>71</v>
      </c>
      <c r="AA29" s="9" t="s">
        <v>42</v>
      </c>
      <c r="AB29" s="7" t="s">
        <v>42</v>
      </c>
    </row>
    <row r="30" spans="1:28">
      <c r="A30" s="8">
        <v>23</v>
      </c>
      <c r="B30" s="8" t="s">
        <v>114</v>
      </c>
      <c r="C30" s="8" t="s">
        <v>115</v>
      </c>
      <c r="D30" s="8" t="s">
        <v>32</v>
      </c>
      <c r="E30" s="8" t="s">
        <v>68</v>
      </c>
      <c r="F30" s="6" t="s">
        <v>50</v>
      </c>
      <c r="G30" s="6" t="s">
        <v>63</v>
      </c>
      <c r="H30" s="6" t="s">
        <v>64</v>
      </c>
      <c r="I30" s="8">
        <v>128</v>
      </c>
      <c r="J30" s="8" t="s">
        <v>116</v>
      </c>
      <c r="K30" s="8" t="s">
        <v>38</v>
      </c>
      <c r="L30" s="10">
        <v>2</v>
      </c>
      <c r="M30" s="13">
        <v>8000.0</v>
      </c>
      <c r="N30" s="13"/>
      <c r="O30" s="15">
        <f>IF(M30&gt;0, N30/M30, 0)</f>
        <v>0</v>
      </c>
      <c r="P30" s="13">
        <f>M30-N30</f>
        <v>8000</v>
      </c>
      <c r="Q30" s="13">
        <f>L30*M30</f>
        <v>16000</v>
      </c>
      <c r="R30" s="13">
        <f>L30*N30</f>
        <v>0</v>
      </c>
      <c r="S30" s="13">
        <f>L30*P30</f>
        <v>16000</v>
      </c>
      <c r="T30" s="13"/>
      <c r="U30" s="13">
        <f>L30*T30</f>
        <v>0</v>
      </c>
      <c r="V30" s="13">
        <f>S30-U30</f>
        <v>16000</v>
      </c>
      <c r="W30" s="15">
        <f>IF(S30&gt;0, V30/S30, 0)</f>
        <v>1</v>
      </c>
      <c r="X30" s="6" t="s">
        <v>58</v>
      </c>
      <c r="Y30" s="8" t="s">
        <v>40</v>
      </c>
      <c r="Z30" s="8" t="s">
        <v>71</v>
      </c>
      <c r="AA30" s="8" t="s">
        <v>42</v>
      </c>
      <c r="AB30" s="6" t="s">
        <v>42</v>
      </c>
    </row>
    <row r="31" spans="1:28">
      <c r="A31" s="9">
        <v>24</v>
      </c>
      <c r="B31" s="9" t="s">
        <v>117</v>
      </c>
      <c r="C31" s="9" t="s">
        <v>118</v>
      </c>
      <c r="D31" s="9" t="s">
        <v>32</v>
      </c>
      <c r="E31" s="9" t="s">
        <v>68</v>
      </c>
      <c r="F31" s="7" t="s">
        <v>50</v>
      </c>
      <c r="G31" s="7" t="s">
        <v>35</v>
      </c>
      <c r="H31" s="7" t="s">
        <v>73</v>
      </c>
      <c r="I31" s="9">
        <v>122</v>
      </c>
      <c r="J31" s="9" t="s">
        <v>102</v>
      </c>
      <c r="K31" s="9" t="s">
        <v>53</v>
      </c>
      <c r="L31" s="11">
        <v>2</v>
      </c>
      <c r="M31" s="14">
        <v>9000.0</v>
      </c>
      <c r="N31" s="14"/>
      <c r="O31" s="16">
        <f>IF(M31&gt;0, N31/M31, 0)</f>
        <v>0</v>
      </c>
      <c r="P31" s="14">
        <f>M31-N31</f>
        <v>9000</v>
      </c>
      <c r="Q31" s="14">
        <f>L31*M31</f>
        <v>18000</v>
      </c>
      <c r="R31" s="14">
        <f>L31*N31</f>
        <v>0</v>
      </c>
      <c r="S31" s="14">
        <f>L31*P31</f>
        <v>18000</v>
      </c>
      <c r="T31" s="14"/>
      <c r="U31" s="14">
        <f>L31*T31</f>
        <v>0</v>
      </c>
      <c r="V31" s="14">
        <f>S31-U31</f>
        <v>18000</v>
      </c>
      <c r="W31" s="16">
        <f>IF(S31&gt;0, V31/S31, 0)</f>
        <v>1</v>
      </c>
      <c r="X31" s="7" t="s">
        <v>58</v>
      </c>
      <c r="Y31" s="9" t="s">
        <v>40</v>
      </c>
      <c r="Z31" s="9" t="s">
        <v>71</v>
      </c>
      <c r="AA31" s="9" t="s">
        <v>42</v>
      </c>
      <c r="AB31" s="7" t="s">
        <v>42</v>
      </c>
    </row>
    <row r="32" spans="1:28">
      <c r="A32" s="8">
        <v>25</v>
      </c>
      <c r="B32" s="8" t="s">
        <v>119</v>
      </c>
      <c r="C32" s="8" t="s">
        <v>120</v>
      </c>
      <c r="D32" s="8" t="s">
        <v>32</v>
      </c>
      <c r="E32" s="8" t="s">
        <v>33</v>
      </c>
      <c r="F32" s="6" t="s">
        <v>34</v>
      </c>
      <c r="G32" s="6" t="s">
        <v>35</v>
      </c>
      <c r="H32" s="6" t="s">
        <v>36</v>
      </c>
      <c r="I32" s="8">
        <v>158</v>
      </c>
      <c r="J32" s="8" t="s">
        <v>37</v>
      </c>
      <c r="K32" s="8" t="s">
        <v>38</v>
      </c>
      <c r="L32" s="10">
        <v>2</v>
      </c>
      <c r="M32" s="13">
        <v>8000.0</v>
      </c>
      <c r="N32" s="13"/>
      <c r="O32" s="15">
        <f>IF(M32&gt;0, N32/M32, 0)</f>
        <v>0</v>
      </c>
      <c r="P32" s="13">
        <f>M32-N32</f>
        <v>8000</v>
      </c>
      <c r="Q32" s="13">
        <f>L32*M32</f>
        <v>16000</v>
      </c>
      <c r="R32" s="13">
        <f>L32*N32</f>
        <v>0</v>
      </c>
      <c r="S32" s="13">
        <f>L32*P32</f>
        <v>16000</v>
      </c>
      <c r="T32" s="13"/>
      <c r="U32" s="13">
        <f>L32*T32</f>
        <v>0</v>
      </c>
      <c r="V32" s="13">
        <f>S32-U32</f>
        <v>16000</v>
      </c>
      <c r="W32" s="15">
        <f>IF(S32&gt;0, V32/S32, 0)</f>
        <v>1</v>
      </c>
      <c r="X32" s="6" t="s">
        <v>58</v>
      </c>
      <c r="Y32" s="8" t="s">
        <v>40</v>
      </c>
      <c r="Z32" s="8" t="s">
        <v>41</v>
      </c>
      <c r="AA32" s="8" t="s">
        <v>42</v>
      </c>
      <c r="AB32" s="6" t="s">
        <v>42</v>
      </c>
    </row>
    <row r="33" spans="1:28">
      <c r="A33" s="9">
        <v>26</v>
      </c>
      <c r="B33" s="9" t="s">
        <v>121</v>
      </c>
      <c r="C33" s="9" t="s">
        <v>120</v>
      </c>
      <c r="D33" s="9" t="s">
        <v>32</v>
      </c>
      <c r="E33" s="9" t="s">
        <v>33</v>
      </c>
      <c r="F33" s="7" t="s">
        <v>34</v>
      </c>
      <c r="G33" s="7" t="s">
        <v>51</v>
      </c>
      <c r="H33" s="7" t="s">
        <v>51</v>
      </c>
      <c r="I33" s="9">
        <v>158</v>
      </c>
      <c r="J33" s="9" t="s">
        <v>122</v>
      </c>
      <c r="K33" s="9" t="s">
        <v>38</v>
      </c>
      <c r="L33" s="11">
        <v>1</v>
      </c>
      <c r="M33" s="14">
        <v>8500.0</v>
      </c>
      <c r="N33" s="14"/>
      <c r="O33" s="16">
        <f>IF(M33&gt;0, N33/M33, 0)</f>
        <v>0</v>
      </c>
      <c r="P33" s="14">
        <f>M33-N33</f>
        <v>8500</v>
      </c>
      <c r="Q33" s="14">
        <f>L33*M33</f>
        <v>8500</v>
      </c>
      <c r="R33" s="14">
        <f>L33*N33</f>
        <v>0</v>
      </c>
      <c r="S33" s="14">
        <f>L33*P33</f>
        <v>8500</v>
      </c>
      <c r="T33" s="14"/>
      <c r="U33" s="14">
        <f>L33*T33</f>
        <v>0</v>
      </c>
      <c r="V33" s="14">
        <f>S33-U33</f>
        <v>8500</v>
      </c>
      <c r="W33" s="16">
        <f>IF(S33&gt;0, V33/S33, 0)</f>
        <v>1</v>
      </c>
      <c r="X33" s="7" t="s">
        <v>58</v>
      </c>
      <c r="Y33" s="9" t="s">
        <v>40</v>
      </c>
      <c r="Z33" s="9" t="s">
        <v>41</v>
      </c>
      <c r="AA33" s="9" t="s">
        <v>42</v>
      </c>
      <c r="AB33" s="7" t="s">
        <v>42</v>
      </c>
    </row>
    <row r="34" spans="1:28">
      <c r="A34" s="8">
        <v>27</v>
      </c>
      <c r="B34" s="8" t="s">
        <v>123</v>
      </c>
      <c r="C34" s="8" t="s">
        <v>124</v>
      </c>
      <c r="D34" s="8" t="s">
        <v>32</v>
      </c>
      <c r="E34" s="8" t="s">
        <v>33</v>
      </c>
      <c r="F34" s="6" t="s">
        <v>50</v>
      </c>
      <c r="G34" s="6" t="s">
        <v>51</v>
      </c>
      <c r="H34" s="6" t="s">
        <v>51</v>
      </c>
      <c r="I34" s="8">
        <v>158</v>
      </c>
      <c r="J34" s="8" t="s">
        <v>125</v>
      </c>
      <c r="K34" s="8" t="s">
        <v>53</v>
      </c>
      <c r="L34" s="10">
        <v>1</v>
      </c>
      <c r="M34" s="13">
        <v>8000.0</v>
      </c>
      <c r="N34" s="13"/>
      <c r="O34" s="15">
        <f>IF(M34&gt;0, N34/M34, 0)</f>
        <v>0</v>
      </c>
      <c r="P34" s="13">
        <f>M34-N34</f>
        <v>8000</v>
      </c>
      <c r="Q34" s="13">
        <f>L34*M34</f>
        <v>8000</v>
      </c>
      <c r="R34" s="13">
        <f>L34*N34</f>
        <v>0</v>
      </c>
      <c r="S34" s="13">
        <f>L34*P34</f>
        <v>8000</v>
      </c>
      <c r="T34" s="13"/>
      <c r="U34" s="13">
        <f>L34*T34</f>
        <v>0</v>
      </c>
      <c r="V34" s="13">
        <f>S34-U34</f>
        <v>8000</v>
      </c>
      <c r="W34" s="15">
        <f>IF(S34&gt;0, V34/S34, 0)</f>
        <v>1</v>
      </c>
      <c r="X34" s="6" t="s">
        <v>58</v>
      </c>
      <c r="Y34" s="8" t="s">
        <v>40</v>
      </c>
      <c r="Z34" s="8" t="s">
        <v>41</v>
      </c>
      <c r="AA34" s="8" t="s">
        <v>42</v>
      </c>
      <c r="AB34" s="6" t="s">
        <v>42</v>
      </c>
    </row>
    <row r="35" spans="1:28">
      <c r="A35" s="9">
        <v>28</v>
      </c>
      <c r="B35" s="9" t="s">
        <v>126</v>
      </c>
      <c r="C35" s="9" t="s">
        <v>127</v>
      </c>
      <c r="D35" s="9" t="s">
        <v>32</v>
      </c>
      <c r="E35" s="9" t="s">
        <v>33</v>
      </c>
      <c r="F35" s="7" t="s">
        <v>34</v>
      </c>
      <c r="G35" s="7" t="s">
        <v>56</v>
      </c>
      <c r="H35" s="7" t="s">
        <v>56</v>
      </c>
      <c r="I35" s="9">
        <v>158</v>
      </c>
      <c r="J35" s="9" t="s">
        <v>128</v>
      </c>
      <c r="K35" s="9" t="s">
        <v>38</v>
      </c>
      <c r="L35" s="11">
        <v>1</v>
      </c>
      <c r="M35" s="14">
        <v>7000.0</v>
      </c>
      <c r="N35" s="14"/>
      <c r="O35" s="16">
        <f>IF(M35&gt;0, N35/M35, 0)</f>
        <v>0</v>
      </c>
      <c r="P35" s="14">
        <f>M35-N35</f>
        <v>7000</v>
      </c>
      <c r="Q35" s="14">
        <f>L35*M35</f>
        <v>7000</v>
      </c>
      <c r="R35" s="14">
        <f>L35*N35</f>
        <v>0</v>
      </c>
      <c r="S35" s="14">
        <f>L35*P35</f>
        <v>7000</v>
      </c>
      <c r="T35" s="14"/>
      <c r="U35" s="14">
        <f>L35*T35</f>
        <v>0</v>
      </c>
      <c r="V35" s="14">
        <f>S35-U35</f>
        <v>7000</v>
      </c>
      <c r="W35" s="16">
        <f>IF(S35&gt;0, V35/S35, 0)</f>
        <v>1</v>
      </c>
      <c r="X35" s="7" t="s">
        <v>58</v>
      </c>
      <c r="Y35" s="9" t="s">
        <v>40</v>
      </c>
      <c r="Z35" s="9" t="s">
        <v>41</v>
      </c>
      <c r="AA35" s="9" t="s">
        <v>42</v>
      </c>
      <c r="AB35" s="7" t="s">
        <v>42</v>
      </c>
    </row>
    <row r="36" spans="1:28">
      <c r="A36" s="8">
        <v>29</v>
      </c>
      <c r="B36" s="8" t="s">
        <v>129</v>
      </c>
      <c r="C36" s="8" t="s">
        <v>127</v>
      </c>
      <c r="D36" s="8" t="s">
        <v>32</v>
      </c>
      <c r="E36" s="8" t="s">
        <v>33</v>
      </c>
      <c r="F36" s="6" t="s">
        <v>50</v>
      </c>
      <c r="G36" s="6" t="s">
        <v>35</v>
      </c>
      <c r="H36" s="6" t="s">
        <v>36</v>
      </c>
      <c r="I36" s="8">
        <v>158</v>
      </c>
      <c r="J36" s="8" t="s">
        <v>130</v>
      </c>
      <c r="K36" s="8" t="s">
        <v>53</v>
      </c>
      <c r="L36" s="10">
        <v>2</v>
      </c>
      <c r="M36" s="13">
        <v>7000.0</v>
      </c>
      <c r="N36" s="13"/>
      <c r="O36" s="15">
        <f>IF(M36&gt;0, N36/M36, 0)</f>
        <v>0</v>
      </c>
      <c r="P36" s="13">
        <f>M36-N36</f>
        <v>7000</v>
      </c>
      <c r="Q36" s="13">
        <f>L36*M36</f>
        <v>14000</v>
      </c>
      <c r="R36" s="13">
        <f>L36*N36</f>
        <v>0</v>
      </c>
      <c r="S36" s="13">
        <f>L36*P36</f>
        <v>14000</v>
      </c>
      <c r="T36" s="13"/>
      <c r="U36" s="13">
        <f>L36*T36</f>
        <v>0</v>
      </c>
      <c r="V36" s="13">
        <f>S36-U36</f>
        <v>14000</v>
      </c>
      <c r="W36" s="15">
        <f>IF(S36&gt;0, V36/S36, 0)</f>
        <v>1</v>
      </c>
      <c r="X36" s="6" t="s">
        <v>58</v>
      </c>
      <c r="Y36" s="8" t="s">
        <v>40</v>
      </c>
      <c r="Z36" s="8" t="s">
        <v>41</v>
      </c>
      <c r="AA36" s="8" t="s">
        <v>42</v>
      </c>
      <c r="AB36" s="6" t="s">
        <v>42</v>
      </c>
    </row>
    <row r="37" spans="1:28">
      <c r="A37" s="9">
        <v>30</v>
      </c>
      <c r="B37" s="9" t="s">
        <v>131</v>
      </c>
      <c r="C37" s="9" t="s">
        <v>132</v>
      </c>
      <c r="D37" s="9" t="s">
        <v>32</v>
      </c>
      <c r="E37" s="9" t="s">
        <v>33</v>
      </c>
      <c r="F37" s="7" t="s">
        <v>133</v>
      </c>
      <c r="G37" s="7" t="s">
        <v>45</v>
      </c>
      <c r="H37" s="7" t="s">
        <v>45</v>
      </c>
      <c r="I37" s="9">
        <v>128</v>
      </c>
      <c r="J37" s="9" t="s">
        <v>134</v>
      </c>
      <c r="K37" s="9" t="s">
        <v>38</v>
      </c>
      <c r="L37" s="11">
        <v>1</v>
      </c>
      <c r="M37" s="14">
        <v>18000.0</v>
      </c>
      <c r="N37" s="14"/>
      <c r="O37" s="16">
        <f>IF(M37&gt;0, N37/M37, 0)</f>
        <v>0</v>
      </c>
      <c r="P37" s="14">
        <f>M37-N37</f>
        <v>18000</v>
      </c>
      <c r="Q37" s="14">
        <f>L37*M37</f>
        <v>18000</v>
      </c>
      <c r="R37" s="14">
        <f>L37*N37</f>
        <v>0</v>
      </c>
      <c r="S37" s="14">
        <f>L37*P37</f>
        <v>18000</v>
      </c>
      <c r="T37" s="14"/>
      <c r="U37" s="14">
        <f>L37*T37</f>
        <v>0</v>
      </c>
      <c r="V37" s="14">
        <f>S37-U37</f>
        <v>18000</v>
      </c>
      <c r="W37" s="16">
        <f>IF(S37&gt;0, V37/S37, 0)</f>
        <v>1</v>
      </c>
      <c r="X37" s="7" t="s">
        <v>58</v>
      </c>
      <c r="Y37" s="9" t="s">
        <v>40</v>
      </c>
      <c r="Z37" s="9" t="s">
        <v>41</v>
      </c>
      <c r="AA37" s="9" t="s">
        <v>42</v>
      </c>
      <c r="AB37" s="7" t="s">
        <v>42</v>
      </c>
    </row>
    <row r="38" spans="1:28">
      <c r="A38" s="8">
        <v>31</v>
      </c>
      <c r="B38" s="8" t="s">
        <v>135</v>
      </c>
      <c r="C38" s="8" t="s">
        <v>136</v>
      </c>
      <c r="D38" s="8" t="s">
        <v>32</v>
      </c>
      <c r="E38" s="8" t="s">
        <v>33</v>
      </c>
      <c r="F38" s="6" t="s">
        <v>50</v>
      </c>
      <c r="G38" s="6" t="s">
        <v>51</v>
      </c>
      <c r="H38" s="6" t="s">
        <v>51</v>
      </c>
      <c r="I38" s="8">
        <v>122</v>
      </c>
      <c r="J38" s="8" t="s">
        <v>82</v>
      </c>
      <c r="K38" s="8" t="s">
        <v>53</v>
      </c>
      <c r="L38" s="10">
        <v>1</v>
      </c>
      <c r="M38" s="13">
        <v>8000.0</v>
      </c>
      <c r="N38" s="13"/>
      <c r="O38" s="15">
        <f>IF(M38&gt;0, N38/M38, 0)</f>
        <v>0</v>
      </c>
      <c r="P38" s="13">
        <f>M38-N38</f>
        <v>8000</v>
      </c>
      <c r="Q38" s="13">
        <f>L38*M38</f>
        <v>8000</v>
      </c>
      <c r="R38" s="13">
        <f>L38*N38</f>
        <v>0</v>
      </c>
      <c r="S38" s="13">
        <f>L38*P38</f>
        <v>8000</v>
      </c>
      <c r="T38" s="13"/>
      <c r="U38" s="13">
        <f>L38*T38</f>
        <v>0</v>
      </c>
      <c r="V38" s="13">
        <f>S38-U38</f>
        <v>8000</v>
      </c>
      <c r="W38" s="15">
        <f>IF(S38&gt;0, V38/S38, 0)</f>
        <v>1</v>
      </c>
      <c r="X38" s="6" t="s">
        <v>58</v>
      </c>
      <c r="Y38" s="8" t="s">
        <v>40</v>
      </c>
      <c r="Z38" s="8" t="s">
        <v>41</v>
      </c>
      <c r="AA38" s="8" t="s">
        <v>42</v>
      </c>
      <c r="AB38" s="6" t="s">
        <v>42</v>
      </c>
    </row>
    <row r="39" spans="1:28">
      <c r="A39" s="9">
        <v>32</v>
      </c>
      <c r="B39" s="9" t="s">
        <v>137</v>
      </c>
      <c r="C39" s="9" t="s">
        <v>136</v>
      </c>
      <c r="D39" s="9" t="s">
        <v>32</v>
      </c>
      <c r="E39" s="9" t="s">
        <v>33</v>
      </c>
      <c r="F39" s="7" t="s">
        <v>50</v>
      </c>
      <c r="G39" s="7" t="s">
        <v>35</v>
      </c>
      <c r="H39" s="7" t="s">
        <v>36</v>
      </c>
      <c r="I39" s="9">
        <v>122</v>
      </c>
      <c r="J39" s="9" t="s">
        <v>105</v>
      </c>
      <c r="K39" s="9" t="s">
        <v>53</v>
      </c>
      <c r="L39" s="11">
        <v>2</v>
      </c>
      <c r="M39" s="14">
        <v>7000.0</v>
      </c>
      <c r="N39" s="14"/>
      <c r="O39" s="16">
        <f>IF(M39&gt;0, N39/M39, 0)</f>
        <v>0</v>
      </c>
      <c r="P39" s="14">
        <f>M39-N39</f>
        <v>7000</v>
      </c>
      <c r="Q39" s="14">
        <f>L39*M39</f>
        <v>14000</v>
      </c>
      <c r="R39" s="14">
        <f>L39*N39</f>
        <v>0</v>
      </c>
      <c r="S39" s="14">
        <f>L39*P39</f>
        <v>14000</v>
      </c>
      <c r="T39" s="14"/>
      <c r="U39" s="14">
        <f>L39*T39</f>
        <v>0</v>
      </c>
      <c r="V39" s="14">
        <f>S39-U39</f>
        <v>14000</v>
      </c>
      <c r="W39" s="16">
        <f>IF(S39&gt;0, V39/S39, 0)</f>
        <v>1</v>
      </c>
      <c r="X39" s="7" t="s">
        <v>58</v>
      </c>
      <c r="Y39" s="9" t="s">
        <v>40</v>
      </c>
      <c r="Z39" s="9" t="s">
        <v>41</v>
      </c>
      <c r="AA39" s="9" t="s">
        <v>42</v>
      </c>
      <c r="AB39" s="7" t="s">
        <v>42</v>
      </c>
    </row>
    <row r="40" spans="1:28">
      <c r="A40" s="8">
        <v>33</v>
      </c>
      <c r="B40" s="8" t="s">
        <v>138</v>
      </c>
      <c r="C40" s="8" t="s">
        <v>139</v>
      </c>
      <c r="D40" s="8" t="s">
        <v>32</v>
      </c>
      <c r="E40" s="8" t="s">
        <v>33</v>
      </c>
      <c r="F40" s="6" t="s">
        <v>50</v>
      </c>
      <c r="G40" s="6" t="s">
        <v>45</v>
      </c>
      <c r="H40" s="6" t="s">
        <v>46</v>
      </c>
      <c r="I40" s="8">
        <v>146</v>
      </c>
      <c r="J40" s="8" t="s">
        <v>140</v>
      </c>
      <c r="K40" s="8" t="s">
        <v>38</v>
      </c>
      <c r="L40" s="10">
        <v>1</v>
      </c>
      <c r="M40" s="13">
        <v>18000.0</v>
      </c>
      <c r="N40" s="13"/>
      <c r="O40" s="15">
        <f>IF(M40&gt;0, N40/M40, 0)</f>
        <v>0</v>
      </c>
      <c r="P40" s="13">
        <f>M40-N40</f>
        <v>18000</v>
      </c>
      <c r="Q40" s="13">
        <f>L40*M40</f>
        <v>18000</v>
      </c>
      <c r="R40" s="13">
        <f>L40*N40</f>
        <v>0</v>
      </c>
      <c r="S40" s="13">
        <f>L40*P40</f>
        <v>18000</v>
      </c>
      <c r="T40" s="13"/>
      <c r="U40" s="13">
        <f>L40*T40</f>
        <v>0</v>
      </c>
      <c r="V40" s="13">
        <f>S40-U40</f>
        <v>18000</v>
      </c>
      <c r="W40" s="15">
        <f>IF(S40&gt;0, V40/S40, 0)</f>
        <v>1</v>
      </c>
      <c r="X40" s="6" t="s">
        <v>58</v>
      </c>
      <c r="Y40" s="8" t="s">
        <v>40</v>
      </c>
      <c r="Z40" s="8" t="s">
        <v>41</v>
      </c>
      <c r="AA40" s="8" t="s">
        <v>42</v>
      </c>
      <c r="AB40" s="6" t="s">
        <v>42</v>
      </c>
    </row>
    <row r="41" spans="1:28">
      <c r="A41" s="9">
        <v>34</v>
      </c>
      <c r="B41" s="9" t="s">
        <v>141</v>
      </c>
      <c r="C41" s="9" t="s">
        <v>139</v>
      </c>
      <c r="D41" s="9" t="s">
        <v>32</v>
      </c>
      <c r="E41" s="9" t="s">
        <v>33</v>
      </c>
      <c r="F41" s="7" t="s">
        <v>34</v>
      </c>
      <c r="G41" s="7" t="s">
        <v>35</v>
      </c>
      <c r="H41" s="7" t="s">
        <v>36</v>
      </c>
      <c r="I41" s="9">
        <v>170</v>
      </c>
      <c r="J41" s="9" t="s">
        <v>142</v>
      </c>
      <c r="K41" s="9" t="s">
        <v>38</v>
      </c>
      <c r="L41" s="11">
        <v>2</v>
      </c>
      <c r="M41" s="14">
        <v>10000.0</v>
      </c>
      <c r="N41" s="14"/>
      <c r="O41" s="16">
        <f>IF(M41&gt;0, N41/M41, 0)</f>
        <v>0</v>
      </c>
      <c r="P41" s="14">
        <f>M41-N41</f>
        <v>10000</v>
      </c>
      <c r="Q41" s="14">
        <f>L41*M41</f>
        <v>20000</v>
      </c>
      <c r="R41" s="14">
        <f>L41*N41</f>
        <v>0</v>
      </c>
      <c r="S41" s="14">
        <f>L41*P41</f>
        <v>20000</v>
      </c>
      <c r="T41" s="14"/>
      <c r="U41" s="14">
        <f>L41*T41</f>
        <v>0</v>
      </c>
      <c r="V41" s="14">
        <f>S41-U41</f>
        <v>20000</v>
      </c>
      <c r="W41" s="16">
        <f>IF(S41&gt;0, V41/S41, 0)</f>
        <v>1</v>
      </c>
      <c r="X41" s="7" t="s">
        <v>58</v>
      </c>
      <c r="Y41" s="9" t="s">
        <v>40</v>
      </c>
      <c r="Z41" s="9" t="s">
        <v>41</v>
      </c>
      <c r="AA41" s="9" t="s">
        <v>42</v>
      </c>
      <c r="AB41" s="7" t="s">
        <v>143</v>
      </c>
    </row>
    <row r="42" spans="1:28">
      <c r="A42" s="8">
        <v>35</v>
      </c>
      <c r="B42" s="8" t="s">
        <v>144</v>
      </c>
      <c r="C42" s="8" t="s">
        <v>139</v>
      </c>
      <c r="D42" s="8" t="s">
        <v>32</v>
      </c>
      <c r="E42" s="8" t="s">
        <v>33</v>
      </c>
      <c r="F42" s="6" t="s">
        <v>34</v>
      </c>
      <c r="G42" s="6" t="s">
        <v>35</v>
      </c>
      <c r="H42" s="6" t="s">
        <v>36</v>
      </c>
      <c r="I42" s="8">
        <v>164</v>
      </c>
      <c r="J42" s="8" t="s">
        <v>77</v>
      </c>
      <c r="K42" s="8" t="s">
        <v>38</v>
      </c>
      <c r="L42" s="10">
        <v>1</v>
      </c>
      <c r="M42" s="13">
        <v>10000.0</v>
      </c>
      <c r="N42" s="13"/>
      <c r="O42" s="15">
        <f>IF(M42&gt;0, N42/M42, 0)</f>
        <v>0</v>
      </c>
      <c r="P42" s="13">
        <f>M42-N42</f>
        <v>10000</v>
      </c>
      <c r="Q42" s="13">
        <f>L42*M42</f>
        <v>10000</v>
      </c>
      <c r="R42" s="13">
        <f>L42*N42</f>
        <v>0</v>
      </c>
      <c r="S42" s="13">
        <f>L42*P42</f>
        <v>10000</v>
      </c>
      <c r="T42" s="13"/>
      <c r="U42" s="13">
        <f>L42*T42</f>
        <v>0</v>
      </c>
      <c r="V42" s="13">
        <f>S42-U42</f>
        <v>10000</v>
      </c>
      <c r="W42" s="15">
        <f>IF(S42&gt;0, V42/S42, 0)</f>
        <v>1</v>
      </c>
      <c r="X42" s="6" t="s">
        <v>58</v>
      </c>
      <c r="Y42" s="8" t="s">
        <v>40</v>
      </c>
      <c r="Z42" s="8" t="s">
        <v>41</v>
      </c>
      <c r="AA42" s="8" t="s">
        <v>42</v>
      </c>
      <c r="AB42" s="6" t="s">
        <v>143</v>
      </c>
    </row>
    <row r="43" spans="1:28">
      <c r="A43" s="9">
        <v>36</v>
      </c>
      <c r="B43" s="9" t="s">
        <v>145</v>
      </c>
      <c r="C43" s="9" t="s">
        <v>139</v>
      </c>
      <c r="D43" s="9" t="s">
        <v>32</v>
      </c>
      <c r="E43" s="9" t="s">
        <v>33</v>
      </c>
      <c r="F43" s="7" t="s">
        <v>50</v>
      </c>
      <c r="G43" s="7" t="s">
        <v>35</v>
      </c>
      <c r="H43" s="7" t="s">
        <v>73</v>
      </c>
      <c r="I43" s="9">
        <v>134</v>
      </c>
      <c r="J43" s="9" t="s">
        <v>146</v>
      </c>
      <c r="K43" s="9" t="s">
        <v>53</v>
      </c>
      <c r="L43" s="11">
        <v>1</v>
      </c>
      <c r="M43" s="14">
        <v>7000.0</v>
      </c>
      <c r="N43" s="14"/>
      <c r="O43" s="16">
        <f>IF(M43&gt;0, N43/M43, 0)</f>
        <v>0</v>
      </c>
      <c r="P43" s="14">
        <f>M43-N43</f>
        <v>7000</v>
      </c>
      <c r="Q43" s="14">
        <f>L43*M43</f>
        <v>7000</v>
      </c>
      <c r="R43" s="14">
        <f>L43*N43</f>
        <v>0</v>
      </c>
      <c r="S43" s="14">
        <f>L43*P43</f>
        <v>7000</v>
      </c>
      <c r="T43" s="14"/>
      <c r="U43" s="14">
        <f>L43*T43</f>
        <v>0</v>
      </c>
      <c r="V43" s="14">
        <f>S43-U43</f>
        <v>7000</v>
      </c>
      <c r="W43" s="16">
        <f>IF(S43&gt;0, V43/S43, 0)</f>
        <v>1</v>
      </c>
      <c r="X43" s="7" t="s">
        <v>58</v>
      </c>
      <c r="Y43" s="9" t="s">
        <v>40</v>
      </c>
      <c r="Z43" s="9" t="s">
        <v>41</v>
      </c>
      <c r="AA43" s="9" t="s">
        <v>42</v>
      </c>
      <c r="AB43" s="7" t="s">
        <v>42</v>
      </c>
    </row>
    <row r="44" spans="1:28">
      <c r="A44" s="8">
        <v>37</v>
      </c>
      <c r="B44" s="8" t="s">
        <v>147</v>
      </c>
      <c r="C44" s="8" t="s">
        <v>139</v>
      </c>
      <c r="D44" s="8" t="s">
        <v>32</v>
      </c>
      <c r="E44" s="8" t="s">
        <v>33</v>
      </c>
      <c r="F44" s="6" t="s">
        <v>34</v>
      </c>
      <c r="G44" s="6" t="s">
        <v>63</v>
      </c>
      <c r="H44" s="6" t="s">
        <v>148</v>
      </c>
      <c r="I44" s="8">
        <v>170</v>
      </c>
      <c r="J44" s="8" t="s">
        <v>149</v>
      </c>
      <c r="K44" s="8" t="s">
        <v>38</v>
      </c>
      <c r="L44" s="10">
        <v>1</v>
      </c>
      <c r="M44" s="13">
        <v>15000.0</v>
      </c>
      <c r="N44" s="13"/>
      <c r="O44" s="15">
        <f>IF(M44&gt;0, N44/M44, 0)</f>
        <v>0</v>
      </c>
      <c r="P44" s="13">
        <f>M44-N44</f>
        <v>15000</v>
      </c>
      <c r="Q44" s="13">
        <f>L44*M44</f>
        <v>15000</v>
      </c>
      <c r="R44" s="13">
        <f>L44*N44</f>
        <v>0</v>
      </c>
      <c r="S44" s="13">
        <f>L44*P44</f>
        <v>15000</v>
      </c>
      <c r="T44" s="13"/>
      <c r="U44" s="13">
        <f>L44*T44</f>
        <v>0</v>
      </c>
      <c r="V44" s="13">
        <f>S44-U44</f>
        <v>15000</v>
      </c>
      <c r="W44" s="15">
        <f>IF(S44&gt;0, V44/S44, 0)</f>
        <v>1</v>
      </c>
      <c r="X44" s="6" t="s">
        <v>58</v>
      </c>
      <c r="Y44" s="8" t="s">
        <v>40</v>
      </c>
      <c r="Z44" s="8" t="s">
        <v>41</v>
      </c>
      <c r="AA44" s="8" t="s">
        <v>42</v>
      </c>
      <c r="AB44" s="6" t="s">
        <v>143</v>
      </c>
    </row>
    <row r="45" spans="1:28">
      <c r="A45" s="9">
        <v>38</v>
      </c>
      <c r="B45" s="9" t="s">
        <v>150</v>
      </c>
      <c r="C45" s="9" t="s">
        <v>139</v>
      </c>
      <c r="D45" s="9" t="s">
        <v>32</v>
      </c>
      <c r="E45" s="9" t="s">
        <v>33</v>
      </c>
      <c r="F45" s="7" t="s">
        <v>50</v>
      </c>
      <c r="G45" s="7" t="s">
        <v>35</v>
      </c>
      <c r="H45" s="7" t="s">
        <v>36</v>
      </c>
      <c r="I45" s="9">
        <v>152</v>
      </c>
      <c r="J45" s="9" t="s">
        <v>151</v>
      </c>
      <c r="K45" s="9" t="s">
        <v>53</v>
      </c>
      <c r="L45" s="11">
        <v>1</v>
      </c>
      <c r="M45" s="14">
        <v>7000.0</v>
      </c>
      <c r="N45" s="14"/>
      <c r="O45" s="16">
        <f>IF(M45&gt;0, N45/M45, 0)</f>
        <v>0</v>
      </c>
      <c r="P45" s="14">
        <f>M45-N45</f>
        <v>7000</v>
      </c>
      <c r="Q45" s="14">
        <f>L45*M45</f>
        <v>7000</v>
      </c>
      <c r="R45" s="14">
        <f>L45*N45</f>
        <v>0</v>
      </c>
      <c r="S45" s="14">
        <f>L45*P45</f>
        <v>7000</v>
      </c>
      <c r="T45" s="14"/>
      <c r="U45" s="14">
        <f>L45*T45</f>
        <v>0</v>
      </c>
      <c r="V45" s="14">
        <f>S45-U45</f>
        <v>7000</v>
      </c>
      <c r="W45" s="16">
        <f>IF(S45&gt;0, V45/S45, 0)</f>
        <v>1</v>
      </c>
      <c r="X45" s="7" t="s">
        <v>58</v>
      </c>
      <c r="Y45" s="9" t="s">
        <v>40</v>
      </c>
      <c r="Z45" s="9" t="s">
        <v>41</v>
      </c>
      <c r="AA45" s="9" t="s">
        <v>42</v>
      </c>
      <c r="AB45" s="7" t="s">
        <v>42</v>
      </c>
    </row>
    <row r="46" spans="1:28">
      <c r="A46" s="8">
        <v>39</v>
      </c>
      <c r="B46" s="8" t="s">
        <v>152</v>
      </c>
      <c r="C46" s="8" t="s">
        <v>139</v>
      </c>
      <c r="D46" s="8" t="s">
        <v>32</v>
      </c>
      <c r="E46" s="8" t="s">
        <v>33</v>
      </c>
      <c r="F46" s="6" t="s">
        <v>50</v>
      </c>
      <c r="G46" s="6" t="s">
        <v>51</v>
      </c>
      <c r="H46" s="6" t="s">
        <v>153</v>
      </c>
      <c r="I46" s="8">
        <v>134</v>
      </c>
      <c r="J46" s="8" t="s">
        <v>154</v>
      </c>
      <c r="K46" s="8" t="s">
        <v>38</v>
      </c>
      <c r="L46" s="10">
        <v>1</v>
      </c>
      <c r="M46" s="13">
        <v>15000.0</v>
      </c>
      <c r="N46" s="13"/>
      <c r="O46" s="15">
        <f>IF(M46&gt;0, N46/M46, 0)</f>
        <v>0</v>
      </c>
      <c r="P46" s="13">
        <f>M46-N46</f>
        <v>15000</v>
      </c>
      <c r="Q46" s="13">
        <f>L46*M46</f>
        <v>15000</v>
      </c>
      <c r="R46" s="13">
        <f>L46*N46</f>
        <v>0</v>
      </c>
      <c r="S46" s="13">
        <f>L46*P46</f>
        <v>15000</v>
      </c>
      <c r="T46" s="13"/>
      <c r="U46" s="13">
        <f>L46*T46</f>
        <v>0</v>
      </c>
      <c r="V46" s="13">
        <f>S46-U46</f>
        <v>15000</v>
      </c>
      <c r="W46" s="15">
        <f>IF(S46&gt;0, V46/S46, 0)</f>
        <v>1</v>
      </c>
      <c r="X46" s="6" t="s">
        <v>58</v>
      </c>
      <c r="Y46" s="8" t="s">
        <v>40</v>
      </c>
      <c r="Z46" s="8" t="s">
        <v>41</v>
      </c>
      <c r="AA46" s="8" t="s">
        <v>42</v>
      </c>
      <c r="AB46" s="6" t="s">
        <v>143</v>
      </c>
    </row>
    <row r="47" spans="1:28">
      <c r="A47" s="9">
        <v>40</v>
      </c>
      <c r="B47" s="9" t="s">
        <v>155</v>
      </c>
      <c r="C47" s="9" t="s">
        <v>139</v>
      </c>
      <c r="D47" s="9" t="s">
        <v>32</v>
      </c>
      <c r="E47" s="9" t="s">
        <v>33</v>
      </c>
      <c r="F47" s="7" t="s">
        <v>50</v>
      </c>
      <c r="G47" s="7" t="s">
        <v>35</v>
      </c>
      <c r="H47" s="7" t="s">
        <v>36</v>
      </c>
      <c r="I47" s="9">
        <v>128</v>
      </c>
      <c r="J47" s="9" t="s">
        <v>156</v>
      </c>
      <c r="K47" s="9" t="s">
        <v>53</v>
      </c>
      <c r="L47" s="11">
        <v>1</v>
      </c>
      <c r="M47" s="14">
        <v>9000.0</v>
      </c>
      <c r="N47" s="14"/>
      <c r="O47" s="16">
        <f>IF(M47&gt;0, N47/M47, 0)</f>
        <v>0</v>
      </c>
      <c r="P47" s="14">
        <f>M47-N47</f>
        <v>9000</v>
      </c>
      <c r="Q47" s="14">
        <f>L47*M47</f>
        <v>9000</v>
      </c>
      <c r="R47" s="14">
        <f>L47*N47</f>
        <v>0</v>
      </c>
      <c r="S47" s="14">
        <f>L47*P47</f>
        <v>9000</v>
      </c>
      <c r="T47" s="14"/>
      <c r="U47" s="14">
        <f>L47*T47</f>
        <v>0</v>
      </c>
      <c r="V47" s="14">
        <f>S47-U47</f>
        <v>9000</v>
      </c>
      <c r="W47" s="16">
        <f>IF(S47&gt;0, V47/S47, 0)</f>
        <v>1</v>
      </c>
      <c r="X47" s="7" t="s">
        <v>58</v>
      </c>
      <c r="Y47" s="9" t="s">
        <v>40</v>
      </c>
      <c r="Z47" s="9" t="s">
        <v>41</v>
      </c>
      <c r="AA47" s="9" t="s">
        <v>42</v>
      </c>
      <c r="AB47" s="7" t="s">
        <v>42</v>
      </c>
    </row>
    <row r="48" spans="1:28">
      <c r="A48" s="8">
        <v>41</v>
      </c>
      <c r="B48" s="8" t="s">
        <v>157</v>
      </c>
      <c r="C48" s="8" t="s">
        <v>139</v>
      </c>
      <c r="D48" s="8" t="s">
        <v>32</v>
      </c>
      <c r="E48" s="8" t="s">
        <v>33</v>
      </c>
      <c r="F48" s="6" t="s">
        <v>158</v>
      </c>
      <c r="G48" s="6" t="s">
        <v>158</v>
      </c>
      <c r="H48" s="6" t="s">
        <v>159</v>
      </c>
      <c r="I48" s="8" t="s">
        <v>42</v>
      </c>
      <c r="J48" s="8" t="s">
        <v>160</v>
      </c>
      <c r="K48" s="8" t="s">
        <v>38</v>
      </c>
      <c r="L48" s="10">
        <v>1</v>
      </c>
      <c r="M48" s="13">
        <v>5000.0</v>
      </c>
      <c r="N48" s="13"/>
      <c r="O48" s="15">
        <f>IF(M48&gt;0, N48/M48, 0)</f>
        <v>0</v>
      </c>
      <c r="P48" s="13">
        <f>M48-N48</f>
        <v>5000</v>
      </c>
      <c r="Q48" s="13">
        <f>L48*M48</f>
        <v>5000</v>
      </c>
      <c r="R48" s="13">
        <f>L48*N48</f>
        <v>0</v>
      </c>
      <c r="S48" s="13">
        <f>L48*P48</f>
        <v>5000</v>
      </c>
      <c r="T48" s="13"/>
      <c r="U48" s="13">
        <f>L48*T48</f>
        <v>0</v>
      </c>
      <c r="V48" s="13">
        <f>S48-U48</f>
        <v>5000</v>
      </c>
      <c r="W48" s="15">
        <f>IF(S48&gt;0, V48/S48, 0)</f>
        <v>1</v>
      </c>
      <c r="X48" s="6" t="s">
        <v>58</v>
      </c>
      <c r="Y48" s="8" t="s">
        <v>40</v>
      </c>
      <c r="Z48" s="8" t="s">
        <v>41</v>
      </c>
      <c r="AA48" s="8" t="s">
        <v>42</v>
      </c>
      <c r="AB48" s="6" t="s">
        <v>143</v>
      </c>
    </row>
    <row r="49" spans="1:28">
      <c r="A49" s="9">
        <v>42</v>
      </c>
      <c r="B49" s="9" t="s">
        <v>161</v>
      </c>
      <c r="C49" s="9" t="s">
        <v>139</v>
      </c>
      <c r="D49" s="9" t="s">
        <v>32</v>
      </c>
      <c r="E49" s="9" t="s">
        <v>33</v>
      </c>
      <c r="F49" s="7" t="s">
        <v>50</v>
      </c>
      <c r="G49" s="7" t="s">
        <v>51</v>
      </c>
      <c r="H49" s="7" t="s">
        <v>162</v>
      </c>
      <c r="I49" s="9">
        <v>122</v>
      </c>
      <c r="J49" s="9" t="s">
        <v>163</v>
      </c>
      <c r="K49" s="9" t="s">
        <v>38</v>
      </c>
      <c r="L49" s="11">
        <v>1</v>
      </c>
      <c r="M49" s="14">
        <v>15000.0</v>
      </c>
      <c r="N49" s="14"/>
      <c r="O49" s="16">
        <f>IF(M49&gt;0, N49/M49, 0)</f>
        <v>0</v>
      </c>
      <c r="P49" s="14">
        <f>M49-N49</f>
        <v>15000</v>
      </c>
      <c r="Q49" s="14">
        <f>L49*M49</f>
        <v>15000</v>
      </c>
      <c r="R49" s="14">
        <f>L49*N49</f>
        <v>0</v>
      </c>
      <c r="S49" s="14">
        <f>L49*P49</f>
        <v>15000</v>
      </c>
      <c r="T49" s="14"/>
      <c r="U49" s="14">
        <f>L49*T49</f>
        <v>0</v>
      </c>
      <c r="V49" s="14">
        <f>S49-U49</f>
        <v>15000</v>
      </c>
      <c r="W49" s="16">
        <f>IF(S49&gt;0, V49/S49, 0)</f>
        <v>1</v>
      </c>
      <c r="X49" s="7" t="s">
        <v>58</v>
      </c>
      <c r="Y49" s="9" t="s">
        <v>40</v>
      </c>
      <c r="Z49" s="9" t="s">
        <v>41</v>
      </c>
      <c r="AA49" s="9" t="s">
        <v>42</v>
      </c>
      <c r="AB49" s="7" t="s">
        <v>143</v>
      </c>
    </row>
    <row r="50" spans="1:28">
      <c r="A50" s="8">
        <v>43</v>
      </c>
      <c r="B50" s="8" t="s">
        <v>164</v>
      </c>
      <c r="C50" s="8" t="s">
        <v>139</v>
      </c>
      <c r="D50" s="8" t="s">
        <v>32</v>
      </c>
      <c r="E50" s="8" t="s">
        <v>33</v>
      </c>
      <c r="F50" s="6" t="s">
        <v>50</v>
      </c>
      <c r="G50" s="6" t="s">
        <v>63</v>
      </c>
      <c r="H50" s="6" t="s">
        <v>148</v>
      </c>
      <c r="I50" s="8">
        <v>128</v>
      </c>
      <c r="J50" s="8" t="s">
        <v>165</v>
      </c>
      <c r="K50" s="8" t="s">
        <v>38</v>
      </c>
      <c r="L50" s="10">
        <v>1</v>
      </c>
      <c r="M50" s="13">
        <v>12000.0</v>
      </c>
      <c r="N50" s="13"/>
      <c r="O50" s="15">
        <f>IF(M50&gt;0, N50/M50, 0)</f>
        <v>0</v>
      </c>
      <c r="P50" s="13">
        <f>M50-N50</f>
        <v>12000</v>
      </c>
      <c r="Q50" s="13">
        <f>L50*M50</f>
        <v>12000</v>
      </c>
      <c r="R50" s="13">
        <f>L50*N50</f>
        <v>0</v>
      </c>
      <c r="S50" s="13">
        <f>L50*P50</f>
        <v>12000</v>
      </c>
      <c r="T50" s="13"/>
      <c r="U50" s="13">
        <f>L50*T50</f>
        <v>0</v>
      </c>
      <c r="V50" s="13">
        <f>S50-U50</f>
        <v>12000</v>
      </c>
      <c r="W50" s="15">
        <f>IF(S50&gt;0, V50/S50, 0)</f>
        <v>1</v>
      </c>
      <c r="X50" s="6" t="s">
        <v>58</v>
      </c>
      <c r="Y50" s="8" t="s">
        <v>40</v>
      </c>
      <c r="Z50" s="8" t="s">
        <v>41</v>
      </c>
      <c r="AA50" s="8" t="s">
        <v>42</v>
      </c>
      <c r="AB50" s="6" t="s">
        <v>143</v>
      </c>
    </row>
    <row r="51" spans="1:28">
      <c r="A51" s="9">
        <v>44</v>
      </c>
      <c r="B51" s="9" t="s">
        <v>166</v>
      </c>
      <c r="C51" s="9" t="s">
        <v>139</v>
      </c>
      <c r="D51" s="9" t="s">
        <v>32</v>
      </c>
      <c r="E51" s="9" t="s">
        <v>33</v>
      </c>
      <c r="F51" s="7" t="s">
        <v>50</v>
      </c>
      <c r="G51" s="7" t="s">
        <v>63</v>
      </c>
      <c r="H51" s="7" t="s">
        <v>148</v>
      </c>
      <c r="I51" s="9">
        <v>146</v>
      </c>
      <c r="J51" s="9" t="s">
        <v>167</v>
      </c>
      <c r="K51" s="9" t="s">
        <v>38</v>
      </c>
      <c r="L51" s="11">
        <v>1</v>
      </c>
      <c r="M51" s="14">
        <v>12000.0</v>
      </c>
      <c r="N51" s="14"/>
      <c r="O51" s="16">
        <f>IF(M51&gt;0, N51/M51, 0)</f>
        <v>0</v>
      </c>
      <c r="P51" s="14">
        <f>M51-N51</f>
        <v>12000</v>
      </c>
      <c r="Q51" s="14">
        <f>L51*M51</f>
        <v>12000</v>
      </c>
      <c r="R51" s="14">
        <f>L51*N51</f>
        <v>0</v>
      </c>
      <c r="S51" s="14">
        <f>L51*P51</f>
        <v>12000</v>
      </c>
      <c r="T51" s="14"/>
      <c r="U51" s="14">
        <f>L51*T51</f>
        <v>0</v>
      </c>
      <c r="V51" s="14">
        <f>S51-U51</f>
        <v>12000</v>
      </c>
      <c r="W51" s="16">
        <f>IF(S51&gt;0, V51/S51, 0)</f>
        <v>1</v>
      </c>
      <c r="X51" s="7" t="s">
        <v>58</v>
      </c>
      <c r="Y51" s="9" t="s">
        <v>40</v>
      </c>
      <c r="Z51" s="9" t="s">
        <v>41</v>
      </c>
      <c r="AA51" s="9" t="s">
        <v>42</v>
      </c>
      <c r="AB51" s="7" t="s">
        <v>143</v>
      </c>
    </row>
    <row r="52" spans="1:28">
      <c r="A52" s="8">
        <v>45</v>
      </c>
      <c r="B52" s="8" t="s">
        <v>168</v>
      </c>
      <c r="C52" s="8" t="s">
        <v>139</v>
      </c>
      <c r="D52" s="8" t="s">
        <v>32</v>
      </c>
      <c r="E52" s="8" t="s">
        <v>33</v>
      </c>
      <c r="F52" s="6" t="s">
        <v>34</v>
      </c>
      <c r="G52" s="6" t="s">
        <v>63</v>
      </c>
      <c r="H52" s="6" t="s">
        <v>148</v>
      </c>
      <c r="I52" s="8">
        <v>188</v>
      </c>
      <c r="J52" s="8" t="s">
        <v>169</v>
      </c>
      <c r="K52" s="8" t="s">
        <v>38</v>
      </c>
      <c r="L52" s="10">
        <v>1</v>
      </c>
      <c r="M52" s="13">
        <v>15000.0</v>
      </c>
      <c r="N52" s="13"/>
      <c r="O52" s="15">
        <f>IF(M52&gt;0, N52/M52, 0)</f>
        <v>0</v>
      </c>
      <c r="P52" s="13">
        <f>M52-N52</f>
        <v>15000</v>
      </c>
      <c r="Q52" s="13">
        <f>L52*M52</f>
        <v>15000</v>
      </c>
      <c r="R52" s="13">
        <f>L52*N52</f>
        <v>0</v>
      </c>
      <c r="S52" s="13">
        <f>L52*P52</f>
        <v>15000</v>
      </c>
      <c r="T52" s="13"/>
      <c r="U52" s="13">
        <f>L52*T52</f>
        <v>0</v>
      </c>
      <c r="V52" s="13">
        <f>S52-U52</f>
        <v>15000</v>
      </c>
      <c r="W52" s="15">
        <f>IF(S52&gt;0, V52/S52, 0)</f>
        <v>1</v>
      </c>
      <c r="X52" s="6" t="s">
        <v>58</v>
      </c>
      <c r="Y52" s="8" t="s">
        <v>40</v>
      </c>
      <c r="Z52" s="8" t="s">
        <v>41</v>
      </c>
      <c r="AA52" s="8" t="s">
        <v>42</v>
      </c>
      <c r="AB52" s="6" t="s">
        <v>42</v>
      </c>
    </row>
    <row r="53" spans="1:28">
      <c r="A53" s="9">
        <v>46</v>
      </c>
      <c r="B53" s="9" t="s">
        <v>170</v>
      </c>
      <c r="C53" s="9" t="s">
        <v>139</v>
      </c>
      <c r="D53" s="9" t="s">
        <v>32</v>
      </c>
      <c r="E53" s="9" t="s">
        <v>33</v>
      </c>
      <c r="F53" s="7" t="s">
        <v>158</v>
      </c>
      <c r="G53" s="7" t="s">
        <v>158</v>
      </c>
      <c r="H53" s="7" t="s">
        <v>159</v>
      </c>
      <c r="I53" s="9" t="s">
        <v>42</v>
      </c>
      <c r="J53" s="9" t="s">
        <v>160</v>
      </c>
      <c r="K53" s="9" t="s">
        <v>38</v>
      </c>
      <c r="L53" s="11">
        <v>1</v>
      </c>
      <c r="M53" s="14">
        <v>5000.0</v>
      </c>
      <c r="N53" s="14"/>
      <c r="O53" s="16">
        <f>IF(M53&gt;0, N53/M53, 0)</f>
        <v>0</v>
      </c>
      <c r="P53" s="14">
        <f>M53-N53</f>
        <v>5000</v>
      </c>
      <c r="Q53" s="14">
        <f>L53*M53</f>
        <v>5000</v>
      </c>
      <c r="R53" s="14">
        <f>L53*N53</f>
        <v>0</v>
      </c>
      <c r="S53" s="14">
        <f>L53*P53</f>
        <v>5000</v>
      </c>
      <c r="T53" s="14"/>
      <c r="U53" s="14">
        <f>L53*T53</f>
        <v>0</v>
      </c>
      <c r="V53" s="14">
        <f>S53-U53</f>
        <v>5000</v>
      </c>
      <c r="W53" s="16">
        <f>IF(S53&gt;0, V53/S53, 0)</f>
        <v>1</v>
      </c>
      <c r="X53" s="7" t="s">
        <v>58</v>
      </c>
      <c r="Y53" s="9" t="s">
        <v>40</v>
      </c>
      <c r="Z53" s="9" t="s">
        <v>41</v>
      </c>
      <c r="AA53" s="9" t="s">
        <v>42</v>
      </c>
      <c r="AB53" s="7" t="s">
        <v>143</v>
      </c>
    </row>
    <row r="54" spans="1:28">
      <c r="A54" s="8">
        <v>47</v>
      </c>
      <c r="B54" s="8" t="s">
        <v>171</v>
      </c>
      <c r="C54" s="8" t="s">
        <v>139</v>
      </c>
      <c r="D54" s="8" t="s">
        <v>32</v>
      </c>
      <c r="E54" s="8" t="s">
        <v>33</v>
      </c>
      <c r="F54" s="6" t="s">
        <v>50</v>
      </c>
      <c r="G54" s="6" t="s">
        <v>51</v>
      </c>
      <c r="H54" s="6" t="s">
        <v>172</v>
      </c>
      <c r="I54" s="8">
        <v>134</v>
      </c>
      <c r="J54" s="8" t="s">
        <v>173</v>
      </c>
      <c r="K54" s="8" t="s">
        <v>38</v>
      </c>
      <c r="L54" s="10">
        <v>1</v>
      </c>
      <c r="M54" s="13">
        <v>15000.0</v>
      </c>
      <c r="N54" s="13"/>
      <c r="O54" s="15">
        <f>IF(M54&gt;0, N54/M54, 0)</f>
        <v>0</v>
      </c>
      <c r="P54" s="13">
        <f>M54-N54</f>
        <v>15000</v>
      </c>
      <c r="Q54" s="13">
        <f>L54*M54</f>
        <v>15000</v>
      </c>
      <c r="R54" s="13">
        <f>L54*N54</f>
        <v>0</v>
      </c>
      <c r="S54" s="13">
        <f>L54*P54</f>
        <v>15000</v>
      </c>
      <c r="T54" s="13"/>
      <c r="U54" s="13">
        <f>L54*T54</f>
        <v>0</v>
      </c>
      <c r="V54" s="13">
        <f>S54-U54</f>
        <v>15000</v>
      </c>
      <c r="W54" s="15">
        <f>IF(S54&gt;0, V54/S54, 0)</f>
        <v>1</v>
      </c>
      <c r="X54" s="6" t="s">
        <v>58</v>
      </c>
      <c r="Y54" s="8" t="s">
        <v>40</v>
      </c>
      <c r="Z54" s="8" t="s">
        <v>41</v>
      </c>
      <c r="AA54" s="8" t="s">
        <v>42</v>
      </c>
      <c r="AB54" s="6" t="s">
        <v>143</v>
      </c>
    </row>
    <row r="55" spans="1:28">
      <c r="A55" s="9">
        <v>48</v>
      </c>
      <c r="B55" s="9" t="s">
        <v>174</v>
      </c>
      <c r="C55" s="9" t="s">
        <v>139</v>
      </c>
      <c r="D55" s="9" t="s">
        <v>32</v>
      </c>
      <c r="E55" s="9" t="s">
        <v>33</v>
      </c>
      <c r="F55" s="7" t="s">
        <v>50</v>
      </c>
      <c r="G55" s="7" t="s">
        <v>51</v>
      </c>
      <c r="H55" s="7" t="s">
        <v>51</v>
      </c>
      <c r="I55" s="9">
        <v>134</v>
      </c>
      <c r="J55" s="9" t="s">
        <v>175</v>
      </c>
      <c r="K55" s="9" t="s">
        <v>53</v>
      </c>
      <c r="L55" s="11">
        <v>1</v>
      </c>
      <c r="M55" s="14">
        <v>8000.0</v>
      </c>
      <c r="N55" s="14"/>
      <c r="O55" s="16">
        <f>IF(M55&gt;0, N55/M55, 0)</f>
        <v>0</v>
      </c>
      <c r="P55" s="14">
        <f>M55-N55</f>
        <v>8000</v>
      </c>
      <c r="Q55" s="14">
        <f>L55*M55</f>
        <v>8000</v>
      </c>
      <c r="R55" s="14">
        <f>L55*N55</f>
        <v>0</v>
      </c>
      <c r="S55" s="14">
        <f>L55*P55</f>
        <v>8000</v>
      </c>
      <c r="T55" s="14"/>
      <c r="U55" s="14">
        <f>L55*T55</f>
        <v>0</v>
      </c>
      <c r="V55" s="14">
        <f>S55-U55</f>
        <v>8000</v>
      </c>
      <c r="W55" s="16">
        <f>IF(S55&gt;0, V55/S55, 0)</f>
        <v>1</v>
      </c>
      <c r="X55" s="7" t="s">
        <v>58</v>
      </c>
      <c r="Y55" s="9" t="s">
        <v>40</v>
      </c>
      <c r="Z55" s="9" t="s">
        <v>41</v>
      </c>
      <c r="AA55" s="9" t="s">
        <v>42</v>
      </c>
      <c r="AB55" s="7" t="s">
        <v>42</v>
      </c>
    </row>
    <row r="56" spans="1:28">
      <c r="A56" s="8">
        <v>49</v>
      </c>
      <c r="B56" s="8" t="s">
        <v>176</v>
      </c>
      <c r="C56" s="8" t="s">
        <v>139</v>
      </c>
      <c r="D56" s="8" t="s">
        <v>32</v>
      </c>
      <c r="E56" s="8" t="s">
        <v>33</v>
      </c>
      <c r="F56" s="6" t="s">
        <v>50</v>
      </c>
      <c r="G56" s="6" t="s">
        <v>35</v>
      </c>
      <c r="H56" s="6" t="s">
        <v>36</v>
      </c>
      <c r="I56" s="8">
        <v>134</v>
      </c>
      <c r="J56" s="8" t="s">
        <v>177</v>
      </c>
      <c r="K56" s="8" t="s">
        <v>53</v>
      </c>
      <c r="L56" s="10">
        <v>2</v>
      </c>
      <c r="M56" s="13">
        <v>7000.0</v>
      </c>
      <c r="N56" s="13"/>
      <c r="O56" s="15">
        <f>IF(M56&gt;0, N56/M56, 0)</f>
        <v>0</v>
      </c>
      <c r="P56" s="13">
        <f>M56-N56</f>
        <v>7000</v>
      </c>
      <c r="Q56" s="13">
        <f>L56*M56</f>
        <v>14000</v>
      </c>
      <c r="R56" s="13">
        <f>L56*N56</f>
        <v>0</v>
      </c>
      <c r="S56" s="13">
        <f>L56*P56</f>
        <v>14000</v>
      </c>
      <c r="T56" s="13"/>
      <c r="U56" s="13">
        <f>L56*T56</f>
        <v>0</v>
      </c>
      <c r="V56" s="13">
        <f>S56-U56</f>
        <v>14000</v>
      </c>
      <c r="W56" s="15">
        <f>IF(S56&gt;0, V56/S56, 0)</f>
        <v>1</v>
      </c>
      <c r="X56" s="6" t="s">
        <v>58</v>
      </c>
      <c r="Y56" s="8" t="s">
        <v>40</v>
      </c>
      <c r="Z56" s="8" t="s">
        <v>41</v>
      </c>
      <c r="AA56" s="8" t="s">
        <v>42</v>
      </c>
      <c r="AB56" s="6" t="s">
        <v>42</v>
      </c>
    </row>
    <row r="57" spans="1:28">
      <c r="A57" s="9">
        <v>50</v>
      </c>
      <c r="B57" s="9" t="s">
        <v>178</v>
      </c>
      <c r="C57" s="9" t="s">
        <v>139</v>
      </c>
      <c r="D57" s="9" t="s">
        <v>32</v>
      </c>
      <c r="E57" s="9" t="s">
        <v>33</v>
      </c>
      <c r="F57" s="7" t="s">
        <v>34</v>
      </c>
      <c r="G57" s="7" t="s">
        <v>69</v>
      </c>
      <c r="H57" s="7" t="s">
        <v>69</v>
      </c>
      <c r="I57" s="9">
        <v>170</v>
      </c>
      <c r="J57" s="9" t="s">
        <v>179</v>
      </c>
      <c r="K57" s="9" t="s">
        <v>38</v>
      </c>
      <c r="L57" s="11">
        <v>1</v>
      </c>
      <c r="M57" s="14">
        <v>18000.0</v>
      </c>
      <c r="N57" s="14"/>
      <c r="O57" s="16">
        <f>IF(M57&gt;0, N57/M57, 0)</f>
        <v>0</v>
      </c>
      <c r="P57" s="14">
        <f>M57-N57</f>
        <v>18000</v>
      </c>
      <c r="Q57" s="14">
        <f>L57*M57</f>
        <v>18000</v>
      </c>
      <c r="R57" s="14">
        <f>L57*N57</f>
        <v>0</v>
      </c>
      <c r="S57" s="14">
        <f>L57*P57</f>
        <v>18000</v>
      </c>
      <c r="T57" s="14"/>
      <c r="U57" s="14">
        <f>L57*T57</f>
        <v>0</v>
      </c>
      <c r="V57" s="14">
        <f>S57-U57</f>
        <v>18000</v>
      </c>
      <c r="W57" s="16">
        <f>IF(S57&gt;0, V57/S57, 0)</f>
        <v>1</v>
      </c>
      <c r="X57" s="7" t="s">
        <v>58</v>
      </c>
      <c r="Y57" s="9" t="s">
        <v>40</v>
      </c>
      <c r="Z57" s="9" t="s">
        <v>41</v>
      </c>
      <c r="AA57" s="9" t="s">
        <v>42</v>
      </c>
      <c r="AB57" s="7" t="s">
        <v>143</v>
      </c>
    </row>
    <row r="58" spans="1:28">
      <c r="A58" s="8">
        <v>51</v>
      </c>
      <c r="B58" s="8" t="s">
        <v>180</v>
      </c>
      <c r="C58" s="8" t="s">
        <v>139</v>
      </c>
      <c r="D58" s="8" t="s">
        <v>32</v>
      </c>
      <c r="E58" s="8" t="s">
        <v>33</v>
      </c>
      <c r="F58" s="6" t="s">
        <v>34</v>
      </c>
      <c r="G58" s="6" t="s">
        <v>45</v>
      </c>
      <c r="H58" s="6" t="s">
        <v>46</v>
      </c>
      <c r="I58" s="8">
        <v>170</v>
      </c>
      <c r="J58" s="8" t="s">
        <v>181</v>
      </c>
      <c r="K58" s="8" t="s">
        <v>38</v>
      </c>
      <c r="L58" s="10">
        <v>1</v>
      </c>
      <c r="M58" s="13">
        <v>18000.0</v>
      </c>
      <c r="N58" s="13"/>
      <c r="O58" s="15">
        <f>IF(M58&gt;0, N58/M58, 0)</f>
        <v>0</v>
      </c>
      <c r="P58" s="13">
        <f>M58-N58</f>
        <v>18000</v>
      </c>
      <c r="Q58" s="13">
        <f>L58*M58</f>
        <v>18000</v>
      </c>
      <c r="R58" s="13">
        <f>L58*N58</f>
        <v>0</v>
      </c>
      <c r="S58" s="13">
        <f>L58*P58</f>
        <v>18000</v>
      </c>
      <c r="T58" s="13"/>
      <c r="U58" s="13">
        <f>L58*T58</f>
        <v>0</v>
      </c>
      <c r="V58" s="13">
        <f>S58-U58</f>
        <v>18000</v>
      </c>
      <c r="W58" s="15">
        <f>IF(S58&gt;0, V58/S58, 0)</f>
        <v>1</v>
      </c>
      <c r="X58" s="6" t="s">
        <v>58</v>
      </c>
      <c r="Y58" s="8" t="s">
        <v>40</v>
      </c>
      <c r="Z58" s="8" t="s">
        <v>41</v>
      </c>
      <c r="AA58" s="8" t="s">
        <v>42</v>
      </c>
      <c r="AB58" s="6" t="s">
        <v>42</v>
      </c>
    </row>
    <row r="59" spans="1:28">
      <c r="A59" s="9">
        <v>52</v>
      </c>
      <c r="B59" s="9" t="s">
        <v>182</v>
      </c>
      <c r="C59" s="9" t="s">
        <v>139</v>
      </c>
      <c r="D59" s="9" t="s">
        <v>32</v>
      </c>
      <c r="E59" s="9" t="s">
        <v>33</v>
      </c>
      <c r="F59" s="7" t="s">
        <v>50</v>
      </c>
      <c r="G59" s="7" t="s">
        <v>45</v>
      </c>
      <c r="H59" s="7" t="s">
        <v>46</v>
      </c>
      <c r="I59" s="9">
        <v>128</v>
      </c>
      <c r="J59" s="9" t="s">
        <v>183</v>
      </c>
      <c r="K59" s="9" t="s">
        <v>38</v>
      </c>
      <c r="L59" s="11">
        <v>1</v>
      </c>
      <c r="M59" s="14">
        <v>18000.0</v>
      </c>
      <c r="N59" s="14"/>
      <c r="O59" s="16">
        <f>IF(M59&gt;0, N59/M59, 0)</f>
        <v>0</v>
      </c>
      <c r="P59" s="14">
        <f>M59-N59</f>
        <v>18000</v>
      </c>
      <c r="Q59" s="14">
        <f>L59*M59</f>
        <v>18000</v>
      </c>
      <c r="R59" s="14">
        <f>L59*N59</f>
        <v>0</v>
      </c>
      <c r="S59" s="14">
        <f>L59*P59</f>
        <v>18000</v>
      </c>
      <c r="T59" s="14"/>
      <c r="U59" s="14">
        <f>L59*T59</f>
        <v>0</v>
      </c>
      <c r="V59" s="14">
        <f>S59-U59</f>
        <v>18000</v>
      </c>
      <c r="W59" s="16">
        <f>IF(S59&gt;0, V59/S59, 0)</f>
        <v>1</v>
      </c>
      <c r="X59" s="7" t="s">
        <v>58</v>
      </c>
      <c r="Y59" s="9" t="s">
        <v>40</v>
      </c>
      <c r="Z59" s="9" t="s">
        <v>41</v>
      </c>
      <c r="AA59" s="9" t="s">
        <v>42</v>
      </c>
      <c r="AB59" s="7" t="s">
        <v>42</v>
      </c>
    </row>
    <row r="60" spans="1:28">
      <c r="A60" s="8">
        <v>53</v>
      </c>
      <c r="B60" s="8" t="s">
        <v>184</v>
      </c>
      <c r="C60" s="8" t="s">
        <v>139</v>
      </c>
      <c r="D60" s="8" t="s">
        <v>32</v>
      </c>
      <c r="E60" s="8" t="s">
        <v>33</v>
      </c>
      <c r="F60" s="6" t="s">
        <v>50</v>
      </c>
      <c r="G60" s="6" t="s">
        <v>35</v>
      </c>
      <c r="H60" s="6" t="s">
        <v>73</v>
      </c>
      <c r="I60" s="8">
        <v>128</v>
      </c>
      <c r="J60" s="8" t="s">
        <v>185</v>
      </c>
      <c r="K60" s="8" t="s">
        <v>53</v>
      </c>
      <c r="L60" s="10">
        <v>1</v>
      </c>
      <c r="M60" s="13">
        <v>10000.0</v>
      </c>
      <c r="N60" s="13"/>
      <c r="O60" s="15">
        <f>IF(M60&gt;0, N60/M60, 0)</f>
        <v>0</v>
      </c>
      <c r="P60" s="13">
        <f>M60-N60</f>
        <v>10000</v>
      </c>
      <c r="Q60" s="13">
        <f>L60*M60</f>
        <v>10000</v>
      </c>
      <c r="R60" s="13">
        <f>L60*N60</f>
        <v>0</v>
      </c>
      <c r="S60" s="13">
        <f>L60*P60</f>
        <v>10000</v>
      </c>
      <c r="T60" s="13"/>
      <c r="U60" s="13">
        <f>L60*T60</f>
        <v>0</v>
      </c>
      <c r="V60" s="13">
        <f>S60-U60</f>
        <v>10000</v>
      </c>
      <c r="W60" s="15">
        <f>IF(S60&gt;0, V60/S60, 0)</f>
        <v>1</v>
      </c>
      <c r="X60" s="6" t="s">
        <v>58</v>
      </c>
      <c r="Y60" s="8" t="s">
        <v>40</v>
      </c>
      <c r="Z60" s="8" t="s">
        <v>41</v>
      </c>
      <c r="AA60" s="8" t="s">
        <v>42</v>
      </c>
      <c r="AB60" s="6" t="s">
        <v>42</v>
      </c>
    </row>
    <row r="61" spans="1:28">
      <c r="A61" s="9">
        <v>54</v>
      </c>
      <c r="B61" s="9" t="s">
        <v>186</v>
      </c>
      <c r="C61" s="9" t="s">
        <v>139</v>
      </c>
      <c r="D61" s="9" t="s">
        <v>32</v>
      </c>
      <c r="E61" s="9" t="s">
        <v>33</v>
      </c>
      <c r="F61" s="7" t="s">
        <v>50</v>
      </c>
      <c r="G61" s="7" t="s">
        <v>35</v>
      </c>
      <c r="H61" s="7" t="s">
        <v>73</v>
      </c>
      <c r="I61" s="9">
        <v>164</v>
      </c>
      <c r="J61" s="9" t="s">
        <v>187</v>
      </c>
      <c r="K61" s="9" t="s">
        <v>53</v>
      </c>
      <c r="L61" s="11">
        <v>1</v>
      </c>
      <c r="M61" s="14">
        <v>10000.0</v>
      </c>
      <c r="N61" s="14"/>
      <c r="O61" s="16">
        <f>IF(M61&gt;0, N61/M61, 0)</f>
        <v>0</v>
      </c>
      <c r="P61" s="14">
        <f>M61-N61</f>
        <v>10000</v>
      </c>
      <c r="Q61" s="14">
        <f>L61*M61</f>
        <v>10000</v>
      </c>
      <c r="R61" s="14">
        <f>L61*N61</f>
        <v>0</v>
      </c>
      <c r="S61" s="14">
        <f>L61*P61</f>
        <v>10000</v>
      </c>
      <c r="T61" s="14"/>
      <c r="U61" s="14">
        <f>L61*T61</f>
        <v>0</v>
      </c>
      <c r="V61" s="14">
        <f>S61-U61</f>
        <v>10000</v>
      </c>
      <c r="W61" s="16">
        <f>IF(S61&gt;0, V61/S61, 0)</f>
        <v>1</v>
      </c>
      <c r="X61" s="7" t="s">
        <v>58</v>
      </c>
      <c r="Y61" s="9" t="s">
        <v>40</v>
      </c>
      <c r="Z61" s="9" t="s">
        <v>41</v>
      </c>
      <c r="AA61" s="9" t="s">
        <v>42</v>
      </c>
      <c r="AB61" s="7" t="s">
        <v>42</v>
      </c>
    </row>
    <row r="62" spans="1:28">
      <c r="A62" s="8">
        <v>55</v>
      </c>
      <c r="B62" s="8" t="s">
        <v>188</v>
      </c>
      <c r="C62" s="8" t="s">
        <v>139</v>
      </c>
      <c r="D62" s="8" t="s">
        <v>32</v>
      </c>
      <c r="E62" s="8" t="s">
        <v>33</v>
      </c>
      <c r="F62" s="6" t="s">
        <v>34</v>
      </c>
      <c r="G62" s="6" t="s">
        <v>69</v>
      </c>
      <c r="H62" s="6" t="s">
        <v>69</v>
      </c>
      <c r="I62" s="8">
        <v>170</v>
      </c>
      <c r="J62" s="8" t="s">
        <v>179</v>
      </c>
      <c r="K62" s="8" t="s">
        <v>38</v>
      </c>
      <c r="L62" s="10">
        <v>1</v>
      </c>
      <c r="M62" s="13">
        <v>18000.0</v>
      </c>
      <c r="N62" s="13"/>
      <c r="O62" s="15">
        <f>IF(M62&gt;0, N62/M62, 0)</f>
        <v>0</v>
      </c>
      <c r="P62" s="13">
        <f>M62-N62</f>
        <v>18000</v>
      </c>
      <c r="Q62" s="13">
        <f>L62*M62</f>
        <v>18000</v>
      </c>
      <c r="R62" s="13">
        <f>L62*N62</f>
        <v>0</v>
      </c>
      <c r="S62" s="13">
        <f>L62*P62</f>
        <v>18000</v>
      </c>
      <c r="T62" s="13"/>
      <c r="U62" s="13">
        <f>L62*T62</f>
        <v>0</v>
      </c>
      <c r="V62" s="13">
        <f>S62-U62</f>
        <v>18000</v>
      </c>
      <c r="W62" s="15">
        <f>IF(S62&gt;0, V62/S62, 0)</f>
        <v>1</v>
      </c>
      <c r="X62" s="6" t="s">
        <v>58</v>
      </c>
      <c r="Y62" s="8" t="s">
        <v>40</v>
      </c>
      <c r="Z62" s="8" t="s">
        <v>41</v>
      </c>
      <c r="AA62" s="8" t="s">
        <v>42</v>
      </c>
      <c r="AB62" s="6" t="s">
        <v>143</v>
      </c>
    </row>
    <row r="63" spans="1:28">
      <c r="A63" s="9">
        <v>56</v>
      </c>
      <c r="B63" s="9" t="s">
        <v>189</v>
      </c>
      <c r="C63" s="9" t="s">
        <v>139</v>
      </c>
      <c r="D63" s="9" t="s">
        <v>32</v>
      </c>
      <c r="E63" s="9" t="s">
        <v>33</v>
      </c>
      <c r="F63" s="7" t="s">
        <v>34</v>
      </c>
      <c r="G63" s="7" t="s">
        <v>69</v>
      </c>
      <c r="H63" s="7" t="s">
        <v>69</v>
      </c>
      <c r="I63" s="9">
        <v>164</v>
      </c>
      <c r="J63" s="9" t="s">
        <v>70</v>
      </c>
      <c r="K63" s="9" t="s">
        <v>38</v>
      </c>
      <c r="L63" s="11">
        <v>1</v>
      </c>
      <c r="M63" s="14">
        <v>18000.0</v>
      </c>
      <c r="N63" s="14"/>
      <c r="O63" s="16">
        <f>IF(M63&gt;0, N63/M63, 0)</f>
        <v>0</v>
      </c>
      <c r="P63" s="14">
        <f>M63-N63</f>
        <v>18000</v>
      </c>
      <c r="Q63" s="14">
        <f>L63*M63</f>
        <v>18000</v>
      </c>
      <c r="R63" s="14">
        <f>L63*N63</f>
        <v>0</v>
      </c>
      <c r="S63" s="14">
        <f>L63*P63</f>
        <v>18000</v>
      </c>
      <c r="T63" s="14"/>
      <c r="U63" s="14">
        <f>L63*T63</f>
        <v>0</v>
      </c>
      <c r="V63" s="14">
        <f>S63-U63</f>
        <v>18000</v>
      </c>
      <c r="W63" s="16">
        <f>IF(S63&gt;0, V63/S63, 0)</f>
        <v>1</v>
      </c>
      <c r="X63" s="7" t="s">
        <v>58</v>
      </c>
      <c r="Y63" s="9" t="s">
        <v>40</v>
      </c>
      <c r="Z63" s="9" t="s">
        <v>41</v>
      </c>
      <c r="AA63" s="9" t="s">
        <v>42</v>
      </c>
      <c r="AB63" s="7" t="s">
        <v>143</v>
      </c>
    </row>
    <row r="64" spans="1:28">
      <c r="A64" s="8">
        <v>57</v>
      </c>
      <c r="B64" s="8" t="s">
        <v>190</v>
      </c>
      <c r="C64" s="8" t="s">
        <v>139</v>
      </c>
      <c r="D64" s="8" t="s">
        <v>32</v>
      </c>
      <c r="E64" s="8" t="s">
        <v>33</v>
      </c>
      <c r="F64" s="6" t="s">
        <v>158</v>
      </c>
      <c r="G64" s="6" t="s">
        <v>158</v>
      </c>
      <c r="H64" s="6" t="s">
        <v>159</v>
      </c>
      <c r="I64" s="8" t="s">
        <v>42</v>
      </c>
      <c r="J64" s="8" t="s">
        <v>191</v>
      </c>
      <c r="K64" s="8" t="s">
        <v>38</v>
      </c>
      <c r="L64" s="10">
        <v>1</v>
      </c>
      <c r="M64" s="13">
        <v>5000.0</v>
      </c>
      <c r="N64" s="13"/>
      <c r="O64" s="15">
        <f>IF(M64&gt;0, N64/M64, 0)</f>
        <v>0</v>
      </c>
      <c r="P64" s="13">
        <f>M64-N64</f>
        <v>5000</v>
      </c>
      <c r="Q64" s="13">
        <f>L64*M64</f>
        <v>5000</v>
      </c>
      <c r="R64" s="13">
        <f>L64*N64</f>
        <v>0</v>
      </c>
      <c r="S64" s="13">
        <f>L64*P64</f>
        <v>5000</v>
      </c>
      <c r="T64" s="13"/>
      <c r="U64" s="13">
        <f>L64*T64</f>
        <v>0</v>
      </c>
      <c r="V64" s="13">
        <f>S64-U64</f>
        <v>5000</v>
      </c>
      <c r="W64" s="15">
        <f>IF(S64&gt;0, V64/S64, 0)</f>
        <v>1</v>
      </c>
      <c r="X64" s="6" t="s">
        <v>58</v>
      </c>
      <c r="Y64" s="8" t="s">
        <v>40</v>
      </c>
      <c r="Z64" s="8" t="s">
        <v>41</v>
      </c>
      <c r="AA64" s="8" t="s">
        <v>42</v>
      </c>
      <c r="AB64" s="6" t="s">
        <v>143</v>
      </c>
    </row>
    <row r="65" spans="1:28">
      <c r="A65" s="9">
        <v>58</v>
      </c>
      <c r="B65" s="9" t="s">
        <v>192</v>
      </c>
      <c r="C65" s="9" t="s">
        <v>139</v>
      </c>
      <c r="D65" s="9" t="s">
        <v>32</v>
      </c>
      <c r="E65" s="9" t="s">
        <v>33</v>
      </c>
      <c r="F65" s="7" t="s">
        <v>34</v>
      </c>
      <c r="G65" s="7" t="s">
        <v>63</v>
      </c>
      <c r="H65" s="7" t="s">
        <v>148</v>
      </c>
      <c r="I65" s="9">
        <v>170</v>
      </c>
      <c r="J65" s="9" t="s">
        <v>149</v>
      </c>
      <c r="K65" s="9" t="s">
        <v>38</v>
      </c>
      <c r="L65" s="11">
        <v>1</v>
      </c>
      <c r="M65" s="14">
        <v>12000.0</v>
      </c>
      <c r="N65" s="14"/>
      <c r="O65" s="16">
        <f>IF(M65&gt;0, N65/M65, 0)</f>
        <v>0</v>
      </c>
      <c r="P65" s="14">
        <f>M65-N65</f>
        <v>12000</v>
      </c>
      <c r="Q65" s="14">
        <f>L65*M65</f>
        <v>12000</v>
      </c>
      <c r="R65" s="14">
        <f>L65*N65</f>
        <v>0</v>
      </c>
      <c r="S65" s="14">
        <f>L65*P65</f>
        <v>12000</v>
      </c>
      <c r="T65" s="14"/>
      <c r="U65" s="14">
        <f>L65*T65</f>
        <v>0</v>
      </c>
      <c r="V65" s="14">
        <f>S65-U65</f>
        <v>12000</v>
      </c>
      <c r="W65" s="16">
        <f>IF(S65&gt;0, V65/S65, 0)</f>
        <v>1</v>
      </c>
      <c r="X65" s="7" t="s">
        <v>58</v>
      </c>
      <c r="Y65" s="9" t="s">
        <v>40</v>
      </c>
      <c r="Z65" s="9" t="s">
        <v>41</v>
      </c>
      <c r="AA65" s="9" t="s">
        <v>42</v>
      </c>
      <c r="AB65" s="7" t="s">
        <v>143</v>
      </c>
    </row>
    <row r="66" spans="1:28">
      <c r="A66" s="8">
        <v>59</v>
      </c>
      <c r="B66" s="8" t="s">
        <v>193</v>
      </c>
      <c r="C66" s="8" t="s">
        <v>139</v>
      </c>
      <c r="D66" s="8" t="s">
        <v>32</v>
      </c>
      <c r="E66" s="8" t="s">
        <v>33</v>
      </c>
      <c r="F66" s="6" t="s">
        <v>34</v>
      </c>
      <c r="G66" s="6" t="s">
        <v>35</v>
      </c>
      <c r="H66" s="6" t="s">
        <v>36</v>
      </c>
      <c r="I66" s="8">
        <v>170</v>
      </c>
      <c r="J66" s="8" t="s">
        <v>142</v>
      </c>
      <c r="K66" s="8" t="s">
        <v>38</v>
      </c>
      <c r="L66" s="10">
        <v>1</v>
      </c>
      <c r="M66" s="13">
        <v>10000.0</v>
      </c>
      <c r="N66" s="13"/>
      <c r="O66" s="15">
        <f>IF(M66&gt;0, N66/M66, 0)</f>
        <v>0</v>
      </c>
      <c r="P66" s="13">
        <f>M66-N66</f>
        <v>10000</v>
      </c>
      <c r="Q66" s="13">
        <f>L66*M66</f>
        <v>10000</v>
      </c>
      <c r="R66" s="13">
        <f>L66*N66</f>
        <v>0</v>
      </c>
      <c r="S66" s="13">
        <f>L66*P66</f>
        <v>10000</v>
      </c>
      <c r="T66" s="13"/>
      <c r="U66" s="13">
        <f>L66*T66</f>
        <v>0</v>
      </c>
      <c r="V66" s="13">
        <f>S66-U66</f>
        <v>10000</v>
      </c>
      <c r="W66" s="15">
        <f>IF(S66&gt;0, V66/S66, 0)</f>
        <v>1</v>
      </c>
      <c r="X66" s="6" t="s">
        <v>58</v>
      </c>
      <c r="Y66" s="8" t="s">
        <v>40</v>
      </c>
      <c r="Z66" s="8" t="s">
        <v>41</v>
      </c>
      <c r="AA66" s="8" t="s">
        <v>42</v>
      </c>
      <c r="AB66" s="6" t="s">
        <v>143</v>
      </c>
    </row>
    <row r="67" spans="1:28">
      <c r="A67" s="9">
        <v>60</v>
      </c>
      <c r="B67" s="9" t="s">
        <v>194</v>
      </c>
      <c r="C67" s="9" t="s">
        <v>139</v>
      </c>
      <c r="D67" s="9" t="s">
        <v>32</v>
      </c>
      <c r="E67" s="9" t="s">
        <v>33</v>
      </c>
      <c r="F67" s="7" t="s">
        <v>34</v>
      </c>
      <c r="G67" s="7" t="s">
        <v>63</v>
      </c>
      <c r="H67" s="7" t="s">
        <v>148</v>
      </c>
      <c r="I67" s="9">
        <v>152</v>
      </c>
      <c r="J67" s="9" t="s">
        <v>195</v>
      </c>
      <c r="K67" s="9" t="s">
        <v>38</v>
      </c>
      <c r="L67" s="11">
        <v>2</v>
      </c>
      <c r="M67" s="14">
        <v>15000.0</v>
      </c>
      <c r="N67" s="14"/>
      <c r="O67" s="16">
        <f>IF(M67&gt;0, N67/M67, 0)</f>
        <v>0</v>
      </c>
      <c r="P67" s="14">
        <f>M67-N67</f>
        <v>15000</v>
      </c>
      <c r="Q67" s="14">
        <f>L67*M67</f>
        <v>30000</v>
      </c>
      <c r="R67" s="14">
        <f>L67*N67</f>
        <v>0</v>
      </c>
      <c r="S67" s="14">
        <f>L67*P67</f>
        <v>30000</v>
      </c>
      <c r="T67" s="14"/>
      <c r="U67" s="14">
        <f>L67*T67</f>
        <v>0</v>
      </c>
      <c r="V67" s="14">
        <f>S67-U67</f>
        <v>30000</v>
      </c>
      <c r="W67" s="16">
        <f>IF(S67&gt;0, V67/S67, 0)</f>
        <v>1</v>
      </c>
      <c r="X67" s="7" t="s">
        <v>58</v>
      </c>
      <c r="Y67" s="9" t="s">
        <v>40</v>
      </c>
      <c r="Z67" s="9" t="s">
        <v>41</v>
      </c>
      <c r="AA67" s="9" t="s">
        <v>42</v>
      </c>
      <c r="AB67" s="7" t="s">
        <v>143</v>
      </c>
    </row>
    <row r="68" spans="1:28">
      <c r="A68" s="8">
        <v>61</v>
      </c>
      <c r="B68" s="8" t="s">
        <v>196</v>
      </c>
      <c r="C68" s="8" t="s">
        <v>197</v>
      </c>
      <c r="D68" s="8" t="s">
        <v>198</v>
      </c>
      <c r="E68" s="8" t="s">
        <v>33</v>
      </c>
      <c r="F68" s="6" t="s">
        <v>34</v>
      </c>
      <c r="G68" s="6" t="s">
        <v>51</v>
      </c>
      <c r="H68" s="6" t="s">
        <v>51</v>
      </c>
      <c r="I68" s="8">
        <v>158</v>
      </c>
      <c r="J68" s="8" t="s">
        <v>122</v>
      </c>
      <c r="K68" s="8" t="s">
        <v>38</v>
      </c>
      <c r="L68" s="10">
        <v>1</v>
      </c>
      <c r="M68" s="13">
        <v>8500.0</v>
      </c>
      <c r="N68" s="13"/>
      <c r="O68" s="15">
        <f>IF(M68&gt;0, N68/M68, 0)</f>
        <v>0</v>
      </c>
      <c r="P68" s="13">
        <f>M68-N68</f>
        <v>8500</v>
      </c>
      <c r="Q68" s="13">
        <f>L68*M68</f>
        <v>8500</v>
      </c>
      <c r="R68" s="13">
        <f>L68*N68</f>
        <v>0</v>
      </c>
      <c r="S68" s="13">
        <f>L68*P68</f>
        <v>8500</v>
      </c>
      <c r="T68" s="13"/>
      <c r="U68" s="13">
        <f>L68*T68</f>
        <v>0</v>
      </c>
      <c r="V68" s="13">
        <f>S68-U68</f>
        <v>8500</v>
      </c>
      <c r="W68" s="15">
        <f>IF(S68&gt;0, V68/S68, 0)</f>
        <v>1</v>
      </c>
      <c r="X68" s="6" t="s">
        <v>58</v>
      </c>
      <c r="Y68" s="8" t="s">
        <v>40</v>
      </c>
      <c r="Z68" s="8" t="s">
        <v>41</v>
      </c>
      <c r="AA68" s="8" t="s">
        <v>42</v>
      </c>
      <c r="AB68" s="6" t="s">
        <v>42</v>
      </c>
    </row>
    <row r="69" spans="1:28">
      <c r="A69" s="9">
        <v>62</v>
      </c>
      <c r="B69" s="9" t="s">
        <v>199</v>
      </c>
      <c r="C69" s="9" t="s">
        <v>197</v>
      </c>
      <c r="D69" s="9" t="s">
        <v>198</v>
      </c>
      <c r="E69" s="9" t="s">
        <v>33</v>
      </c>
      <c r="F69" s="7" t="s">
        <v>34</v>
      </c>
      <c r="G69" s="7" t="s">
        <v>51</v>
      </c>
      <c r="H69" s="7" t="s">
        <v>51</v>
      </c>
      <c r="I69" s="9">
        <v>164</v>
      </c>
      <c r="J69" s="9" t="s">
        <v>61</v>
      </c>
      <c r="K69" s="9" t="s">
        <v>38</v>
      </c>
      <c r="L69" s="11">
        <v>1</v>
      </c>
      <c r="M69" s="14">
        <v>8500.0</v>
      </c>
      <c r="N69" s="14"/>
      <c r="O69" s="16">
        <f>IF(M69&gt;0, N69/M69, 0)</f>
        <v>0</v>
      </c>
      <c r="P69" s="14">
        <f>M69-N69</f>
        <v>8500</v>
      </c>
      <c r="Q69" s="14">
        <f>L69*M69</f>
        <v>8500</v>
      </c>
      <c r="R69" s="14">
        <f>L69*N69</f>
        <v>0</v>
      </c>
      <c r="S69" s="14">
        <f>L69*P69</f>
        <v>8500</v>
      </c>
      <c r="T69" s="14"/>
      <c r="U69" s="14">
        <f>L69*T69</f>
        <v>0</v>
      </c>
      <c r="V69" s="14">
        <f>S69-U69</f>
        <v>8500</v>
      </c>
      <c r="W69" s="16">
        <f>IF(S69&gt;0, V69/S69, 0)</f>
        <v>1</v>
      </c>
      <c r="X69" s="7" t="s">
        <v>58</v>
      </c>
      <c r="Y69" s="9" t="s">
        <v>40</v>
      </c>
      <c r="Z69" s="9" t="s">
        <v>41</v>
      </c>
      <c r="AA69" s="9" t="s">
        <v>42</v>
      </c>
      <c r="AB69" s="7" t="s">
        <v>42</v>
      </c>
    </row>
    <row r="70" spans="1:28">
      <c r="A70" s="8">
        <v>63</v>
      </c>
      <c r="B70" s="8" t="s">
        <v>200</v>
      </c>
      <c r="C70" s="8" t="s">
        <v>197</v>
      </c>
      <c r="D70" s="8" t="s">
        <v>198</v>
      </c>
      <c r="E70" s="8" t="s">
        <v>33</v>
      </c>
      <c r="F70" s="6" t="s">
        <v>158</v>
      </c>
      <c r="G70" s="6" t="s">
        <v>158</v>
      </c>
      <c r="H70" s="6" t="s">
        <v>159</v>
      </c>
      <c r="I70" s="8" t="s">
        <v>42</v>
      </c>
      <c r="J70" s="8" t="s">
        <v>201</v>
      </c>
      <c r="K70" s="8" t="s">
        <v>38</v>
      </c>
      <c r="L70" s="10">
        <v>1</v>
      </c>
      <c r="M70" s="13">
        <v>5000.0</v>
      </c>
      <c r="N70" s="13"/>
      <c r="O70" s="15">
        <f>IF(M70&gt;0, N70/M70, 0)</f>
        <v>0</v>
      </c>
      <c r="P70" s="13">
        <f>M70-N70</f>
        <v>5000</v>
      </c>
      <c r="Q70" s="13">
        <f>L70*M70</f>
        <v>5000</v>
      </c>
      <c r="R70" s="13">
        <f>L70*N70</f>
        <v>0</v>
      </c>
      <c r="S70" s="13">
        <f>L70*P70</f>
        <v>5000</v>
      </c>
      <c r="T70" s="13"/>
      <c r="U70" s="13">
        <f>L70*T70</f>
        <v>0</v>
      </c>
      <c r="V70" s="13">
        <f>S70-U70</f>
        <v>5000</v>
      </c>
      <c r="W70" s="15">
        <f>IF(S70&gt;0, V70/S70, 0)</f>
        <v>1</v>
      </c>
      <c r="X70" s="6" t="s">
        <v>58</v>
      </c>
      <c r="Y70" s="8" t="s">
        <v>40</v>
      </c>
      <c r="Z70" s="8" t="s">
        <v>41</v>
      </c>
      <c r="AA70" s="8" t="s">
        <v>42</v>
      </c>
      <c r="AB70" s="6" t="s">
        <v>143</v>
      </c>
    </row>
    <row r="71" spans="1:28">
      <c r="A71" s="9">
        <v>64</v>
      </c>
      <c r="B71" s="9" t="s">
        <v>202</v>
      </c>
      <c r="C71" s="9" t="s">
        <v>197</v>
      </c>
      <c r="D71" s="9" t="s">
        <v>198</v>
      </c>
      <c r="E71" s="9" t="s">
        <v>33</v>
      </c>
      <c r="F71" s="7" t="s">
        <v>34</v>
      </c>
      <c r="G71" s="7" t="s">
        <v>69</v>
      </c>
      <c r="H71" s="7" t="s">
        <v>69</v>
      </c>
      <c r="I71" s="9">
        <v>176</v>
      </c>
      <c r="J71" s="9" t="s">
        <v>203</v>
      </c>
      <c r="K71" s="9" t="s">
        <v>38</v>
      </c>
      <c r="L71" s="11">
        <v>1</v>
      </c>
      <c r="M71" s="14">
        <v>18000.0</v>
      </c>
      <c r="N71" s="14"/>
      <c r="O71" s="16">
        <f>IF(M71&gt;0, N71/M71, 0)</f>
        <v>0</v>
      </c>
      <c r="P71" s="14">
        <f>M71-N71</f>
        <v>18000</v>
      </c>
      <c r="Q71" s="14">
        <f>L71*M71</f>
        <v>18000</v>
      </c>
      <c r="R71" s="14">
        <f>L71*N71</f>
        <v>0</v>
      </c>
      <c r="S71" s="14">
        <f>L71*P71</f>
        <v>18000</v>
      </c>
      <c r="T71" s="14"/>
      <c r="U71" s="14">
        <f>L71*T71</f>
        <v>0</v>
      </c>
      <c r="V71" s="14">
        <f>S71-U71</f>
        <v>18000</v>
      </c>
      <c r="W71" s="16">
        <f>IF(S71&gt;0, V71/S71, 0)</f>
        <v>1</v>
      </c>
      <c r="X71" s="7" t="s">
        <v>58</v>
      </c>
      <c r="Y71" s="9" t="s">
        <v>40</v>
      </c>
      <c r="Z71" s="9" t="s">
        <v>41</v>
      </c>
      <c r="AA71" s="9" t="s">
        <v>42</v>
      </c>
      <c r="AB71" s="7" t="s">
        <v>143</v>
      </c>
    </row>
    <row r="72" spans="1:28">
      <c r="A72" s="8">
        <v>65</v>
      </c>
      <c r="B72" s="8" t="s">
        <v>204</v>
      </c>
      <c r="C72" s="8" t="s">
        <v>197</v>
      </c>
      <c r="D72" s="8" t="s">
        <v>198</v>
      </c>
      <c r="E72" s="8" t="s">
        <v>33</v>
      </c>
      <c r="F72" s="6" t="s">
        <v>34</v>
      </c>
      <c r="G72" s="6" t="s">
        <v>51</v>
      </c>
      <c r="H72" s="6" t="s">
        <v>51</v>
      </c>
      <c r="I72" s="8">
        <v>158</v>
      </c>
      <c r="J72" s="8" t="s">
        <v>122</v>
      </c>
      <c r="K72" s="8" t="s">
        <v>38</v>
      </c>
      <c r="L72" s="10">
        <v>1</v>
      </c>
      <c r="M72" s="13">
        <v>8500.0</v>
      </c>
      <c r="N72" s="13"/>
      <c r="O72" s="15">
        <f>IF(M72&gt;0, N72/M72, 0)</f>
        <v>0</v>
      </c>
      <c r="P72" s="13">
        <f>M72-N72</f>
        <v>8500</v>
      </c>
      <c r="Q72" s="13">
        <f>L72*M72</f>
        <v>8500</v>
      </c>
      <c r="R72" s="13">
        <f>L72*N72</f>
        <v>0</v>
      </c>
      <c r="S72" s="13">
        <f>L72*P72</f>
        <v>8500</v>
      </c>
      <c r="T72" s="13"/>
      <c r="U72" s="13">
        <f>L72*T72</f>
        <v>0</v>
      </c>
      <c r="V72" s="13">
        <f>S72-U72</f>
        <v>8500</v>
      </c>
      <c r="W72" s="15">
        <f>IF(S72&gt;0, V72/S72, 0)</f>
        <v>1</v>
      </c>
      <c r="X72" s="6" t="s">
        <v>58</v>
      </c>
      <c r="Y72" s="8" t="s">
        <v>40</v>
      </c>
      <c r="Z72" s="8" t="s">
        <v>41</v>
      </c>
      <c r="AA72" s="8" t="s">
        <v>42</v>
      </c>
      <c r="AB72" s="6" t="s">
        <v>42</v>
      </c>
    </row>
    <row r="73" spans="1:28">
      <c r="A73" s="9">
        <v>66</v>
      </c>
      <c r="B73" s="9" t="s">
        <v>205</v>
      </c>
      <c r="C73" s="9" t="s">
        <v>197</v>
      </c>
      <c r="D73" s="9" t="s">
        <v>198</v>
      </c>
      <c r="E73" s="9" t="s">
        <v>33</v>
      </c>
      <c r="F73" s="7" t="s">
        <v>34</v>
      </c>
      <c r="G73" s="7" t="s">
        <v>63</v>
      </c>
      <c r="H73" s="7" t="s">
        <v>148</v>
      </c>
      <c r="I73" s="9">
        <v>152</v>
      </c>
      <c r="J73" s="9" t="s">
        <v>195</v>
      </c>
      <c r="K73" s="9" t="s">
        <v>38</v>
      </c>
      <c r="L73" s="11">
        <v>1</v>
      </c>
      <c r="M73" s="14">
        <v>14000.0</v>
      </c>
      <c r="N73" s="14"/>
      <c r="O73" s="16">
        <f>IF(M73&gt;0, N73/M73, 0)</f>
        <v>0</v>
      </c>
      <c r="P73" s="14">
        <f>M73-N73</f>
        <v>14000</v>
      </c>
      <c r="Q73" s="14">
        <f>L73*M73</f>
        <v>14000</v>
      </c>
      <c r="R73" s="14">
        <f>L73*N73</f>
        <v>0</v>
      </c>
      <c r="S73" s="14">
        <f>L73*P73</f>
        <v>14000</v>
      </c>
      <c r="T73" s="14"/>
      <c r="U73" s="14">
        <f>L73*T73</f>
        <v>0</v>
      </c>
      <c r="V73" s="14">
        <f>S73-U73</f>
        <v>14000</v>
      </c>
      <c r="W73" s="16">
        <f>IF(S73&gt;0, V73/S73, 0)</f>
        <v>1</v>
      </c>
      <c r="X73" s="7" t="s">
        <v>58</v>
      </c>
      <c r="Y73" s="9" t="s">
        <v>40</v>
      </c>
      <c r="Z73" s="9" t="s">
        <v>41</v>
      </c>
      <c r="AA73" s="9" t="s">
        <v>42</v>
      </c>
      <c r="AB73" s="7" t="s">
        <v>143</v>
      </c>
    </row>
    <row r="74" spans="1:28">
      <c r="A74" s="8">
        <v>67</v>
      </c>
      <c r="B74" s="8" t="s">
        <v>206</v>
      </c>
      <c r="C74" s="8" t="s">
        <v>197</v>
      </c>
      <c r="D74" s="8" t="s">
        <v>198</v>
      </c>
      <c r="E74" s="8" t="s">
        <v>33</v>
      </c>
      <c r="F74" s="6" t="s">
        <v>34</v>
      </c>
      <c r="G74" s="6" t="s">
        <v>69</v>
      </c>
      <c r="H74" s="6" t="s">
        <v>69</v>
      </c>
      <c r="I74" s="8">
        <v>152</v>
      </c>
      <c r="J74" s="8" t="s">
        <v>207</v>
      </c>
      <c r="K74" s="8" t="s">
        <v>38</v>
      </c>
      <c r="L74" s="10">
        <v>1</v>
      </c>
      <c r="M74" s="13">
        <v>16500.0</v>
      </c>
      <c r="N74" s="13"/>
      <c r="O74" s="15">
        <f>IF(M74&gt;0, N74/M74, 0)</f>
        <v>0</v>
      </c>
      <c r="P74" s="13">
        <f>M74-N74</f>
        <v>16500</v>
      </c>
      <c r="Q74" s="13">
        <f>L74*M74</f>
        <v>16500</v>
      </c>
      <c r="R74" s="13">
        <f>L74*N74</f>
        <v>0</v>
      </c>
      <c r="S74" s="13">
        <f>L74*P74</f>
        <v>16500</v>
      </c>
      <c r="T74" s="13"/>
      <c r="U74" s="13">
        <f>L74*T74</f>
        <v>0</v>
      </c>
      <c r="V74" s="13">
        <f>S74-U74</f>
        <v>16500</v>
      </c>
      <c r="W74" s="15">
        <f>IF(S74&gt;0, V74/S74, 0)</f>
        <v>1</v>
      </c>
      <c r="X74" s="6" t="s">
        <v>58</v>
      </c>
      <c r="Y74" s="8" t="s">
        <v>40</v>
      </c>
      <c r="Z74" s="8" t="s">
        <v>41</v>
      </c>
      <c r="AA74" s="8" t="s">
        <v>42</v>
      </c>
      <c r="AB74" s="6" t="s">
        <v>42</v>
      </c>
    </row>
    <row r="75" spans="1:28">
      <c r="A75" s="9">
        <v>68</v>
      </c>
      <c r="B75" s="9" t="s">
        <v>208</v>
      </c>
      <c r="C75" s="9" t="s">
        <v>197</v>
      </c>
      <c r="D75" s="9" t="s">
        <v>198</v>
      </c>
      <c r="E75" s="9" t="s">
        <v>33</v>
      </c>
      <c r="F75" s="7" t="s">
        <v>50</v>
      </c>
      <c r="G75" s="7" t="s">
        <v>69</v>
      </c>
      <c r="H75" s="7" t="s">
        <v>69</v>
      </c>
      <c r="I75" s="9">
        <v>134</v>
      </c>
      <c r="J75" s="9" t="s">
        <v>209</v>
      </c>
      <c r="K75" s="9" t="s">
        <v>38</v>
      </c>
      <c r="L75" s="11">
        <v>1</v>
      </c>
      <c r="M75" s="14">
        <v>18000.0</v>
      </c>
      <c r="N75" s="14"/>
      <c r="O75" s="16">
        <f>IF(M75&gt;0, N75/M75, 0)</f>
        <v>0</v>
      </c>
      <c r="P75" s="14">
        <f>M75-N75</f>
        <v>18000</v>
      </c>
      <c r="Q75" s="14">
        <f>L75*M75</f>
        <v>18000</v>
      </c>
      <c r="R75" s="14">
        <f>L75*N75</f>
        <v>0</v>
      </c>
      <c r="S75" s="14">
        <f>L75*P75</f>
        <v>18000</v>
      </c>
      <c r="T75" s="14"/>
      <c r="U75" s="14">
        <f>L75*T75</f>
        <v>0</v>
      </c>
      <c r="V75" s="14">
        <f>S75-U75</f>
        <v>18000</v>
      </c>
      <c r="W75" s="16">
        <f>IF(S75&gt;0, V75/S75, 0)</f>
        <v>1</v>
      </c>
      <c r="X75" s="7" t="s">
        <v>58</v>
      </c>
      <c r="Y75" s="9" t="s">
        <v>40</v>
      </c>
      <c r="Z75" s="9" t="s">
        <v>41</v>
      </c>
      <c r="AA75" s="9" t="s">
        <v>42</v>
      </c>
      <c r="AB75" s="7" t="s">
        <v>42</v>
      </c>
    </row>
    <row r="76" spans="1:28">
      <c r="A76" s="8">
        <v>69</v>
      </c>
      <c r="B76" s="8" t="s">
        <v>210</v>
      </c>
      <c r="C76" s="8" t="s">
        <v>197</v>
      </c>
      <c r="D76" s="8" t="s">
        <v>198</v>
      </c>
      <c r="E76" s="8" t="s">
        <v>68</v>
      </c>
      <c r="F76" s="6" t="s">
        <v>34</v>
      </c>
      <c r="G76" s="6" t="s">
        <v>35</v>
      </c>
      <c r="H76" s="6" t="s">
        <v>36</v>
      </c>
      <c r="I76" s="8">
        <v>170</v>
      </c>
      <c r="J76" s="8" t="s">
        <v>142</v>
      </c>
      <c r="K76" s="8" t="s">
        <v>38</v>
      </c>
      <c r="L76" s="10">
        <v>2</v>
      </c>
      <c r="M76" s="13">
        <v>9000.0</v>
      </c>
      <c r="N76" s="13"/>
      <c r="O76" s="15">
        <f>IF(M76&gt;0, N76/M76, 0)</f>
        <v>0</v>
      </c>
      <c r="P76" s="13">
        <f>M76-N76</f>
        <v>9000</v>
      </c>
      <c r="Q76" s="13">
        <f>L76*M76</f>
        <v>18000</v>
      </c>
      <c r="R76" s="13">
        <f>L76*N76</f>
        <v>0</v>
      </c>
      <c r="S76" s="13">
        <f>L76*P76</f>
        <v>18000</v>
      </c>
      <c r="T76" s="13"/>
      <c r="U76" s="13">
        <f>L76*T76</f>
        <v>0</v>
      </c>
      <c r="V76" s="13">
        <f>S76-U76</f>
        <v>18000</v>
      </c>
      <c r="W76" s="15">
        <f>IF(S76&gt;0, V76/S76, 0)</f>
        <v>1</v>
      </c>
      <c r="X76" s="6" t="s">
        <v>58</v>
      </c>
      <c r="Y76" s="8" t="s">
        <v>40</v>
      </c>
      <c r="Z76" s="8" t="s">
        <v>71</v>
      </c>
      <c r="AA76" s="8" t="s">
        <v>42</v>
      </c>
      <c r="AB76" s="6" t="s">
        <v>42</v>
      </c>
    </row>
    <row r="77" spans="1:28">
      <c r="A77" s="9">
        <v>70</v>
      </c>
      <c r="B77" s="9" t="s">
        <v>211</v>
      </c>
      <c r="C77" s="9" t="s">
        <v>197</v>
      </c>
      <c r="D77" s="9" t="s">
        <v>198</v>
      </c>
      <c r="E77" s="9" t="s">
        <v>33</v>
      </c>
      <c r="F77" s="7" t="s">
        <v>34</v>
      </c>
      <c r="G77" s="7" t="s">
        <v>56</v>
      </c>
      <c r="H77" s="7" t="s">
        <v>56</v>
      </c>
      <c r="I77" s="9">
        <v>170</v>
      </c>
      <c r="J77" s="9" t="s">
        <v>212</v>
      </c>
      <c r="K77" s="9" t="s">
        <v>38</v>
      </c>
      <c r="L77" s="11">
        <v>1</v>
      </c>
      <c r="M77" s="14">
        <v>7500.0</v>
      </c>
      <c r="N77" s="14"/>
      <c r="O77" s="16">
        <f>IF(M77&gt;0, N77/M77, 0)</f>
        <v>0</v>
      </c>
      <c r="P77" s="14">
        <f>M77-N77</f>
        <v>7500</v>
      </c>
      <c r="Q77" s="14">
        <f>L77*M77</f>
        <v>7500</v>
      </c>
      <c r="R77" s="14">
        <f>L77*N77</f>
        <v>0</v>
      </c>
      <c r="S77" s="14">
        <f>L77*P77</f>
        <v>7500</v>
      </c>
      <c r="T77" s="14"/>
      <c r="U77" s="14">
        <f>L77*T77</f>
        <v>0</v>
      </c>
      <c r="V77" s="14">
        <f>S77-U77</f>
        <v>7500</v>
      </c>
      <c r="W77" s="16">
        <f>IF(S77&gt;0, V77/S77, 0)</f>
        <v>1</v>
      </c>
      <c r="X77" s="7" t="s">
        <v>58</v>
      </c>
      <c r="Y77" s="9" t="s">
        <v>40</v>
      </c>
      <c r="Z77" s="9" t="s">
        <v>41</v>
      </c>
      <c r="AA77" s="9" t="s">
        <v>42</v>
      </c>
      <c r="AB77" s="7" t="s">
        <v>42</v>
      </c>
    </row>
    <row r="78" spans="1:28">
      <c r="A78" s="8">
        <v>71</v>
      </c>
      <c r="B78" s="8" t="s">
        <v>213</v>
      </c>
      <c r="C78" s="8" t="s">
        <v>197</v>
      </c>
      <c r="D78" s="8" t="s">
        <v>198</v>
      </c>
      <c r="E78" s="8" t="s">
        <v>33</v>
      </c>
      <c r="F78" s="6" t="s">
        <v>34</v>
      </c>
      <c r="G78" s="6" t="s">
        <v>51</v>
      </c>
      <c r="H78" s="6" t="s">
        <v>51</v>
      </c>
      <c r="I78" s="8">
        <v>164</v>
      </c>
      <c r="J78" s="8" t="s">
        <v>61</v>
      </c>
      <c r="K78" s="8" t="s">
        <v>38</v>
      </c>
      <c r="L78" s="10">
        <v>1</v>
      </c>
      <c r="M78" s="13">
        <v>8500.0</v>
      </c>
      <c r="N78" s="13"/>
      <c r="O78" s="15">
        <f>IF(M78&gt;0, N78/M78, 0)</f>
        <v>0</v>
      </c>
      <c r="P78" s="13">
        <f>M78-N78</f>
        <v>8500</v>
      </c>
      <c r="Q78" s="13">
        <f>L78*M78</f>
        <v>8500</v>
      </c>
      <c r="R78" s="13">
        <f>L78*N78</f>
        <v>0</v>
      </c>
      <c r="S78" s="13">
        <f>L78*P78</f>
        <v>8500</v>
      </c>
      <c r="T78" s="13"/>
      <c r="U78" s="13">
        <f>L78*T78</f>
        <v>0</v>
      </c>
      <c r="V78" s="13">
        <f>S78-U78</f>
        <v>8500</v>
      </c>
      <c r="W78" s="15">
        <f>IF(S78&gt;0, V78/S78, 0)</f>
        <v>1</v>
      </c>
      <c r="X78" s="6" t="s">
        <v>58</v>
      </c>
      <c r="Y78" s="8" t="s">
        <v>40</v>
      </c>
      <c r="Z78" s="8" t="s">
        <v>41</v>
      </c>
      <c r="AA78" s="8" t="s">
        <v>42</v>
      </c>
      <c r="AB78" s="6" t="s">
        <v>42</v>
      </c>
    </row>
    <row r="79" spans="1:28">
      <c r="A79" s="9">
        <v>72</v>
      </c>
      <c r="B79" s="9" t="s">
        <v>214</v>
      </c>
      <c r="C79" s="9" t="s">
        <v>197</v>
      </c>
      <c r="D79" s="9" t="s">
        <v>198</v>
      </c>
      <c r="E79" s="9" t="s">
        <v>33</v>
      </c>
      <c r="F79" s="7" t="s">
        <v>34</v>
      </c>
      <c r="G79" s="7" t="s">
        <v>35</v>
      </c>
      <c r="H79" s="7" t="s">
        <v>36</v>
      </c>
      <c r="I79" s="9">
        <v>170</v>
      </c>
      <c r="J79" s="9" t="s">
        <v>142</v>
      </c>
      <c r="K79" s="9" t="s">
        <v>38</v>
      </c>
      <c r="L79" s="11">
        <v>1</v>
      </c>
      <c r="M79" s="14">
        <v>9000.0</v>
      </c>
      <c r="N79" s="14"/>
      <c r="O79" s="16">
        <f>IF(M79&gt;0, N79/M79, 0)</f>
        <v>0</v>
      </c>
      <c r="P79" s="14">
        <f>M79-N79</f>
        <v>9000</v>
      </c>
      <c r="Q79" s="14">
        <f>L79*M79</f>
        <v>9000</v>
      </c>
      <c r="R79" s="14">
        <f>L79*N79</f>
        <v>0</v>
      </c>
      <c r="S79" s="14">
        <f>L79*P79</f>
        <v>9000</v>
      </c>
      <c r="T79" s="14"/>
      <c r="U79" s="14">
        <f>L79*T79</f>
        <v>0</v>
      </c>
      <c r="V79" s="14">
        <f>S79-U79</f>
        <v>9000</v>
      </c>
      <c r="W79" s="16">
        <f>IF(S79&gt;0, V79/S79, 0)</f>
        <v>1</v>
      </c>
      <c r="X79" s="7" t="s">
        <v>58</v>
      </c>
      <c r="Y79" s="9" t="s">
        <v>40</v>
      </c>
      <c r="Z79" s="9" t="s">
        <v>41</v>
      </c>
      <c r="AA79" s="9" t="s">
        <v>42</v>
      </c>
      <c r="AB79" s="7" t="s">
        <v>42</v>
      </c>
    </row>
    <row r="80" spans="1:28">
      <c r="A80" s="8">
        <v>73</v>
      </c>
      <c r="B80" s="8" t="s">
        <v>215</v>
      </c>
      <c r="C80" s="8" t="s">
        <v>197</v>
      </c>
      <c r="D80" s="8" t="s">
        <v>198</v>
      </c>
      <c r="E80" s="8" t="s">
        <v>33</v>
      </c>
      <c r="F80" s="6" t="s">
        <v>34</v>
      </c>
      <c r="G80" s="6" t="s">
        <v>45</v>
      </c>
      <c r="H80" s="6" t="s">
        <v>46</v>
      </c>
      <c r="I80" s="8">
        <v>170</v>
      </c>
      <c r="J80" s="8" t="s">
        <v>181</v>
      </c>
      <c r="K80" s="8" t="s">
        <v>38</v>
      </c>
      <c r="L80" s="10">
        <v>1</v>
      </c>
      <c r="M80" s="13">
        <v>18000.0</v>
      </c>
      <c r="N80" s="13"/>
      <c r="O80" s="15">
        <f>IF(M80&gt;0, N80/M80, 0)</f>
        <v>0</v>
      </c>
      <c r="P80" s="13">
        <f>M80-N80</f>
        <v>18000</v>
      </c>
      <c r="Q80" s="13">
        <f>L80*M80</f>
        <v>18000</v>
      </c>
      <c r="R80" s="13">
        <f>L80*N80</f>
        <v>0</v>
      </c>
      <c r="S80" s="13">
        <f>L80*P80</f>
        <v>18000</v>
      </c>
      <c r="T80" s="13"/>
      <c r="U80" s="13">
        <f>L80*T80</f>
        <v>0</v>
      </c>
      <c r="V80" s="13">
        <f>S80-U80</f>
        <v>18000</v>
      </c>
      <c r="W80" s="15">
        <f>IF(S80&gt;0, V80/S80, 0)</f>
        <v>1</v>
      </c>
      <c r="X80" s="6" t="s">
        <v>58</v>
      </c>
      <c r="Y80" s="8" t="s">
        <v>40</v>
      </c>
      <c r="Z80" s="8" t="s">
        <v>41</v>
      </c>
      <c r="AA80" s="8" t="s">
        <v>42</v>
      </c>
      <c r="AB80" s="6" t="s">
        <v>42</v>
      </c>
    </row>
    <row r="81" spans="1:28">
      <c r="A81" s="9">
        <v>74</v>
      </c>
      <c r="B81" s="9" t="s">
        <v>216</v>
      </c>
      <c r="C81" s="9" t="s">
        <v>197</v>
      </c>
      <c r="D81" s="9" t="s">
        <v>198</v>
      </c>
      <c r="E81" s="9" t="s">
        <v>33</v>
      </c>
      <c r="F81" s="7" t="s">
        <v>34</v>
      </c>
      <c r="G81" s="7" t="s">
        <v>63</v>
      </c>
      <c r="H81" s="7" t="s">
        <v>148</v>
      </c>
      <c r="I81" s="9">
        <v>164</v>
      </c>
      <c r="J81" s="9" t="s">
        <v>217</v>
      </c>
      <c r="K81" s="9" t="s">
        <v>38</v>
      </c>
      <c r="L81" s="11">
        <v>1</v>
      </c>
      <c r="M81" s="14">
        <v>15000.0</v>
      </c>
      <c r="N81" s="14"/>
      <c r="O81" s="16">
        <f>IF(M81&gt;0, N81/M81, 0)</f>
        <v>0</v>
      </c>
      <c r="P81" s="14">
        <f>M81-N81</f>
        <v>15000</v>
      </c>
      <c r="Q81" s="14">
        <f>L81*M81</f>
        <v>15000</v>
      </c>
      <c r="R81" s="14">
        <f>L81*N81</f>
        <v>0</v>
      </c>
      <c r="S81" s="14">
        <f>L81*P81</f>
        <v>15000</v>
      </c>
      <c r="T81" s="14"/>
      <c r="U81" s="14">
        <f>L81*T81</f>
        <v>0</v>
      </c>
      <c r="V81" s="14">
        <f>S81-U81</f>
        <v>15000</v>
      </c>
      <c r="W81" s="16">
        <f>IF(S81&gt;0, V81/S81, 0)</f>
        <v>1</v>
      </c>
      <c r="X81" s="7" t="s">
        <v>58</v>
      </c>
      <c r="Y81" s="9" t="s">
        <v>40</v>
      </c>
      <c r="Z81" s="9" t="s">
        <v>41</v>
      </c>
      <c r="AA81" s="9" t="s">
        <v>42</v>
      </c>
      <c r="AB81" s="7" t="s">
        <v>143</v>
      </c>
    </row>
    <row r="82" spans="1:28">
      <c r="A82" s="8">
        <v>75</v>
      </c>
      <c r="B82" s="8" t="s">
        <v>218</v>
      </c>
      <c r="C82" s="8" t="s">
        <v>197</v>
      </c>
      <c r="D82" s="8" t="s">
        <v>198</v>
      </c>
      <c r="E82" s="8" t="s">
        <v>33</v>
      </c>
      <c r="F82" s="6" t="s">
        <v>34</v>
      </c>
      <c r="G82" s="6" t="s">
        <v>51</v>
      </c>
      <c r="H82" s="6" t="s">
        <v>51</v>
      </c>
      <c r="I82" s="8">
        <v>164</v>
      </c>
      <c r="J82" s="8" t="s">
        <v>61</v>
      </c>
      <c r="K82" s="8" t="s">
        <v>38</v>
      </c>
      <c r="L82" s="10">
        <v>1</v>
      </c>
      <c r="M82" s="13">
        <v>10000.0</v>
      </c>
      <c r="N82" s="13"/>
      <c r="O82" s="15">
        <f>IF(M82&gt;0, N82/M82, 0)</f>
        <v>0</v>
      </c>
      <c r="P82" s="13">
        <f>M82-N82</f>
        <v>10000</v>
      </c>
      <c r="Q82" s="13">
        <f>L82*M82</f>
        <v>10000</v>
      </c>
      <c r="R82" s="13">
        <f>L82*N82</f>
        <v>0</v>
      </c>
      <c r="S82" s="13">
        <f>L82*P82</f>
        <v>10000</v>
      </c>
      <c r="T82" s="13"/>
      <c r="U82" s="13">
        <f>L82*T82</f>
        <v>0</v>
      </c>
      <c r="V82" s="13">
        <f>S82-U82</f>
        <v>10000</v>
      </c>
      <c r="W82" s="15">
        <f>IF(S82&gt;0, V82/S82, 0)</f>
        <v>1</v>
      </c>
      <c r="X82" s="6" t="s">
        <v>58</v>
      </c>
      <c r="Y82" s="8" t="s">
        <v>40</v>
      </c>
      <c r="Z82" s="8" t="s">
        <v>41</v>
      </c>
      <c r="AA82" s="8" t="s">
        <v>42</v>
      </c>
      <c r="AB82" s="6" t="s">
        <v>42</v>
      </c>
    </row>
    <row r="83" spans="1:28">
      <c r="A83" s="9">
        <v>76</v>
      </c>
      <c r="B83" s="9" t="s">
        <v>219</v>
      </c>
      <c r="C83" s="9" t="s">
        <v>197</v>
      </c>
      <c r="D83" s="9" t="s">
        <v>198</v>
      </c>
      <c r="E83" s="9" t="s">
        <v>33</v>
      </c>
      <c r="F83" s="7" t="s">
        <v>34</v>
      </c>
      <c r="G83" s="7" t="s">
        <v>69</v>
      </c>
      <c r="H83" s="7" t="s">
        <v>69</v>
      </c>
      <c r="I83" s="9">
        <v>164</v>
      </c>
      <c r="J83" s="9" t="s">
        <v>203</v>
      </c>
      <c r="K83" s="9" t="s">
        <v>38</v>
      </c>
      <c r="L83" s="11">
        <v>1</v>
      </c>
      <c r="M83" s="14">
        <v>18000.0</v>
      </c>
      <c r="N83" s="14"/>
      <c r="O83" s="16">
        <f>IF(M83&gt;0, N83/M83, 0)</f>
        <v>0</v>
      </c>
      <c r="P83" s="14">
        <f>M83-N83</f>
        <v>18000</v>
      </c>
      <c r="Q83" s="14">
        <f>L83*M83</f>
        <v>18000</v>
      </c>
      <c r="R83" s="14">
        <f>L83*N83</f>
        <v>0</v>
      </c>
      <c r="S83" s="14">
        <f>L83*P83</f>
        <v>18000</v>
      </c>
      <c r="T83" s="14"/>
      <c r="U83" s="14">
        <f>L83*T83</f>
        <v>0</v>
      </c>
      <c r="V83" s="14">
        <f>S83-U83</f>
        <v>18000</v>
      </c>
      <c r="W83" s="16">
        <f>IF(S83&gt;0, V83/S83, 0)</f>
        <v>1</v>
      </c>
      <c r="X83" s="7" t="s">
        <v>58</v>
      </c>
      <c r="Y83" s="9" t="s">
        <v>40</v>
      </c>
      <c r="Z83" s="9" t="s">
        <v>41</v>
      </c>
      <c r="AA83" s="9" t="s">
        <v>42</v>
      </c>
      <c r="AB83" s="7" t="s">
        <v>42</v>
      </c>
    </row>
    <row r="84" spans="1:28">
      <c r="A84" s="8">
        <v>77</v>
      </c>
      <c r="B84" s="8" t="s">
        <v>220</v>
      </c>
      <c r="C84" s="8" t="s">
        <v>197</v>
      </c>
      <c r="D84" s="8" t="s">
        <v>198</v>
      </c>
      <c r="E84" s="8" t="s">
        <v>33</v>
      </c>
      <c r="F84" s="6" t="s">
        <v>50</v>
      </c>
      <c r="G84" s="6" t="s">
        <v>63</v>
      </c>
      <c r="H84" s="6" t="s">
        <v>148</v>
      </c>
      <c r="I84" s="8">
        <v>140</v>
      </c>
      <c r="J84" s="8" t="s">
        <v>221</v>
      </c>
      <c r="K84" s="8" t="s">
        <v>38</v>
      </c>
      <c r="L84" s="10">
        <v>1</v>
      </c>
      <c r="M84" s="13">
        <v>12000.0</v>
      </c>
      <c r="N84" s="13"/>
      <c r="O84" s="15">
        <f>IF(M84&gt;0, N84/M84, 0)</f>
        <v>0</v>
      </c>
      <c r="P84" s="13">
        <f>M84-N84</f>
        <v>12000</v>
      </c>
      <c r="Q84" s="13">
        <f>L84*M84</f>
        <v>12000</v>
      </c>
      <c r="R84" s="13">
        <f>L84*N84</f>
        <v>0</v>
      </c>
      <c r="S84" s="13">
        <f>L84*P84</f>
        <v>12000</v>
      </c>
      <c r="T84" s="13"/>
      <c r="U84" s="13">
        <f>L84*T84</f>
        <v>0</v>
      </c>
      <c r="V84" s="13">
        <f>S84-U84</f>
        <v>12000</v>
      </c>
      <c r="W84" s="15">
        <f>IF(S84&gt;0, V84/S84, 0)</f>
        <v>1</v>
      </c>
      <c r="X84" s="6" t="s">
        <v>58</v>
      </c>
      <c r="Y84" s="8" t="s">
        <v>40</v>
      </c>
      <c r="Z84" s="8" t="s">
        <v>41</v>
      </c>
      <c r="AA84" s="8" t="s">
        <v>42</v>
      </c>
      <c r="AB84" s="6" t="s">
        <v>143</v>
      </c>
    </row>
    <row r="85" spans="1:28">
      <c r="A85" s="9">
        <v>78</v>
      </c>
      <c r="B85" s="9" t="s">
        <v>222</v>
      </c>
      <c r="C85" s="9" t="s">
        <v>197</v>
      </c>
      <c r="D85" s="9" t="s">
        <v>198</v>
      </c>
      <c r="E85" s="9" t="s">
        <v>33</v>
      </c>
      <c r="F85" s="7" t="s">
        <v>50</v>
      </c>
      <c r="G85" s="7" t="s">
        <v>35</v>
      </c>
      <c r="H85" s="7" t="s">
        <v>36</v>
      </c>
      <c r="I85" s="9">
        <v>140</v>
      </c>
      <c r="J85" s="9" t="s">
        <v>223</v>
      </c>
      <c r="K85" s="9" t="s">
        <v>53</v>
      </c>
      <c r="L85" s="11">
        <v>1</v>
      </c>
      <c r="M85" s="14">
        <v>7000.0</v>
      </c>
      <c r="N85" s="14"/>
      <c r="O85" s="16">
        <f>IF(M85&gt;0, N85/M85, 0)</f>
        <v>0</v>
      </c>
      <c r="P85" s="14">
        <f>M85-N85</f>
        <v>7000</v>
      </c>
      <c r="Q85" s="14">
        <f>L85*M85</f>
        <v>7000</v>
      </c>
      <c r="R85" s="14">
        <f>L85*N85</f>
        <v>0</v>
      </c>
      <c r="S85" s="14">
        <f>L85*P85</f>
        <v>7000</v>
      </c>
      <c r="T85" s="14"/>
      <c r="U85" s="14">
        <f>L85*T85</f>
        <v>0</v>
      </c>
      <c r="V85" s="14">
        <f>S85-U85</f>
        <v>7000</v>
      </c>
      <c r="W85" s="16">
        <f>IF(S85&gt;0, V85/S85, 0)</f>
        <v>1</v>
      </c>
      <c r="X85" s="7" t="s">
        <v>58</v>
      </c>
      <c r="Y85" s="9" t="s">
        <v>40</v>
      </c>
      <c r="Z85" s="9" t="s">
        <v>41</v>
      </c>
      <c r="AA85" s="9" t="s">
        <v>42</v>
      </c>
      <c r="AB85" s="7" t="s">
        <v>42</v>
      </c>
    </row>
    <row r="86" spans="1:28">
      <c r="A86" s="8">
        <v>79</v>
      </c>
      <c r="B86" s="8" t="s">
        <v>224</v>
      </c>
      <c r="C86" s="8" t="s">
        <v>197</v>
      </c>
      <c r="D86" s="8" t="s">
        <v>198</v>
      </c>
      <c r="E86" s="8" t="s">
        <v>33</v>
      </c>
      <c r="F86" s="6" t="s">
        <v>50</v>
      </c>
      <c r="G86" s="6" t="s">
        <v>69</v>
      </c>
      <c r="H86" s="6" t="s">
        <v>69</v>
      </c>
      <c r="I86" s="8">
        <v>140</v>
      </c>
      <c r="J86" s="8" t="s">
        <v>225</v>
      </c>
      <c r="K86" s="8" t="s">
        <v>38</v>
      </c>
      <c r="L86" s="10">
        <v>1</v>
      </c>
      <c r="M86" s="13">
        <v>16000.0</v>
      </c>
      <c r="N86" s="13"/>
      <c r="O86" s="15">
        <f>IF(M86&gt;0, N86/M86, 0)</f>
        <v>0</v>
      </c>
      <c r="P86" s="13">
        <f>M86-N86</f>
        <v>16000</v>
      </c>
      <c r="Q86" s="13">
        <f>L86*M86</f>
        <v>16000</v>
      </c>
      <c r="R86" s="13">
        <f>L86*N86</f>
        <v>0</v>
      </c>
      <c r="S86" s="13">
        <f>L86*P86</f>
        <v>16000</v>
      </c>
      <c r="T86" s="13"/>
      <c r="U86" s="13">
        <f>L86*T86</f>
        <v>0</v>
      </c>
      <c r="V86" s="13">
        <f>S86-U86</f>
        <v>16000</v>
      </c>
      <c r="W86" s="15">
        <f>IF(S86&gt;0, V86/S86, 0)</f>
        <v>1</v>
      </c>
      <c r="X86" s="6" t="s">
        <v>58</v>
      </c>
      <c r="Y86" s="8" t="s">
        <v>40</v>
      </c>
      <c r="Z86" s="8" t="s">
        <v>41</v>
      </c>
      <c r="AA86" s="8" t="s">
        <v>42</v>
      </c>
      <c r="AB86" s="6" t="s">
        <v>42</v>
      </c>
    </row>
    <row r="87" spans="1:28">
      <c r="A87" s="9">
        <v>80</v>
      </c>
      <c r="B87" s="9" t="s">
        <v>226</v>
      </c>
      <c r="C87" s="9" t="s">
        <v>197</v>
      </c>
      <c r="D87" s="9" t="s">
        <v>198</v>
      </c>
      <c r="E87" s="9" t="s">
        <v>33</v>
      </c>
      <c r="F87" s="7" t="s">
        <v>50</v>
      </c>
      <c r="G87" s="7" t="s">
        <v>45</v>
      </c>
      <c r="H87" s="7" t="s">
        <v>46</v>
      </c>
      <c r="I87" s="9">
        <v>146</v>
      </c>
      <c r="J87" s="9" t="s">
        <v>140</v>
      </c>
      <c r="K87" s="9" t="s">
        <v>38</v>
      </c>
      <c r="L87" s="11">
        <v>1</v>
      </c>
      <c r="M87" s="14">
        <v>18000.0</v>
      </c>
      <c r="N87" s="14"/>
      <c r="O87" s="16">
        <f>IF(M87&gt;0, N87/M87, 0)</f>
        <v>0</v>
      </c>
      <c r="P87" s="14">
        <f>M87-N87</f>
        <v>18000</v>
      </c>
      <c r="Q87" s="14">
        <f>L87*M87</f>
        <v>18000</v>
      </c>
      <c r="R87" s="14">
        <f>L87*N87</f>
        <v>0</v>
      </c>
      <c r="S87" s="14">
        <f>L87*P87</f>
        <v>18000</v>
      </c>
      <c r="T87" s="14"/>
      <c r="U87" s="14">
        <f>L87*T87</f>
        <v>0</v>
      </c>
      <c r="V87" s="14">
        <f>S87-U87</f>
        <v>18000</v>
      </c>
      <c r="W87" s="16">
        <f>IF(S87&gt;0, V87/S87, 0)</f>
        <v>1</v>
      </c>
      <c r="X87" s="7" t="s">
        <v>58</v>
      </c>
      <c r="Y87" s="9" t="s">
        <v>40</v>
      </c>
      <c r="Z87" s="9" t="s">
        <v>41</v>
      </c>
      <c r="AA87" s="9" t="s">
        <v>42</v>
      </c>
      <c r="AB87" s="7" t="s">
        <v>42</v>
      </c>
    </row>
    <row r="88" spans="1:28">
      <c r="A88" s="8">
        <v>81</v>
      </c>
      <c r="B88" s="8" t="s">
        <v>227</v>
      </c>
      <c r="C88" s="8" t="s">
        <v>197</v>
      </c>
      <c r="D88" s="8" t="s">
        <v>198</v>
      </c>
      <c r="E88" s="8" t="s">
        <v>33</v>
      </c>
      <c r="F88" s="6" t="s">
        <v>50</v>
      </c>
      <c r="G88" s="6" t="s">
        <v>63</v>
      </c>
      <c r="H88" s="6" t="s">
        <v>148</v>
      </c>
      <c r="I88" s="8">
        <v>110</v>
      </c>
      <c r="J88" s="8" t="s">
        <v>228</v>
      </c>
      <c r="K88" s="8" t="s">
        <v>38</v>
      </c>
      <c r="L88" s="10">
        <v>1</v>
      </c>
      <c r="M88" s="13">
        <v>9000.0</v>
      </c>
      <c r="N88" s="13"/>
      <c r="O88" s="15">
        <f>IF(M88&gt;0, N88/M88, 0)</f>
        <v>0</v>
      </c>
      <c r="P88" s="13">
        <f>M88-N88</f>
        <v>9000</v>
      </c>
      <c r="Q88" s="13">
        <f>L88*M88</f>
        <v>9000</v>
      </c>
      <c r="R88" s="13">
        <f>L88*N88</f>
        <v>0</v>
      </c>
      <c r="S88" s="13">
        <f>L88*P88</f>
        <v>9000</v>
      </c>
      <c r="T88" s="13"/>
      <c r="U88" s="13">
        <f>L88*T88</f>
        <v>0</v>
      </c>
      <c r="V88" s="13">
        <f>S88-U88</f>
        <v>9000</v>
      </c>
      <c r="W88" s="15">
        <f>IF(S88&gt;0, V88/S88, 0)</f>
        <v>1</v>
      </c>
      <c r="X88" s="6" t="s">
        <v>58</v>
      </c>
      <c r="Y88" s="8" t="s">
        <v>40</v>
      </c>
      <c r="Z88" s="8" t="s">
        <v>41</v>
      </c>
      <c r="AA88" s="8" t="s">
        <v>42</v>
      </c>
      <c r="AB88" s="6" t="s">
        <v>42</v>
      </c>
    </row>
    <row r="89" spans="1:28">
      <c r="A89" s="9">
        <v>82</v>
      </c>
      <c r="B89" s="9" t="s">
        <v>229</v>
      </c>
      <c r="C89" s="9" t="s">
        <v>197</v>
      </c>
      <c r="D89" s="9" t="s">
        <v>198</v>
      </c>
      <c r="E89" s="9" t="s">
        <v>33</v>
      </c>
      <c r="F89" s="7" t="s">
        <v>50</v>
      </c>
      <c r="G89" s="7" t="s">
        <v>51</v>
      </c>
      <c r="H89" s="7" t="s">
        <v>51</v>
      </c>
      <c r="I89" s="9">
        <v>110</v>
      </c>
      <c r="J89" s="9" t="s">
        <v>230</v>
      </c>
      <c r="K89" s="9" t="s">
        <v>53</v>
      </c>
      <c r="L89" s="11">
        <v>1</v>
      </c>
      <c r="M89" s="14">
        <v>8000.0</v>
      </c>
      <c r="N89" s="14"/>
      <c r="O89" s="16">
        <f>IF(M89&gt;0, N89/M89, 0)</f>
        <v>0</v>
      </c>
      <c r="P89" s="14">
        <f>M89-N89</f>
        <v>8000</v>
      </c>
      <c r="Q89" s="14">
        <f>L89*M89</f>
        <v>8000</v>
      </c>
      <c r="R89" s="14">
        <f>L89*N89</f>
        <v>0</v>
      </c>
      <c r="S89" s="14">
        <f>L89*P89</f>
        <v>8000</v>
      </c>
      <c r="T89" s="14"/>
      <c r="U89" s="14">
        <f>L89*T89</f>
        <v>0</v>
      </c>
      <c r="V89" s="14">
        <f>S89-U89</f>
        <v>8000</v>
      </c>
      <c r="W89" s="16">
        <f>IF(S89&gt;0, V89/S89, 0)</f>
        <v>1</v>
      </c>
      <c r="X89" s="7" t="s">
        <v>58</v>
      </c>
      <c r="Y89" s="9" t="s">
        <v>40</v>
      </c>
      <c r="Z89" s="9" t="s">
        <v>41</v>
      </c>
      <c r="AA89" s="9" t="s">
        <v>42</v>
      </c>
      <c r="AB89" s="7" t="s">
        <v>42</v>
      </c>
    </row>
    <row r="90" spans="1:28">
      <c r="A90" s="8">
        <v>83</v>
      </c>
      <c r="B90" s="8" t="s">
        <v>231</v>
      </c>
      <c r="C90" s="8" t="s">
        <v>197</v>
      </c>
      <c r="D90" s="8" t="s">
        <v>198</v>
      </c>
      <c r="E90" s="8" t="s">
        <v>33</v>
      </c>
      <c r="F90" s="6" t="s">
        <v>50</v>
      </c>
      <c r="G90" s="6" t="s">
        <v>35</v>
      </c>
      <c r="H90" s="6" t="s">
        <v>73</v>
      </c>
      <c r="I90" s="8">
        <v>116</v>
      </c>
      <c r="J90" s="8" t="s">
        <v>89</v>
      </c>
      <c r="K90" s="8" t="s">
        <v>53</v>
      </c>
      <c r="L90" s="10">
        <v>1</v>
      </c>
      <c r="M90" s="13">
        <v>8000.0</v>
      </c>
      <c r="N90" s="13"/>
      <c r="O90" s="15">
        <f>IF(M90&gt;0, N90/M90, 0)</f>
        <v>0</v>
      </c>
      <c r="P90" s="13">
        <f>M90-N90</f>
        <v>8000</v>
      </c>
      <c r="Q90" s="13">
        <f>L90*M90</f>
        <v>8000</v>
      </c>
      <c r="R90" s="13">
        <f>L90*N90</f>
        <v>0</v>
      </c>
      <c r="S90" s="13">
        <f>L90*P90</f>
        <v>8000</v>
      </c>
      <c r="T90" s="13"/>
      <c r="U90" s="13">
        <f>L90*T90</f>
        <v>0</v>
      </c>
      <c r="V90" s="13">
        <f>S90-U90</f>
        <v>8000</v>
      </c>
      <c r="W90" s="15">
        <f>IF(S90&gt;0, V90/S90, 0)</f>
        <v>1</v>
      </c>
      <c r="X90" s="6" t="s">
        <v>58</v>
      </c>
      <c r="Y90" s="8" t="s">
        <v>40</v>
      </c>
      <c r="Z90" s="8" t="s">
        <v>41</v>
      </c>
      <c r="AA90" s="8" t="s">
        <v>42</v>
      </c>
      <c r="AB90" s="6" t="s">
        <v>42</v>
      </c>
    </row>
    <row r="91" spans="1:28">
      <c r="A91" s="9">
        <v>84</v>
      </c>
      <c r="B91" s="9" t="s">
        <v>232</v>
      </c>
      <c r="C91" s="9" t="s">
        <v>197</v>
      </c>
      <c r="D91" s="9" t="s">
        <v>198</v>
      </c>
      <c r="E91" s="9" t="s">
        <v>33</v>
      </c>
      <c r="F91" s="7" t="s">
        <v>34</v>
      </c>
      <c r="G91" s="7" t="s">
        <v>63</v>
      </c>
      <c r="H91" s="7" t="s">
        <v>148</v>
      </c>
      <c r="I91" s="9">
        <v>176</v>
      </c>
      <c r="J91" s="9" t="s">
        <v>233</v>
      </c>
      <c r="K91" s="9" t="s">
        <v>38</v>
      </c>
      <c r="L91" s="11">
        <v>1</v>
      </c>
      <c r="M91" s="14">
        <v>15000.0</v>
      </c>
      <c r="N91" s="14"/>
      <c r="O91" s="16">
        <f>IF(M91&gt;0, N91/M91, 0)</f>
        <v>0</v>
      </c>
      <c r="P91" s="14">
        <f>M91-N91</f>
        <v>15000</v>
      </c>
      <c r="Q91" s="14">
        <f>L91*M91</f>
        <v>15000</v>
      </c>
      <c r="R91" s="14">
        <f>L91*N91</f>
        <v>0</v>
      </c>
      <c r="S91" s="14">
        <f>L91*P91</f>
        <v>15000</v>
      </c>
      <c r="T91" s="14"/>
      <c r="U91" s="14">
        <f>L91*T91</f>
        <v>0</v>
      </c>
      <c r="V91" s="14">
        <f>S91-U91</f>
        <v>15000</v>
      </c>
      <c r="W91" s="16">
        <f>IF(S91&gt;0, V91/S91, 0)</f>
        <v>1</v>
      </c>
      <c r="X91" s="7" t="s">
        <v>58</v>
      </c>
      <c r="Y91" s="9" t="s">
        <v>40</v>
      </c>
      <c r="Z91" s="9" t="s">
        <v>41</v>
      </c>
      <c r="AA91" s="9" t="s">
        <v>42</v>
      </c>
      <c r="AB91" s="7" t="s">
        <v>42</v>
      </c>
    </row>
    <row r="92" spans="1:28">
      <c r="A92" s="8">
        <v>85</v>
      </c>
      <c r="B92" s="8" t="s">
        <v>234</v>
      </c>
      <c r="C92" s="8" t="s">
        <v>197</v>
      </c>
      <c r="D92" s="8" t="s">
        <v>198</v>
      </c>
      <c r="E92" s="8" t="s">
        <v>33</v>
      </c>
      <c r="F92" s="6" t="s">
        <v>34</v>
      </c>
      <c r="G92" s="6" t="s">
        <v>51</v>
      </c>
      <c r="H92" s="6" t="s">
        <v>51</v>
      </c>
      <c r="I92" s="8">
        <v>158</v>
      </c>
      <c r="J92" s="8" t="s">
        <v>122</v>
      </c>
      <c r="K92" s="8" t="s">
        <v>38</v>
      </c>
      <c r="L92" s="10">
        <v>1</v>
      </c>
      <c r="M92" s="13">
        <v>8500.0</v>
      </c>
      <c r="N92" s="13"/>
      <c r="O92" s="15">
        <f>IF(M92&gt;0, N92/M92, 0)</f>
        <v>0</v>
      </c>
      <c r="P92" s="13">
        <f>M92-N92</f>
        <v>8500</v>
      </c>
      <c r="Q92" s="13">
        <f>L92*M92</f>
        <v>8500</v>
      </c>
      <c r="R92" s="13">
        <f>L92*N92</f>
        <v>0</v>
      </c>
      <c r="S92" s="13">
        <f>L92*P92</f>
        <v>8500</v>
      </c>
      <c r="T92" s="13"/>
      <c r="U92" s="13">
        <f>L92*T92</f>
        <v>0</v>
      </c>
      <c r="V92" s="13">
        <f>S92-U92</f>
        <v>8500</v>
      </c>
      <c r="W92" s="15">
        <f>IF(S92&gt;0, V92/S92, 0)</f>
        <v>1</v>
      </c>
      <c r="X92" s="6" t="s">
        <v>58</v>
      </c>
      <c r="Y92" s="8" t="s">
        <v>40</v>
      </c>
      <c r="Z92" s="8" t="s">
        <v>41</v>
      </c>
      <c r="AA92" s="8" t="s">
        <v>42</v>
      </c>
      <c r="AB92" s="6" t="s">
        <v>42</v>
      </c>
    </row>
    <row r="93" spans="1:28">
      <c r="A93" s="9">
        <v>86</v>
      </c>
      <c r="B93" s="9" t="s">
        <v>235</v>
      </c>
      <c r="C93" s="9" t="s">
        <v>197</v>
      </c>
      <c r="D93" s="9" t="s">
        <v>198</v>
      </c>
      <c r="E93" s="9" t="s">
        <v>33</v>
      </c>
      <c r="F93" s="7" t="s">
        <v>34</v>
      </c>
      <c r="G93" s="7" t="s">
        <v>51</v>
      </c>
      <c r="H93" s="7" t="s">
        <v>51</v>
      </c>
      <c r="I93" s="9">
        <v>158</v>
      </c>
      <c r="J93" s="9" t="s">
        <v>122</v>
      </c>
      <c r="K93" s="9" t="s">
        <v>38</v>
      </c>
      <c r="L93" s="11">
        <v>1</v>
      </c>
      <c r="M93" s="14">
        <v>8500.0</v>
      </c>
      <c r="N93" s="14"/>
      <c r="O93" s="16">
        <f>IF(M93&gt;0, N93/M93, 0)</f>
        <v>0</v>
      </c>
      <c r="P93" s="14">
        <f>M93-N93</f>
        <v>8500</v>
      </c>
      <c r="Q93" s="14">
        <f>L93*M93</f>
        <v>8500</v>
      </c>
      <c r="R93" s="14">
        <f>L93*N93</f>
        <v>0</v>
      </c>
      <c r="S93" s="14">
        <f>L93*P93</f>
        <v>8500</v>
      </c>
      <c r="T93" s="14"/>
      <c r="U93" s="14">
        <f>L93*T93</f>
        <v>0</v>
      </c>
      <c r="V93" s="14">
        <f>S93-U93</f>
        <v>8500</v>
      </c>
      <c r="W93" s="16">
        <f>IF(S93&gt;0, V93/S93, 0)</f>
        <v>1</v>
      </c>
      <c r="X93" s="7" t="s">
        <v>58</v>
      </c>
      <c r="Y93" s="9" t="s">
        <v>40</v>
      </c>
      <c r="Z93" s="9" t="s">
        <v>41</v>
      </c>
      <c r="AA93" s="9" t="s">
        <v>42</v>
      </c>
      <c r="AB93" s="7" t="s">
        <v>42</v>
      </c>
    </row>
    <row r="94" spans="1:28">
      <c r="A94" s="8">
        <v>87</v>
      </c>
      <c r="B94" s="8" t="s">
        <v>236</v>
      </c>
      <c r="C94" s="8" t="s">
        <v>197</v>
      </c>
      <c r="D94" s="8" t="s">
        <v>198</v>
      </c>
      <c r="E94" s="8" t="s">
        <v>33</v>
      </c>
      <c r="F94" s="6" t="s">
        <v>50</v>
      </c>
      <c r="G94" s="6" t="s">
        <v>63</v>
      </c>
      <c r="H94" s="6" t="s">
        <v>237</v>
      </c>
      <c r="I94" s="8">
        <v>146</v>
      </c>
      <c r="J94" s="8" t="s">
        <v>238</v>
      </c>
      <c r="K94" s="8" t="s">
        <v>38</v>
      </c>
      <c r="L94" s="10">
        <v>1</v>
      </c>
      <c r="M94" s="13">
        <v>12000.0</v>
      </c>
      <c r="N94" s="13"/>
      <c r="O94" s="15">
        <f>IF(M94&gt;0, N94/M94, 0)</f>
        <v>0</v>
      </c>
      <c r="P94" s="13">
        <f>M94-N94</f>
        <v>12000</v>
      </c>
      <c r="Q94" s="13">
        <f>L94*M94</f>
        <v>12000</v>
      </c>
      <c r="R94" s="13">
        <f>L94*N94</f>
        <v>0</v>
      </c>
      <c r="S94" s="13">
        <f>L94*P94</f>
        <v>12000</v>
      </c>
      <c r="T94" s="13"/>
      <c r="U94" s="13">
        <f>L94*T94</f>
        <v>0</v>
      </c>
      <c r="V94" s="13">
        <f>S94-U94</f>
        <v>12000</v>
      </c>
      <c r="W94" s="15">
        <f>IF(S94&gt;0, V94/S94, 0)</f>
        <v>1</v>
      </c>
      <c r="X94" s="6" t="s">
        <v>58</v>
      </c>
      <c r="Y94" s="8" t="s">
        <v>40</v>
      </c>
      <c r="Z94" s="8" t="s">
        <v>41</v>
      </c>
      <c r="AA94" s="8" t="s">
        <v>42</v>
      </c>
      <c r="AB94" s="6" t="s">
        <v>143</v>
      </c>
    </row>
    <row r="95" spans="1:28">
      <c r="A95" s="9">
        <v>88</v>
      </c>
      <c r="B95" s="9" t="s">
        <v>239</v>
      </c>
      <c r="C95" s="9" t="s">
        <v>197</v>
      </c>
      <c r="D95" s="9" t="s">
        <v>198</v>
      </c>
      <c r="E95" s="9" t="s">
        <v>33</v>
      </c>
      <c r="F95" s="7" t="s">
        <v>50</v>
      </c>
      <c r="G95" s="7" t="s">
        <v>63</v>
      </c>
      <c r="H95" s="7" t="s">
        <v>148</v>
      </c>
      <c r="I95" s="9">
        <v>140</v>
      </c>
      <c r="J95" s="9" t="s">
        <v>221</v>
      </c>
      <c r="K95" s="9" t="s">
        <v>38</v>
      </c>
      <c r="L95" s="11">
        <v>1</v>
      </c>
      <c r="M95" s="14">
        <v>12000.0</v>
      </c>
      <c r="N95" s="14"/>
      <c r="O95" s="16">
        <f>IF(M95&gt;0, N95/M95, 0)</f>
        <v>0</v>
      </c>
      <c r="P95" s="14">
        <f>M95-N95</f>
        <v>12000</v>
      </c>
      <c r="Q95" s="14">
        <f>L95*M95</f>
        <v>12000</v>
      </c>
      <c r="R95" s="14">
        <f>L95*N95</f>
        <v>0</v>
      </c>
      <c r="S95" s="14">
        <f>L95*P95</f>
        <v>12000</v>
      </c>
      <c r="T95" s="14"/>
      <c r="U95" s="14">
        <f>L95*T95</f>
        <v>0</v>
      </c>
      <c r="V95" s="14">
        <f>S95-U95</f>
        <v>12000</v>
      </c>
      <c r="W95" s="16">
        <f>IF(S95&gt;0, V95/S95, 0)</f>
        <v>1</v>
      </c>
      <c r="X95" s="7" t="s">
        <v>58</v>
      </c>
      <c r="Y95" s="9" t="s">
        <v>40</v>
      </c>
      <c r="Z95" s="9" t="s">
        <v>41</v>
      </c>
      <c r="AA95" s="9" t="s">
        <v>42</v>
      </c>
      <c r="AB95" s="7" t="s">
        <v>143</v>
      </c>
    </row>
    <row r="96" spans="1:28">
      <c r="A96" s="8">
        <v>89</v>
      </c>
      <c r="B96" s="8" t="s">
        <v>240</v>
      </c>
      <c r="C96" s="8" t="s">
        <v>197</v>
      </c>
      <c r="D96" s="8" t="s">
        <v>198</v>
      </c>
      <c r="E96" s="8" t="s">
        <v>33</v>
      </c>
      <c r="F96" s="6" t="s">
        <v>50</v>
      </c>
      <c r="G96" s="6" t="s">
        <v>63</v>
      </c>
      <c r="H96" s="6" t="s">
        <v>148</v>
      </c>
      <c r="I96" s="8">
        <v>122</v>
      </c>
      <c r="J96" s="8" t="s">
        <v>241</v>
      </c>
      <c r="K96" s="8" t="s">
        <v>38</v>
      </c>
      <c r="L96" s="10">
        <v>1</v>
      </c>
      <c r="M96" s="13">
        <v>12000.0</v>
      </c>
      <c r="N96" s="13"/>
      <c r="O96" s="15">
        <f>IF(M96&gt;0, N96/M96, 0)</f>
        <v>0</v>
      </c>
      <c r="P96" s="13">
        <f>M96-N96</f>
        <v>12000</v>
      </c>
      <c r="Q96" s="13">
        <f>L96*M96</f>
        <v>12000</v>
      </c>
      <c r="R96" s="13">
        <f>L96*N96</f>
        <v>0</v>
      </c>
      <c r="S96" s="13">
        <f>L96*P96</f>
        <v>12000</v>
      </c>
      <c r="T96" s="13"/>
      <c r="U96" s="13">
        <f>L96*T96</f>
        <v>0</v>
      </c>
      <c r="V96" s="13">
        <f>S96-U96</f>
        <v>12000</v>
      </c>
      <c r="W96" s="15">
        <f>IF(S96&gt;0, V96/S96, 0)</f>
        <v>1</v>
      </c>
      <c r="X96" s="6" t="s">
        <v>58</v>
      </c>
      <c r="Y96" s="8" t="s">
        <v>40</v>
      </c>
      <c r="Z96" s="8" t="s">
        <v>41</v>
      </c>
      <c r="AA96" s="8" t="s">
        <v>42</v>
      </c>
      <c r="AB96" s="6" t="s">
        <v>143</v>
      </c>
    </row>
    <row r="97" spans="1:28">
      <c r="A97" s="9">
        <v>90</v>
      </c>
      <c r="B97" s="9" t="s">
        <v>242</v>
      </c>
      <c r="C97" s="9" t="s">
        <v>197</v>
      </c>
      <c r="D97" s="9" t="s">
        <v>198</v>
      </c>
      <c r="E97" s="9" t="s">
        <v>33</v>
      </c>
      <c r="F97" s="7" t="s">
        <v>50</v>
      </c>
      <c r="G97" s="7" t="s">
        <v>45</v>
      </c>
      <c r="H97" s="7" t="s">
        <v>46</v>
      </c>
      <c r="I97" s="9">
        <v>128</v>
      </c>
      <c r="J97" s="9" t="s">
        <v>183</v>
      </c>
      <c r="K97" s="9" t="s">
        <v>38</v>
      </c>
      <c r="L97" s="11">
        <v>1</v>
      </c>
      <c r="M97" s="14">
        <v>18000.0</v>
      </c>
      <c r="N97" s="14"/>
      <c r="O97" s="16">
        <f>IF(M97&gt;0, N97/M97, 0)</f>
        <v>0</v>
      </c>
      <c r="P97" s="14">
        <f>M97-N97</f>
        <v>18000</v>
      </c>
      <c r="Q97" s="14">
        <f>L97*M97</f>
        <v>18000</v>
      </c>
      <c r="R97" s="14">
        <f>L97*N97</f>
        <v>0</v>
      </c>
      <c r="S97" s="14">
        <f>L97*P97</f>
        <v>18000</v>
      </c>
      <c r="T97" s="14"/>
      <c r="U97" s="14">
        <f>L97*T97</f>
        <v>0</v>
      </c>
      <c r="V97" s="14">
        <f>S97-U97</f>
        <v>18000</v>
      </c>
      <c r="W97" s="16">
        <f>IF(S97&gt;0, V97/S97, 0)</f>
        <v>1</v>
      </c>
      <c r="X97" s="7" t="s">
        <v>58</v>
      </c>
      <c r="Y97" s="9" t="s">
        <v>40</v>
      </c>
      <c r="Z97" s="9" t="s">
        <v>41</v>
      </c>
      <c r="AA97" s="9" t="s">
        <v>42</v>
      </c>
      <c r="AB97" s="7" t="s">
        <v>42</v>
      </c>
    </row>
    <row r="98" spans="1:28">
      <c r="A98" s="8">
        <v>91</v>
      </c>
      <c r="B98" s="8" t="s">
        <v>243</v>
      </c>
      <c r="C98" s="8" t="s">
        <v>197</v>
      </c>
      <c r="D98" s="8" t="s">
        <v>198</v>
      </c>
      <c r="E98" s="8" t="s">
        <v>33</v>
      </c>
      <c r="F98" s="6" t="s">
        <v>50</v>
      </c>
      <c r="G98" s="6" t="s">
        <v>35</v>
      </c>
      <c r="H98" s="6" t="s">
        <v>73</v>
      </c>
      <c r="I98" s="8">
        <v>128</v>
      </c>
      <c r="J98" s="8" t="s">
        <v>185</v>
      </c>
      <c r="K98" s="8" t="s">
        <v>53</v>
      </c>
      <c r="L98" s="10">
        <v>1</v>
      </c>
      <c r="M98" s="13">
        <v>8000.0</v>
      </c>
      <c r="N98" s="13"/>
      <c r="O98" s="15">
        <f>IF(M98&gt;0, N98/M98, 0)</f>
        <v>0</v>
      </c>
      <c r="P98" s="13">
        <f>M98-N98</f>
        <v>8000</v>
      </c>
      <c r="Q98" s="13">
        <f>L98*M98</f>
        <v>8000</v>
      </c>
      <c r="R98" s="13">
        <f>L98*N98</f>
        <v>0</v>
      </c>
      <c r="S98" s="13">
        <f>L98*P98</f>
        <v>8000</v>
      </c>
      <c r="T98" s="13"/>
      <c r="U98" s="13">
        <f>L98*T98</f>
        <v>0</v>
      </c>
      <c r="V98" s="13">
        <f>S98-U98</f>
        <v>8000</v>
      </c>
      <c r="W98" s="15">
        <f>IF(S98&gt;0, V98/S98, 0)</f>
        <v>1</v>
      </c>
      <c r="X98" s="6" t="s">
        <v>58</v>
      </c>
      <c r="Y98" s="8" t="s">
        <v>40</v>
      </c>
      <c r="Z98" s="8" t="s">
        <v>41</v>
      </c>
      <c r="AA98" s="8" t="s">
        <v>42</v>
      </c>
      <c r="AB98" s="6" t="s">
        <v>42</v>
      </c>
    </row>
    <row r="99" spans="1:28">
      <c r="A99" s="9">
        <v>92</v>
      </c>
      <c r="B99" s="9" t="s">
        <v>244</v>
      </c>
      <c r="C99" s="9" t="s">
        <v>197</v>
      </c>
      <c r="D99" s="9" t="s">
        <v>198</v>
      </c>
      <c r="E99" s="9" t="s">
        <v>33</v>
      </c>
      <c r="F99" s="7" t="s">
        <v>50</v>
      </c>
      <c r="G99" s="7" t="s">
        <v>63</v>
      </c>
      <c r="H99" s="7" t="s">
        <v>148</v>
      </c>
      <c r="I99" s="9">
        <v>146</v>
      </c>
      <c r="J99" s="9" t="s">
        <v>167</v>
      </c>
      <c r="K99" s="9" t="s">
        <v>38</v>
      </c>
      <c r="L99" s="11">
        <v>1</v>
      </c>
      <c r="M99" s="14">
        <v>12000.0</v>
      </c>
      <c r="N99" s="14"/>
      <c r="O99" s="16">
        <f>IF(M99&gt;0, N99/M99, 0)</f>
        <v>0</v>
      </c>
      <c r="P99" s="14">
        <f>M99-N99</f>
        <v>12000</v>
      </c>
      <c r="Q99" s="14">
        <f>L99*M99</f>
        <v>12000</v>
      </c>
      <c r="R99" s="14">
        <f>L99*N99</f>
        <v>0</v>
      </c>
      <c r="S99" s="14">
        <f>L99*P99</f>
        <v>12000</v>
      </c>
      <c r="T99" s="14"/>
      <c r="U99" s="14">
        <f>L99*T99</f>
        <v>0</v>
      </c>
      <c r="V99" s="14">
        <f>S99-U99</f>
        <v>12000</v>
      </c>
      <c r="W99" s="16">
        <f>IF(S99&gt;0, V99/S99, 0)</f>
        <v>1</v>
      </c>
      <c r="X99" s="7" t="s">
        <v>58</v>
      </c>
      <c r="Y99" s="9" t="s">
        <v>40</v>
      </c>
      <c r="Z99" s="9" t="s">
        <v>41</v>
      </c>
      <c r="AA99" s="9" t="s">
        <v>42</v>
      </c>
      <c r="AB99" s="7" t="s">
        <v>143</v>
      </c>
    </row>
    <row r="100" spans="1:28">
      <c r="A100" s="8">
        <v>93</v>
      </c>
      <c r="B100" s="8" t="s">
        <v>245</v>
      </c>
      <c r="C100" s="8" t="s">
        <v>197</v>
      </c>
      <c r="D100" s="8" t="s">
        <v>198</v>
      </c>
      <c r="E100" s="8" t="s">
        <v>33</v>
      </c>
      <c r="F100" s="6" t="s">
        <v>50</v>
      </c>
      <c r="G100" s="6" t="s">
        <v>63</v>
      </c>
      <c r="H100" s="6" t="s">
        <v>148</v>
      </c>
      <c r="I100" s="8">
        <v>134</v>
      </c>
      <c r="J100" s="8" t="s">
        <v>246</v>
      </c>
      <c r="K100" s="8" t="s">
        <v>38</v>
      </c>
      <c r="L100" s="10">
        <v>1</v>
      </c>
      <c r="M100" s="13">
        <v>12000.0</v>
      </c>
      <c r="N100" s="13"/>
      <c r="O100" s="15">
        <f>IF(M100&gt;0, N100/M100, 0)</f>
        <v>0</v>
      </c>
      <c r="P100" s="13">
        <f>M100-N100</f>
        <v>12000</v>
      </c>
      <c r="Q100" s="13">
        <f>L100*M100</f>
        <v>12000</v>
      </c>
      <c r="R100" s="13">
        <f>L100*N100</f>
        <v>0</v>
      </c>
      <c r="S100" s="13">
        <f>L100*P100</f>
        <v>12000</v>
      </c>
      <c r="T100" s="13"/>
      <c r="U100" s="13">
        <f>L100*T100</f>
        <v>0</v>
      </c>
      <c r="V100" s="13">
        <f>S100-U100</f>
        <v>12000</v>
      </c>
      <c r="W100" s="15">
        <f>IF(S100&gt;0, V100/S100, 0)</f>
        <v>1</v>
      </c>
      <c r="X100" s="6" t="s">
        <v>58</v>
      </c>
      <c r="Y100" s="8" t="s">
        <v>40</v>
      </c>
      <c r="Z100" s="8" t="s">
        <v>41</v>
      </c>
      <c r="AA100" s="8" t="s">
        <v>42</v>
      </c>
      <c r="AB100" s="6" t="s">
        <v>143</v>
      </c>
    </row>
    <row r="101" spans="1:28">
      <c r="A101" s="9">
        <v>94</v>
      </c>
      <c r="B101" s="9" t="s">
        <v>247</v>
      </c>
      <c r="C101" s="9" t="s">
        <v>197</v>
      </c>
      <c r="D101" s="9" t="s">
        <v>198</v>
      </c>
      <c r="E101" s="9" t="s">
        <v>33</v>
      </c>
      <c r="F101" s="7" t="s">
        <v>50</v>
      </c>
      <c r="G101" s="7" t="s">
        <v>35</v>
      </c>
      <c r="H101" s="7" t="s">
        <v>73</v>
      </c>
      <c r="I101" s="9">
        <v>134</v>
      </c>
      <c r="J101" s="9" t="s">
        <v>146</v>
      </c>
      <c r="K101" s="9" t="s">
        <v>53</v>
      </c>
      <c r="L101" s="11">
        <v>2</v>
      </c>
      <c r="M101" s="14">
        <v>8000.0</v>
      </c>
      <c r="N101" s="14"/>
      <c r="O101" s="16">
        <f>IF(M101&gt;0, N101/M101, 0)</f>
        <v>0</v>
      </c>
      <c r="P101" s="14">
        <f>M101-N101</f>
        <v>8000</v>
      </c>
      <c r="Q101" s="14">
        <f>L101*M101</f>
        <v>16000</v>
      </c>
      <c r="R101" s="14">
        <f>L101*N101</f>
        <v>0</v>
      </c>
      <c r="S101" s="14">
        <f>L101*P101</f>
        <v>16000</v>
      </c>
      <c r="T101" s="14"/>
      <c r="U101" s="14">
        <f>L101*T101</f>
        <v>0</v>
      </c>
      <c r="V101" s="14">
        <f>S101-U101</f>
        <v>16000</v>
      </c>
      <c r="W101" s="16">
        <f>IF(S101&gt;0, V101/S101, 0)</f>
        <v>1</v>
      </c>
      <c r="X101" s="7" t="s">
        <v>58</v>
      </c>
      <c r="Y101" s="9" t="s">
        <v>40</v>
      </c>
      <c r="Z101" s="9" t="s">
        <v>41</v>
      </c>
      <c r="AA101" s="9" t="s">
        <v>42</v>
      </c>
      <c r="AB101" s="7" t="s">
        <v>42</v>
      </c>
    </row>
    <row r="102" spans="1:28">
      <c r="A102" s="8">
        <v>95</v>
      </c>
      <c r="B102" s="8" t="s">
        <v>248</v>
      </c>
      <c r="C102" s="8" t="s">
        <v>197</v>
      </c>
      <c r="D102" s="8" t="s">
        <v>198</v>
      </c>
      <c r="E102" s="8" t="s">
        <v>33</v>
      </c>
      <c r="F102" s="6" t="s">
        <v>50</v>
      </c>
      <c r="G102" s="6" t="s">
        <v>35</v>
      </c>
      <c r="H102" s="6" t="s">
        <v>73</v>
      </c>
      <c r="I102" s="8">
        <v>134</v>
      </c>
      <c r="J102" s="8" t="s">
        <v>146</v>
      </c>
      <c r="K102" s="8" t="s">
        <v>53</v>
      </c>
      <c r="L102" s="10">
        <v>1</v>
      </c>
      <c r="M102" s="13">
        <v>8000.0</v>
      </c>
      <c r="N102" s="13"/>
      <c r="O102" s="15">
        <f>IF(M102&gt;0, N102/M102, 0)</f>
        <v>0</v>
      </c>
      <c r="P102" s="13">
        <f>M102-N102</f>
        <v>8000</v>
      </c>
      <c r="Q102" s="13">
        <f>L102*M102</f>
        <v>8000</v>
      </c>
      <c r="R102" s="13">
        <f>L102*N102</f>
        <v>0</v>
      </c>
      <c r="S102" s="13">
        <f>L102*P102</f>
        <v>8000</v>
      </c>
      <c r="T102" s="13"/>
      <c r="U102" s="13">
        <f>L102*T102</f>
        <v>0</v>
      </c>
      <c r="V102" s="13">
        <f>S102-U102</f>
        <v>8000</v>
      </c>
      <c r="W102" s="15">
        <f>IF(S102&gt;0, V102/S102, 0)</f>
        <v>1</v>
      </c>
      <c r="X102" s="6" t="s">
        <v>58</v>
      </c>
      <c r="Y102" s="8" t="s">
        <v>40</v>
      </c>
      <c r="Z102" s="8" t="s">
        <v>41</v>
      </c>
      <c r="AA102" s="8" t="s">
        <v>42</v>
      </c>
      <c r="AB102" s="6" t="s">
        <v>42</v>
      </c>
    </row>
    <row r="103" spans="1:28">
      <c r="A103" s="9">
        <v>96</v>
      </c>
      <c r="B103" s="9" t="s">
        <v>249</v>
      </c>
      <c r="C103" s="9" t="s">
        <v>197</v>
      </c>
      <c r="D103" s="9" t="s">
        <v>198</v>
      </c>
      <c r="E103" s="9" t="s">
        <v>68</v>
      </c>
      <c r="F103" s="7" t="s">
        <v>50</v>
      </c>
      <c r="G103" s="7" t="s">
        <v>63</v>
      </c>
      <c r="H103" s="7" t="s">
        <v>148</v>
      </c>
      <c r="I103" s="9">
        <v>146</v>
      </c>
      <c r="J103" s="9" t="s">
        <v>167</v>
      </c>
      <c r="K103" s="9" t="s">
        <v>38</v>
      </c>
      <c r="L103" s="11">
        <v>1</v>
      </c>
      <c r="M103" s="14">
        <v>12000.0</v>
      </c>
      <c r="N103" s="14"/>
      <c r="O103" s="16">
        <f>IF(M103&gt;0, N103/M103, 0)</f>
        <v>0</v>
      </c>
      <c r="P103" s="14">
        <f>M103-N103</f>
        <v>12000</v>
      </c>
      <c r="Q103" s="14">
        <f>L103*M103</f>
        <v>12000</v>
      </c>
      <c r="R103" s="14">
        <f>L103*N103</f>
        <v>0</v>
      </c>
      <c r="S103" s="14">
        <f>L103*P103</f>
        <v>12000</v>
      </c>
      <c r="T103" s="14"/>
      <c r="U103" s="14">
        <f>L103*T103</f>
        <v>0</v>
      </c>
      <c r="V103" s="14">
        <f>S103-U103</f>
        <v>12000</v>
      </c>
      <c r="W103" s="16">
        <f>IF(S103&gt;0, V103/S103, 0)</f>
        <v>1</v>
      </c>
      <c r="X103" s="7" t="s">
        <v>58</v>
      </c>
      <c r="Y103" s="9" t="s">
        <v>40</v>
      </c>
      <c r="Z103" s="9" t="s">
        <v>71</v>
      </c>
      <c r="AA103" s="9" t="s">
        <v>42</v>
      </c>
      <c r="AB103" s="7" t="s">
        <v>143</v>
      </c>
    </row>
    <row r="104" spans="1:28">
      <c r="A104" s="8">
        <v>97</v>
      </c>
      <c r="B104" s="8" t="s">
        <v>250</v>
      </c>
      <c r="C104" s="8" t="s">
        <v>197</v>
      </c>
      <c r="D104" s="8" t="s">
        <v>198</v>
      </c>
      <c r="E104" s="8" t="s">
        <v>33</v>
      </c>
      <c r="F104" s="6" t="s">
        <v>50</v>
      </c>
      <c r="G104" s="6" t="s">
        <v>63</v>
      </c>
      <c r="H104" s="6" t="s">
        <v>148</v>
      </c>
      <c r="I104" s="8">
        <v>158</v>
      </c>
      <c r="J104" s="8" t="s">
        <v>251</v>
      </c>
      <c r="K104" s="8" t="s">
        <v>38</v>
      </c>
      <c r="L104" s="10">
        <v>1</v>
      </c>
      <c r="M104" s="13">
        <v>12000.0</v>
      </c>
      <c r="N104" s="13"/>
      <c r="O104" s="15">
        <f>IF(M104&gt;0, N104/M104, 0)</f>
        <v>0</v>
      </c>
      <c r="P104" s="13">
        <f>M104-N104</f>
        <v>12000</v>
      </c>
      <c r="Q104" s="13">
        <f>L104*M104</f>
        <v>12000</v>
      </c>
      <c r="R104" s="13">
        <f>L104*N104</f>
        <v>0</v>
      </c>
      <c r="S104" s="13">
        <f>L104*P104</f>
        <v>12000</v>
      </c>
      <c r="T104" s="13"/>
      <c r="U104" s="13">
        <f>L104*T104</f>
        <v>0</v>
      </c>
      <c r="V104" s="13">
        <f>S104-U104</f>
        <v>12000</v>
      </c>
      <c r="W104" s="15">
        <f>IF(S104&gt;0, V104/S104, 0)</f>
        <v>1</v>
      </c>
      <c r="X104" s="6" t="s">
        <v>58</v>
      </c>
      <c r="Y104" s="8" t="s">
        <v>40</v>
      </c>
      <c r="Z104" s="8" t="s">
        <v>41</v>
      </c>
      <c r="AA104" s="8" t="s">
        <v>42</v>
      </c>
      <c r="AB104" s="6" t="s">
        <v>143</v>
      </c>
    </row>
    <row r="105" spans="1:28">
      <c r="A105" s="9">
        <v>98</v>
      </c>
      <c r="B105" s="9" t="s">
        <v>252</v>
      </c>
      <c r="C105" s="9" t="s">
        <v>197</v>
      </c>
      <c r="D105" s="9" t="s">
        <v>198</v>
      </c>
      <c r="E105" s="9" t="s">
        <v>33</v>
      </c>
      <c r="F105" s="7" t="s">
        <v>50</v>
      </c>
      <c r="G105" s="7" t="s">
        <v>63</v>
      </c>
      <c r="H105" s="7" t="s">
        <v>148</v>
      </c>
      <c r="I105" s="9">
        <v>122</v>
      </c>
      <c r="J105" s="9" t="s">
        <v>241</v>
      </c>
      <c r="K105" s="9" t="s">
        <v>38</v>
      </c>
      <c r="L105" s="11">
        <v>1</v>
      </c>
      <c r="M105" s="14">
        <v>12000.0</v>
      </c>
      <c r="N105" s="14"/>
      <c r="O105" s="16">
        <f>IF(M105&gt;0, N105/M105, 0)</f>
        <v>0</v>
      </c>
      <c r="P105" s="14">
        <f>M105-N105</f>
        <v>12000</v>
      </c>
      <c r="Q105" s="14">
        <f>L105*M105</f>
        <v>12000</v>
      </c>
      <c r="R105" s="14">
        <f>L105*N105</f>
        <v>0</v>
      </c>
      <c r="S105" s="14">
        <f>L105*P105</f>
        <v>12000</v>
      </c>
      <c r="T105" s="14"/>
      <c r="U105" s="14">
        <f>L105*T105</f>
        <v>0</v>
      </c>
      <c r="V105" s="14">
        <f>S105-U105</f>
        <v>12000</v>
      </c>
      <c r="W105" s="16">
        <f>IF(S105&gt;0, V105/S105, 0)</f>
        <v>1</v>
      </c>
      <c r="X105" s="7" t="s">
        <v>58</v>
      </c>
      <c r="Y105" s="9" t="s">
        <v>40</v>
      </c>
      <c r="Z105" s="9" t="s">
        <v>41</v>
      </c>
      <c r="AA105" s="9" t="s">
        <v>42</v>
      </c>
      <c r="AB105" s="7" t="s">
        <v>143</v>
      </c>
    </row>
    <row r="106" spans="1:28">
      <c r="A106" s="8">
        <v>99</v>
      </c>
      <c r="B106" s="8" t="s">
        <v>253</v>
      </c>
      <c r="C106" s="8" t="s">
        <v>197</v>
      </c>
      <c r="D106" s="8" t="s">
        <v>198</v>
      </c>
      <c r="E106" s="8" t="s">
        <v>33</v>
      </c>
      <c r="F106" s="6" t="s">
        <v>50</v>
      </c>
      <c r="G106" s="6" t="s">
        <v>51</v>
      </c>
      <c r="H106" s="6" t="s">
        <v>51</v>
      </c>
      <c r="I106" s="8">
        <v>146</v>
      </c>
      <c r="J106" s="8" t="s">
        <v>254</v>
      </c>
      <c r="K106" s="8" t="s">
        <v>53</v>
      </c>
      <c r="L106" s="10">
        <v>1</v>
      </c>
      <c r="M106" s="13">
        <v>8000.0</v>
      </c>
      <c r="N106" s="13"/>
      <c r="O106" s="15">
        <f>IF(M106&gt;0, N106/M106, 0)</f>
        <v>0</v>
      </c>
      <c r="P106" s="13">
        <f>M106-N106</f>
        <v>8000</v>
      </c>
      <c r="Q106" s="13">
        <f>L106*M106</f>
        <v>8000</v>
      </c>
      <c r="R106" s="13">
        <f>L106*N106</f>
        <v>0</v>
      </c>
      <c r="S106" s="13">
        <f>L106*P106</f>
        <v>8000</v>
      </c>
      <c r="T106" s="13"/>
      <c r="U106" s="13">
        <f>L106*T106</f>
        <v>0</v>
      </c>
      <c r="V106" s="13">
        <f>S106-U106</f>
        <v>8000</v>
      </c>
      <c r="W106" s="15">
        <f>IF(S106&gt;0, V106/S106, 0)</f>
        <v>1</v>
      </c>
      <c r="X106" s="6" t="s">
        <v>58</v>
      </c>
      <c r="Y106" s="8" t="s">
        <v>40</v>
      </c>
      <c r="Z106" s="8" t="s">
        <v>41</v>
      </c>
      <c r="AA106" s="8" t="s">
        <v>42</v>
      </c>
      <c r="AB106" s="6" t="s">
        <v>42</v>
      </c>
    </row>
    <row r="107" spans="1:28">
      <c r="A107" s="9">
        <v>100</v>
      </c>
      <c r="B107" s="9" t="s">
        <v>255</v>
      </c>
      <c r="C107" s="9" t="s">
        <v>197</v>
      </c>
      <c r="D107" s="9" t="s">
        <v>198</v>
      </c>
      <c r="E107" s="9" t="s">
        <v>33</v>
      </c>
      <c r="F107" s="7" t="s">
        <v>50</v>
      </c>
      <c r="G107" s="7" t="s">
        <v>51</v>
      </c>
      <c r="H107" s="7" t="s">
        <v>51</v>
      </c>
      <c r="I107" s="9">
        <v>122</v>
      </c>
      <c r="J107" s="9" t="s">
        <v>82</v>
      </c>
      <c r="K107" s="9" t="s">
        <v>53</v>
      </c>
      <c r="L107" s="11">
        <v>1</v>
      </c>
      <c r="M107" s="14">
        <v>8000.0</v>
      </c>
      <c r="N107" s="14"/>
      <c r="O107" s="16">
        <f>IF(M107&gt;0, N107/M107, 0)</f>
        <v>0</v>
      </c>
      <c r="P107" s="14">
        <f>M107-N107</f>
        <v>8000</v>
      </c>
      <c r="Q107" s="14">
        <f>L107*M107</f>
        <v>8000</v>
      </c>
      <c r="R107" s="14">
        <f>L107*N107</f>
        <v>0</v>
      </c>
      <c r="S107" s="14">
        <f>L107*P107</f>
        <v>8000</v>
      </c>
      <c r="T107" s="14"/>
      <c r="U107" s="14">
        <f>L107*T107</f>
        <v>0</v>
      </c>
      <c r="V107" s="14">
        <f>S107-U107</f>
        <v>8000</v>
      </c>
      <c r="W107" s="16">
        <f>IF(S107&gt;0, V107/S107, 0)</f>
        <v>1</v>
      </c>
      <c r="X107" s="7" t="s">
        <v>58</v>
      </c>
      <c r="Y107" s="9" t="s">
        <v>40</v>
      </c>
      <c r="Z107" s="9" t="s">
        <v>41</v>
      </c>
      <c r="AA107" s="9" t="s">
        <v>42</v>
      </c>
      <c r="AB107" s="7" t="s">
        <v>42</v>
      </c>
    </row>
    <row r="108" spans="1:28">
      <c r="A108" s="8">
        <v>101</v>
      </c>
      <c r="B108" s="8" t="s">
        <v>256</v>
      </c>
      <c r="C108" s="8" t="s">
        <v>197</v>
      </c>
      <c r="D108" s="8" t="s">
        <v>198</v>
      </c>
      <c r="E108" s="8" t="s">
        <v>33</v>
      </c>
      <c r="F108" s="6" t="s">
        <v>50</v>
      </c>
      <c r="G108" s="6" t="s">
        <v>35</v>
      </c>
      <c r="H108" s="6" t="s">
        <v>36</v>
      </c>
      <c r="I108" s="8">
        <v>146</v>
      </c>
      <c r="J108" s="8" t="s">
        <v>257</v>
      </c>
      <c r="K108" s="8" t="s">
        <v>53</v>
      </c>
      <c r="L108" s="10">
        <v>1</v>
      </c>
      <c r="M108" s="13">
        <v>7000.0</v>
      </c>
      <c r="N108" s="13"/>
      <c r="O108" s="15">
        <f>IF(M108&gt;0, N108/M108, 0)</f>
        <v>0</v>
      </c>
      <c r="P108" s="13">
        <f>M108-N108</f>
        <v>7000</v>
      </c>
      <c r="Q108" s="13">
        <f>L108*M108</f>
        <v>7000</v>
      </c>
      <c r="R108" s="13">
        <f>L108*N108</f>
        <v>0</v>
      </c>
      <c r="S108" s="13">
        <f>L108*P108</f>
        <v>7000</v>
      </c>
      <c r="T108" s="13"/>
      <c r="U108" s="13">
        <f>L108*T108</f>
        <v>0</v>
      </c>
      <c r="V108" s="13">
        <f>S108-U108</f>
        <v>7000</v>
      </c>
      <c r="W108" s="15">
        <f>IF(S108&gt;0, V108/S108, 0)</f>
        <v>1</v>
      </c>
      <c r="X108" s="6" t="s">
        <v>58</v>
      </c>
      <c r="Y108" s="8" t="s">
        <v>40</v>
      </c>
      <c r="Z108" s="8" t="s">
        <v>41</v>
      </c>
      <c r="AA108" s="8" t="s">
        <v>42</v>
      </c>
      <c r="AB108" s="6" t="s">
        <v>42</v>
      </c>
    </row>
    <row r="109" spans="1:28">
      <c r="A109" s="9">
        <v>102</v>
      </c>
      <c r="B109" s="9" t="s">
        <v>258</v>
      </c>
      <c r="C109" s="9" t="s">
        <v>197</v>
      </c>
      <c r="D109" s="9" t="s">
        <v>198</v>
      </c>
      <c r="E109" s="9" t="s">
        <v>33</v>
      </c>
      <c r="F109" s="7" t="s">
        <v>50</v>
      </c>
      <c r="G109" s="7" t="s">
        <v>35</v>
      </c>
      <c r="H109" s="7" t="s">
        <v>36</v>
      </c>
      <c r="I109" s="9">
        <v>122</v>
      </c>
      <c r="J109" s="9" t="s">
        <v>105</v>
      </c>
      <c r="K109" s="9" t="s">
        <v>53</v>
      </c>
      <c r="L109" s="11">
        <v>1</v>
      </c>
      <c r="M109" s="14">
        <v>7000.0</v>
      </c>
      <c r="N109" s="14"/>
      <c r="O109" s="16">
        <f>IF(M109&gt;0, N109/M109, 0)</f>
        <v>0</v>
      </c>
      <c r="P109" s="14">
        <f>M109-N109</f>
        <v>7000</v>
      </c>
      <c r="Q109" s="14">
        <f>L109*M109</f>
        <v>7000</v>
      </c>
      <c r="R109" s="14">
        <f>L109*N109</f>
        <v>0</v>
      </c>
      <c r="S109" s="14">
        <f>L109*P109</f>
        <v>7000</v>
      </c>
      <c r="T109" s="14"/>
      <c r="U109" s="14">
        <f>L109*T109</f>
        <v>0</v>
      </c>
      <c r="V109" s="14">
        <f>S109-U109</f>
        <v>7000</v>
      </c>
      <c r="W109" s="16">
        <f>IF(S109&gt;0, V109/S109, 0)</f>
        <v>1</v>
      </c>
      <c r="X109" s="7" t="s">
        <v>58</v>
      </c>
      <c r="Y109" s="9" t="s">
        <v>40</v>
      </c>
      <c r="Z109" s="9" t="s">
        <v>41</v>
      </c>
      <c r="AA109" s="9" t="s">
        <v>42</v>
      </c>
      <c r="AB109" s="7" t="s">
        <v>42</v>
      </c>
    </row>
    <row r="110" spans="1:28">
      <c r="A110" s="8">
        <v>103</v>
      </c>
      <c r="B110" s="8" t="s">
        <v>259</v>
      </c>
      <c r="C110" s="8" t="s">
        <v>197</v>
      </c>
      <c r="D110" s="8" t="s">
        <v>198</v>
      </c>
      <c r="E110" s="8" t="s">
        <v>33</v>
      </c>
      <c r="F110" s="6" t="s">
        <v>34</v>
      </c>
      <c r="G110" s="6" t="s">
        <v>69</v>
      </c>
      <c r="H110" s="6" t="s">
        <v>69</v>
      </c>
      <c r="I110" s="8">
        <v>158</v>
      </c>
      <c r="J110" s="8" t="s">
        <v>260</v>
      </c>
      <c r="K110" s="8" t="s">
        <v>38</v>
      </c>
      <c r="L110" s="10">
        <v>1</v>
      </c>
      <c r="M110" s="13">
        <v>18000.0</v>
      </c>
      <c r="N110" s="13"/>
      <c r="O110" s="15">
        <f>IF(M110&gt;0, N110/M110, 0)</f>
        <v>0</v>
      </c>
      <c r="P110" s="13">
        <f>M110-N110</f>
        <v>18000</v>
      </c>
      <c r="Q110" s="13">
        <f>L110*M110</f>
        <v>18000</v>
      </c>
      <c r="R110" s="13">
        <f>L110*N110</f>
        <v>0</v>
      </c>
      <c r="S110" s="13">
        <f>L110*P110</f>
        <v>18000</v>
      </c>
      <c r="T110" s="13"/>
      <c r="U110" s="13">
        <f>L110*T110</f>
        <v>0</v>
      </c>
      <c r="V110" s="13">
        <f>S110-U110</f>
        <v>18000</v>
      </c>
      <c r="W110" s="15">
        <f>IF(S110&gt;0, V110/S110, 0)</f>
        <v>1</v>
      </c>
      <c r="X110" s="6" t="s">
        <v>58</v>
      </c>
      <c r="Y110" s="8" t="s">
        <v>40</v>
      </c>
      <c r="Z110" s="8" t="s">
        <v>41</v>
      </c>
      <c r="AA110" s="8" t="s">
        <v>42</v>
      </c>
      <c r="AB110" s="6" t="s">
        <v>143</v>
      </c>
    </row>
    <row r="111" spans="1:28">
      <c r="A111" s="9">
        <v>104</v>
      </c>
      <c r="B111" s="9" t="s">
        <v>261</v>
      </c>
      <c r="C111" s="9" t="s">
        <v>197</v>
      </c>
      <c r="D111" s="9" t="s">
        <v>198</v>
      </c>
      <c r="E111" s="9" t="s">
        <v>33</v>
      </c>
      <c r="F111" s="7" t="s">
        <v>34</v>
      </c>
      <c r="G111" s="7" t="s">
        <v>35</v>
      </c>
      <c r="H111" s="7" t="s">
        <v>73</v>
      </c>
      <c r="I111" s="9">
        <v>152</v>
      </c>
      <c r="J111" s="9" t="s">
        <v>262</v>
      </c>
      <c r="K111" s="9" t="s">
        <v>38</v>
      </c>
      <c r="L111" s="11">
        <v>2</v>
      </c>
      <c r="M111" s="14">
        <v>10000.0</v>
      </c>
      <c r="N111" s="14"/>
      <c r="O111" s="16">
        <f>IF(M111&gt;0, N111/M111, 0)</f>
        <v>0</v>
      </c>
      <c r="P111" s="14">
        <f>M111-N111</f>
        <v>10000</v>
      </c>
      <c r="Q111" s="14">
        <f>L111*M111</f>
        <v>20000</v>
      </c>
      <c r="R111" s="14">
        <f>L111*N111</f>
        <v>0</v>
      </c>
      <c r="S111" s="14">
        <f>L111*P111</f>
        <v>20000</v>
      </c>
      <c r="T111" s="14"/>
      <c r="U111" s="14">
        <f>L111*T111</f>
        <v>0</v>
      </c>
      <c r="V111" s="14">
        <f>S111-U111</f>
        <v>20000</v>
      </c>
      <c r="W111" s="16">
        <f>IF(S111&gt;0, V111/S111, 0)</f>
        <v>1</v>
      </c>
      <c r="X111" s="7" t="s">
        <v>58</v>
      </c>
      <c r="Y111" s="9" t="s">
        <v>40</v>
      </c>
      <c r="Z111" s="9" t="s">
        <v>41</v>
      </c>
      <c r="AA111" s="9" t="s">
        <v>42</v>
      </c>
      <c r="AB111" s="7" t="s">
        <v>143</v>
      </c>
    </row>
    <row r="112" spans="1:28">
      <c r="A112" s="8">
        <v>105</v>
      </c>
      <c r="B112" s="8" t="s">
        <v>263</v>
      </c>
      <c r="C112" s="8" t="s">
        <v>197</v>
      </c>
      <c r="D112" s="8" t="s">
        <v>198</v>
      </c>
      <c r="E112" s="8" t="s">
        <v>33</v>
      </c>
      <c r="F112" s="6" t="s">
        <v>34</v>
      </c>
      <c r="G112" s="6" t="s">
        <v>69</v>
      </c>
      <c r="H112" s="6" t="s">
        <v>69</v>
      </c>
      <c r="I112" s="8">
        <v>146</v>
      </c>
      <c r="J112" s="8" t="s">
        <v>264</v>
      </c>
      <c r="K112" s="8" t="s">
        <v>38</v>
      </c>
      <c r="L112" s="10">
        <v>1</v>
      </c>
      <c r="M112" s="13">
        <v>16000.0</v>
      </c>
      <c r="N112" s="13"/>
      <c r="O112" s="15">
        <f>IF(M112&gt;0, N112/M112, 0)</f>
        <v>0</v>
      </c>
      <c r="P112" s="13">
        <f>M112-N112</f>
        <v>16000</v>
      </c>
      <c r="Q112" s="13">
        <f>L112*M112</f>
        <v>16000</v>
      </c>
      <c r="R112" s="13">
        <f>L112*N112</f>
        <v>0</v>
      </c>
      <c r="S112" s="13">
        <f>L112*P112</f>
        <v>16000</v>
      </c>
      <c r="T112" s="13"/>
      <c r="U112" s="13">
        <f>L112*T112</f>
        <v>0</v>
      </c>
      <c r="V112" s="13">
        <f>S112-U112</f>
        <v>16000</v>
      </c>
      <c r="W112" s="15">
        <f>IF(S112&gt;0, V112/S112, 0)</f>
        <v>1</v>
      </c>
      <c r="X112" s="6" t="s">
        <v>58</v>
      </c>
      <c r="Y112" s="8" t="s">
        <v>40</v>
      </c>
      <c r="Z112" s="8" t="s">
        <v>41</v>
      </c>
      <c r="AA112" s="8" t="s">
        <v>42</v>
      </c>
      <c r="AB112" s="6" t="s">
        <v>42</v>
      </c>
    </row>
    <row r="113" spans="1:28">
      <c r="A113" s="9">
        <v>106</v>
      </c>
      <c r="B113" s="9" t="s">
        <v>265</v>
      </c>
      <c r="C113" s="9" t="s">
        <v>197</v>
      </c>
      <c r="D113" s="9" t="s">
        <v>198</v>
      </c>
      <c r="E113" s="9" t="s">
        <v>33</v>
      </c>
      <c r="F113" s="7" t="s">
        <v>50</v>
      </c>
      <c r="G113" s="7" t="s">
        <v>45</v>
      </c>
      <c r="H113" s="7" t="s">
        <v>46</v>
      </c>
      <c r="I113" s="9">
        <v>146</v>
      </c>
      <c r="J113" s="9" t="s">
        <v>140</v>
      </c>
      <c r="K113" s="9" t="s">
        <v>38</v>
      </c>
      <c r="L113" s="11">
        <v>1</v>
      </c>
      <c r="M113" s="14">
        <v>18000.0</v>
      </c>
      <c r="N113" s="14"/>
      <c r="O113" s="16">
        <f>IF(M113&gt;0, N113/M113, 0)</f>
        <v>0</v>
      </c>
      <c r="P113" s="14">
        <f>M113-N113</f>
        <v>18000</v>
      </c>
      <c r="Q113" s="14">
        <f>L113*M113</f>
        <v>18000</v>
      </c>
      <c r="R113" s="14">
        <f>L113*N113</f>
        <v>0</v>
      </c>
      <c r="S113" s="14">
        <f>L113*P113</f>
        <v>18000</v>
      </c>
      <c r="T113" s="14"/>
      <c r="U113" s="14">
        <f>L113*T113</f>
        <v>0</v>
      </c>
      <c r="V113" s="14">
        <f>S113-U113</f>
        <v>18000</v>
      </c>
      <c r="W113" s="16">
        <f>IF(S113&gt;0, V113/S113, 0)</f>
        <v>1</v>
      </c>
      <c r="X113" s="7" t="s">
        <v>58</v>
      </c>
      <c r="Y113" s="9" t="s">
        <v>40</v>
      </c>
      <c r="Z113" s="9" t="s">
        <v>41</v>
      </c>
      <c r="AA113" s="9" t="s">
        <v>42</v>
      </c>
      <c r="AB113" s="7" t="s">
        <v>42</v>
      </c>
    </row>
    <row r="114" spans="1:28">
      <c r="A114" s="8">
        <v>107</v>
      </c>
      <c r="B114" s="8" t="s">
        <v>266</v>
      </c>
      <c r="C114" s="8" t="s">
        <v>197</v>
      </c>
      <c r="D114" s="8" t="s">
        <v>198</v>
      </c>
      <c r="E114" s="8" t="s">
        <v>33</v>
      </c>
      <c r="F114" s="6" t="s">
        <v>34</v>
      </c>
      <c r="G114" s="6" t="s">
        <v>35</v>
      </c>
      <c r="H114" s="6" t="s">
        <v>36</v>
      </c>
      <c r="I114" s="8">
        <v>164</v>
      </c>
      <c r="J114" s="8" t="s">
        <v>77</v>
      </c>
      <c r="K114" s="8" t="s">
        <v>38</v>
      </c>
      <c r="L114" s="10">
        <v>2</v>
      </c>
      <c r="M114" s="13">
        <v>10000.0</v>
      </c>
      <c r="N114" s="13"/>
      <c r="O114" s="15">
        <f>IF(M114&gt;0, N114/M114, 0)</f>
        <v>0</v>
      </c>
      <c r="P114" s="13">
        <f>M114-N114</f>
        <v>10000</v>
      </c>
      <c r="Q114" s="13">
        <f>L114*M114</f>
        <v>20000</v>
      </c>
      <c r="R114" s="13">
        <f>L114*N114</f>
        <v>0</v>
      </c>
      <c r="S114" s="13">
        <f>L114*P114</f>
        <v>20000</v>
      </c>
      <c r="T114" s="13"/>
      <c r="U114" s="13">
        <f>L114*T114</f>
        <v>0</v>
      </c>
      <c r="V114" s="13">
        <f>S114-U114</f>
        <v>20000</v>
      </c>
      <c r="W114" s="15">
        <f>IF(S114&gt;0, V114/S114, 0)</f>
        <v>1</v>
      </c>
      <c r="X114" s="6" t="s">
        <v>58</v>
      </c>
      <c r="Y114" s="8" t="s">
        <v>40</v>
      </c>
      <c r="Z114" s="8" t="s">
        <v>41</v>
      </c>
      <c r="AA114" s="8" t="s">
        <v>42</v>
      </c>
      <c r="AB114" s="6" t="s">
        <v>143</v>
      </c>
    </row>
    <row r="115" spans="1:28">
      <c r="A115" s="9">
        <v>108</v>
      </c>
      <c r="B115" s="9" t="s">
        <v>267</v>
      </c>
      <c r="C115" s="9" t="s">
        <v>197</v>
      </c>
      <c r="D115" s="9" t="s">
        <v>198</v>
      </c>
      <c r="E115" s="9" t="s">
        <v>33</v>
      </c>
      <c r="F115" s="7" t="s">
        <v>50</v>
      </c>
      <c r="G115" s="7" t="s">
        <v>35</v>
      </c>
      <c r="H115" s="7" t="s">
        <v>36</v>
      </c>
      <c r="I115" s="9">
        <v>152</v>
      </c>
      <c r="J115" s="9" t="s">
        <v>151</v>
      </c>
      <c r="K115" s="9" t="s">
        <v>53</v>
      </c>
      <c r="L115" s="11">
        <v>3</v>
      </c>
      <c r="M115" s="14">
        <v>7000.0</v>
      </c>
      <c r="N115" s="14"/>
      <c r="O115" s="16">
        <f>IF(M115&gt;0, N115/M115, 0)</f>
        <v>0</v>
      </c>
      <c r="P115" s="14">
        <f>M115-N115</f>
        <v>7000</v>
      </c>
      <c r="Q115" s="14">
        <f>L115*M115</f>
        <v>21000</v>
      </c>
      <c r="R115" s="14">
        <f>L115*N115</f>
        <v>0</v>
      </c>
      <c r="S115" s="14">
        <f>L115*P115</f>
        <v>21000</v>
      </c>
      <c r="T115" s="14"/>
      <c r="U115" s="14">
        <f>L115*T115</f>
        <v>0</v>
      </c>
      <c r="V115" s="14">
        <f>S115-U115</f>
        <v>21000</v>
      </c>
      <c r="W115" s="16">
        <f>IF(S115&gt;0, V115/S115, 0)</f>
        <v>1</v>
      </c>
      <c r="X115" s="7" t="s">
        <v>58</v>
      </c>
      <c r="Y115" s="9" t="s">
        <v>40</v>
      </c>
      <c r="Z115" s="9" t="s">
        <v>41</v>
      </c>
      <c r="AA115" s="9" t="s">
        <v>42</v>
      </c>
      <c r="AB115" s="7" t="s">
        <v>42</v>
      </c>
    </row>
    <row r="116" spans="1:28">
      <c r="A116" s="8">
        <v>109</v>
      </c>
      <c r="B116" s="8" t="s">
        <v>268</v>
      </c>
      <c r="C116" s="8" t="s">
        <v>197</v>
      </c>
      <c r="D116" s="8" t="s">
        <v>198</v>
      </c>
      <c r="E116" s="8" t="s">
        <v>33</v>
      </c>
      <c r="F116" s="6" t="s">
        <v>50</v>
      </c>
      <c r="G116" s="6" t="s">
        <v>35</v>
      </c>
      <c r="H116" s="6" t="s">
        <v>73</v>
      </c>
      <c r="I116" s="8">
        <v>134</v>
      </c>
      <c r="J116" s="8" t="s">
        <v>146</v>
      </c>
      <c r="K116" s="8" t="s">
        <v>53</v>
      </c>
      <c r="L116" s="10">
        <v>1</v>
      </c>
      <c r="M116" s="13">
        <v>10000.0</v>
      </c>
      <c r="N116" s="13"/>
      <c r="O116" s="15">
        <f>IF(M116&gt;0, N116/M116, 0)</f>
        <v>0</v>
      </c>
      <c r="P116" s="13">
        <f>M116-N116</f>
        <v>10000</v>
      </c>
      <c r="Q116" s="13">
        <f>L116*M116</f>
        <v>10000</v>
      </c>
      <c r="R116" s="13">
        <f>L116*N116</f>
        <v>0</v>
      </c>
      <c r="S116" s="13">
        <f>L116*P116</f>
        <v>10000</v>
      </c>
      <c r="T116" s="13"/>
      <c r="U116" s="13">
        <f>L116*T116</f>
        <v>0</v>
      </c>
      <c r="V116" s="13">
        <f>S116-U116</f>
        <v>10000</v>
      </c>
      <c r="W116" s="15">
        <f>IF(S116&gt;0, V116/S116, 0)</f>
        <v>1</v>
      </c>
      <c r="X116" s="6" t="s">
        <v>58</v>
      </c>
      <c r="Y116" s="8" t="s">
        <v>40</v>
      </c>
      <c r="Z116" s="8" t="s">
        <v>41</v>
      </c>
      <c r="AA116" s="8" t="s">
        <v>42</v>
      </c>
      <c r="AB116" s="6" t="s">
        <v>42</v>
      </c>
    </row>
    <row r="117" spans="1:28">
      <c r="A117" s="9">
        <v>110</v>
      </c>
      <c r="B117" s="9" t="s">
        <v>269</v>
      </c>
      <c r="C117" s="9" t="s">
        <v>197</v>
      </c>
      <c r="D117" s="9" t="s">
        <v>198</v>
      </c>
      <c r="E117" s="9" t="s">
        <v>33</v>
      </c>
      <c r="F117" s="7" t="s">
        <v>50</v>
      </c>
      <c r="G117" s="7" t="s">
        <v>69</v>
      </c>
      <c r="H117" s="7" t="s">
        <v>69</v>
      </c>
      <c r="I117" s="9">
        <v>134</v>
      </c>
      <c r="J117" s="9" t="s">
        <v>209</v>
      </c>
      <c r="K117" s="9" t="s">
        <v>38</v>
      </c>
      <c r="L117" s="11">
        <v>1</v>
      </c>
      <c r="M117" s="14">
        <v>16000.0</v>
      </c>
      <c r="N117" s="14"/>
      <c r="O117" s="16">
        <f>IF(M117&gt;0, N117/M117, 0)</f>
        <v>0</v>
      </c>
      <c r="P117" s="14">
        <f>M117-N117</f>
        <v>16000</v>
      </c>
      <c r="Q117" s="14">
        <f>L117*M117</f>
        <v>16000</v>
      </c>
      <c r="R117" s="14">
        <f>L117*N117</f>
        <v>0</v>
      </c>
      <c r="S117" s="14">
        <f>L117*P117</f>
        <v>16000</v>
      </c>
      <c r="T117" s="14"/>
      <c r="U117" s="14">
        <f>L117*T117</f>
        <v>0</v>
      </c>
      <c r="V117" s="14">
        <f>S117-U117</f>
        <v>16000</v>
      </c>
      <c r="W117" s="16">
        <f>IF(S117&gt;0, V117/S117, 0)</f>
        <v>1</v>
      </c>
      <c r="X117" s="7" t="s">
        <v>58</v>
      </c>
      <c r="Y117" s="9" t="s">
        <v>40</v>
      </c>
      <c r="Z117" s="9" t="s">
        <v>41</v>
      </c>
      <c r="AA117" s="9" t="s">
        <v>42</v>
      </c>
      <c r="AB117" s="7" t="s">
        <v>42</v>
      </c>
    </row>
    <row r="118" spans="1:28">
      <c r="A118" s="8">
        <v>111</v>
      </c>
      <c r="B118" s="8" t="s">
        <v>270</v>
      </c>
      <c r="C118" s="8" t="s">
        <v>197</v>
      </c>
      <c r="D118" s="8" t="s">
        <v>198</v>
      </c>
      <c r="E118" s="8" t="s">
        <v>33</v>
      </c>
      <c r="F118" s="6" t="s">
        <v>34</v>
      </c>
      <c r="G118" s="6" t="s">
        <v>56</v>
      </c>
      <c r="H118" s="6" t="s">
        <v>56</v>
      </c>
      <c r="I118" s="8">
        <v>164</v>
      </c>
      <c r="J118" s="8" t="s">
        <v>57</v>
      </c>
      <c r="K118" s="8" t="s">
        <v>38</v>
      </c>
      <c r="L118" s="10">
        <v>1</v>
      </c>
      <c r="M118" s="13">
        <v>7500.0</v>
      </c>
      <c r="N118" s="13"/>
      <c r="O118" s="15">
        <f>IF(M118&gt;0, N118/M118, 0)</f>
        <v>0</v>
      </c>
      <c r="P118" s="13">
        <f>M118-N118</f>
        <v>7500</v>
      </c>
      <c r="Q118" s="13">
        <f>L118*M118</f>
        <v>7500</v>
      </c>
      <c r="R118" s="13">
        <f>L118*N118</f>
        <v>0</v>
      </c>
      <c r="S118" s="13">
        <f>L118*P118</f>
        <v>7500</v>
      </c>
      <c r="T118" s="13"/>
      <c r="U118" s="13">
        <f>L118*T118</f>
        <v>0</v>
      </c>
      <c r="V118" s="13">
        <f>S118-U118</f>
        <v>7500</v>
      </c>
      <c r="W118" s="15">
        <f>IF(S118&gt;0, V118/S118, 0)</f>
        <v>1</v>
      </c>
      <c r="X118" s="6" t="s">
        <v>58</v>
      </c>
      <c r="Y118" s="8" t="s">
        <v>40</v>
      </c>
      <c r="Z118" s="8" t="s">
        <v>41</v>
      </c>
      <c r="AA118" s="8" t="s">
        <v>42</v>
      </c>
      <c r="AB118" s="6" t="s">
        <v>42</v>
      </c>
    </row>
    <row r="119" spans="1:28">
      <c r="A119" s="9">
        <v>112</v>
      </c>
      <c r="B119" s="9" t="s">
        <v>271</v>
      </c>
      <c r="C119" s="9" t="s">
        <v>197</v>
      </c>
      <c r="D119" s="9" t="s">
        <v>198</v>
      </c>
      <c r="E119" s="9" t="s">
        <v>33</v>
      </c>
      <c r="F119" s="7" t="s">
        <v>34</v>
      </c>
      <c r="G119" s="7" t="s">
        <v>51</v>
      </c>
      <c r="H119" s="7" t="s">
        <v>51</v>
      </c>
      <c r="I119" s="9">
        <v>158</v>
      </c>
      <c r="J119" s="9" t="s">
        <v>122</v>
      </c>
      <c r="K119" s="9" t="s">
        <v>38</v>
      </c>
      <c r="L119" s="11">
        <v>1</v>
      </c>
      <c r="M119" s="14">
        <v>8500.0</v>
      </c>
      <c r="N119" s="14"/>
      <c r="O119" s="16">
        <f>IF(M119&gt;0, N119/M119, 0)</f>
        <v>0</v>
      </c>
      <c r="P119" s="14">
        <f>M119-N119</f>
        <v>8500</v>
      </c>
      <c r="Q119" s="14">
        <f>L119*M119</f>
        <v>8500</v>
      </c>
      <c r="R119" s="14">
        <f>L119*N119</f>
        <v>0</v>
      </c>
      <c r="S119" s="14">
        <f>L119*P119</f>
        <v>8500</v>
      </c>
      <c r="T119" s="14"/>
      <c r="U119" s="14">
        <f>L119*T119</f>
        <v>0</v>
      </c>
      <c r="V119" s="14">
        <f>S119-U119</f>
        <v>8500</v>
      </c>
      <c r="W119" s="16">
        <f>IF(S119&gt;0, V119/S119, 0)</f>
        <v>1</v>
      </c>
      <c r="X119" s="7" t="s">
        <v>58</v>
      </c>
      <c r="Y119" s="9" t="s">
        <v>40</v>
      </c>
      <c r="Z119" s="9" t="s">
        <v>41</v>
      </c>
      <c r="AA119" s="9" t="s">
        <v>42</v>
      </c>
      <c r="AB119" s="7" t="s">
        <v>42</v>
      </c>
    </row>
    <row r="120" spans="1:28">
      <c r="A120" s="8">
        <v>113</v>
      </c>
      <c r="B120" s="8" t="s">
        <v>272</v>
      </c>
      <c r="C120" s="8" t="s">
        <v>197</v>
      </c>
      <c r="D120" s="8" t="s">
        <v>198</v>
      </c>
      <c r="E120" s="8" t="s">
        <v>33</v>
      </c>
      <c r="F120" s="6" t="s">
        <v>50</v>
      </c>
      <c r="G120" s="6" t="s">
        <v>63</v>
      </c>
      <c r="H120" s="6" t="s">
        <v>148</v>
      </c>
      <c r="I120" s="8">
        <v>134</v>
      </c>
      <c r="J120" s="8" t="s">
        <v>246</v>
      </c>
      <c r="K120" s="8" t="s">
        <v>38</v>
      </c>
      <c r="L120" s="10">
        <v>1</v>
      </c>
      <c r="M120" s="13">
        <v>12000.0</v>
      </c>
      <c r="N120" s="13">
        <v>1200.0</v>
      </c>
      <c r="O120" s="15">
        <f>IF(M120&gt;0, N120/M120, 0)</f>
        <v>0.1</v>
      </c>
      <c r="P120" s="13">
        <f>M120-N120</f>
        <v>10800</v>
      </c>
      <c r="Q120" s="13">
        <f>L120*M120</f>
        <v>12000</v>
      </c>
      <c r="R120" s="13">
        <f>L120*N120</f>
        <v>1200</v>
      </c>
      <c r="S120" s="13">
        <f>L120*P120</f>
        <v>10800</v>
      </c>
      <c r="T120" s="13"/>
      <c r="U120" s="13">
        <f>L120*T120</f>
        <v>0</v>
      </c>
      <c r="V120" s="13">
        <f>S120-U120</f>
        <v>10800</v>
      </c>
      <c r="W120" s="15">
        <f>IF(S120&gt;0, V120/S120, 0)</f>
        <v>1</v>
      </c>
      <c r="X120" s="6" t="s">
        <v>58</v>
      </c>
      <c r="Y120" s="8" t="s">
        <v>40</v>
      </c>
      <c r="Z120" s="8" t="s">
        <v>41</v>
      </c>
      <c r="AA120" s="8" t="s">
        <v>42</v>
      </c>
      <c r="AB120" s="6" t="s">
        <v>143</v>
      </c>
    </row>
    <row r="121" spans="1:28">
      <c r="A121" s="9">
        <v>114</v>
      </c>
      <c r="B121" s="9" t="s">
        <v>273</v>
      </c>
      <c r="C121" s="9" t="s">
        <v>197</v>
      </c>
      <c r="D121" s="9" t="s">
        <v>198</v>
      </c>
      <c r="E121" s="9" t="s">
        <v>33</v>
      </c>
      <c r="F121" s="7" t="s">
        <v>50</v>
      </c>
      <c r="G121" s="7" t="s">
        <v>35</v>
      </c>
      <c r="H121" s="7" t="s">
        <v>73</v>
      </c>
      <c r="I121" s="9">
        <v>134</v>
      </c>
      <c r="J121" s="9" t="s">
        <v>146</v>
      </c>
      <c r="K121" s="9" t="s">
        <v>53</v>
      </c>
      <c r="L121" s="11">
        <v>2</v>
      </c>
      <c r="M121" s="14">
        <v>8000.0</v>
      </c>
      <c r="N121" s="14"/>
      <c r="O121" s="16">
        <f>IF(M121&gt;0, N121/M121, 0)</f>
        <v>0</v>
      </c>
      <c r="P121" s="14">
        <f>M121-N121</f>
        <v>8000</v>
      </c>
      <c r="Q121" s="14">
        <f>L121*M121</f>
        <v>16000</v>
      </c>
      <c r="R121" s="14">
        <f>L121*N121</f>
        <v>0</v>
      </c>
      <c r="S121" s="14">
        <f>L121*P121</f>
        <v>16000</v>
      </c>
      <c r="T121" s="14"/>
      <c r="U121" s="14">
        <f>L121*T121</f>
        <v>0</v>
      </c>
      <c r="V121" s="14">
        <f>S121-U121</f>
        <v>16000</v>
      </c>
      <c r="W121" s="16">
        <f>IF(S121&gt;0, V121/S121, 0)</f>
        <v>1</v>
      </c>
      <c r="X121" s="7" t="s">
        <v>58</v>
      </c>
      <c r="Y121" s="9" t="s">
        <v>40</v>
      </c>
      <c r="Z121" s="9" t="s">
        <v>41</v>
      </c>
      <c r="AA121" s="9" t="s">
        <v>42</v>
      </c>
      <c r="AB121" s="7" t="s">
        <v>42</v>
      </c>
    </row>
    <row r="122" spans="1:28">
      <c r="A122" s="8">
        <v>115</v>
      </c>
      <c r="B122" s="8" t="s">
        <v>274</v>
      </c>
      <c r="C122" s="8" t="s">
        <v>197</v>
      </c>
      <c r="D122" s="8" t="s">
        <v>198</v>
      </c>
      <c r="E122" s="8" t="s">
        <v>33</v>
      </c>
      <c r="F122" s="6" t="s">
        <v>50</v>
      </c>
      <c r="G122" s="6" t="s">
        <v>63</v>
      </c>
      <c r="H122" s="6" t="s">
        <v>148</v>
      </c>
      <c r="I122" s="8">
        <v>134</v>
      </c>
      <c r="J122" s="8" t="s">
        <v>246</v>
      </c>
      <c r="K122" s="8" t="s">
        <v>38</v>
      </c>
      <c r="L122" s="10">
        <v>1</v>
      </c>
      <c r="M122" s="13">
        <v>12000.0</v>
      </c>
      <c r="N122" s="13"/>
      <c r="O122" s="15">
        <f>IF(M122&gt;0, N122/M122, 0)</f>
        <v>0</v>
      </c>
      <c r="P122" s="13">
        <f>M122-N122</f>
        <v>12000</v>
      </c>
      <c r="Q122" s="13">
        <f>L122*M122</f>
        <v>12000</v>
      </c>
      <c r="R122" s="13">
        <f>L122*N122</f>
        <v>0</v>
      </c>
      <c r="S122" s="13">
        <f>L122*P122</f>
        <v>12000</v>
      </c>
      <c r="T122" s="13"/>
      <c r="U122" s="13">
        <f>L122*T122</f>
        <v>0</v>
      </c>
      <c r="V122" s="13">
        <f>S122-U122</f>
        <v>12000</v>
      </c>
      <c r="W122" s="15">
        <f>IF(S122&gt;0, V122/S122, 0)</f>
        <v>1</v>
      </c>
      <c r="X122" s="6" t="s">
        <v>58</v>
      </c>
      <c r="Y122" s="8" t="s">
        <v>40</v>
      </c>
      <c r="Z122" s="8" t="s">
        <v>41</v>
      </c>
      <c r="AA122" s="8" t="s">
        <v>42</v>
      </c>
      <c r="AB122" s="6" t="s">
        <v>275</v>
      </c>
    </row>
    <row r="123" spans="1:28">
      <c r="A123" s="9">
        <v>116</v>
      </c>
      <c r="B123" s="9" t="s">
        <v>276</v>
      </c>
      <c r="C123" s="9" t="s">
        <v>197</v>
      </c>
      <c r="D123" s="9" t="s">
        <v>198</v>
      </c>
      <c r="E123" s="9" t="s">
        <v>33</v>
      </c>
      <c r="F123" s="7" t="s">
        <v>133</v>
      </c>
      <c r="G123" s="7" t="s">
        <v>158</v>
      </c>
      <c r="H123" s="7" t="s">
        <v>159</v>
      </c>
      <c r="I123" s="9" t="s">
        <v>42</v>
      </c>
      <c r="J123" s="9" t="s">
        <v>277</v>
      </c>
      <c r="K123" s="9" t="s">
        <v>38</v>
      </c>
      <c r="L123" s="11">
        <v>1</v>
      </c>
      <c r="M123" s="14">
        <v>5000.0</v>
      </c>
      <c r="N123" s="14"/>
      <c r="O123" s="16">
        <f>IF(M123&gt;0, N123/M123, 0)</f>
        <v>0</v>
      </c>
      <c r="P123" s="14">
        <f>M123-N123</f>
        <v>5000</v>
      </c>
      <c r="Q123" s="14">
        <f>L123*M123</f>
        <v>5000</v>
      </c>
      <c r="R123" s="14">
        <f>L123*N123</f>
        <v>0</v>
      </c>
      <c r="S123" s="14">
        <f>L123*P123</f>
        <v>5000</v>
      </c>
      <c r="T123" s="14"/>
      <c r="U123" s="14">
        <f>L123*T123</f>
        <v>0</v>
      </c>
      <c r="V123" s="14">
        <f>S123-U123</f>
        <v>5000</v>
      </c>
      <c r="W123" s="16">
        <f>IF(S123&gt;0, V123/S123, 0)</f>
        <v>1</v>
      </c>
      <c r="X123" s="7" t="s">
        <v>58</v>
      </c>
      <c r="Y123" s="9" t="s">
        <v>40</v>
      </c>
      <c r="Z123" s="9" t="s">
        <v>41</v>
      </c>
      <c r="AA123" s="9" t="s">
        <v>42</v>
      </c>
      <c r="AB123" s="7" t="s">
        <v>143</v>
      </c>
    </row>
    <row r="124" spans="1:28">
      <c r="A124" s="8">
        <v>117</v>
      </c>
      <c r="B124" s="8" t="s">
        <v>278</v>
      </c>
      <c r="C124" s="8" t="s">
        <v>197</v>
      </c>
      <c r="D124" s="8" t="s">
        <v>198</v>
      </c>
      <c r="E124" s="8" t="s">
        <v>33</v>
      </c>
      <c r="F124" s="6" t="s">
        <v>50</v>
      </c>
      <c r="G124" s="6" t="s">
        <v>51</v>
      </c>
      <c r="H124" s="6" t="s">
        <v>51</v>
      </c>
      <c r="I124" s="8">
        <v>140</v>
      </c>
      <c r="J124" s="8" t="s">
        <v>279</v>
      </c>
      <c r="K124" s="8" t="s">
        <v>53</v>
      </c>
      <c r="L124" s="10">
        <v>2</v>
      </c>
      <c r="M124" s="13">
        <v>8000.0</v>
      </c>
      <c r="N124" s="13"/>
      <c r="O124" s="15">
        <f>IF(M124&gt;0, N124/M124, 0)</f>
        <v>0</v>
      </c>
      <c r="P124" s="13">
        <f>M124-N124</f>
        <v>8000</v>
      </c>
      <c r="Q124" s="13">
        <f>L124*M124</f>
        <v>16000</v>
      </c>
      <c r="R124" s="13">
        <f>L124*N124</f>
        <v>0</v>
      </c>
      <c r="S124" s="13">
        <f>L124*P124</f>
        <v>16000</v>
      </c>
      <c r="T124" s="13"/>
      <c r="U124" s="13">
        <f>L124*T124</f>
        <v>0</v>
      </c>
      <c r="V124" s="13">
        <f>S124-U124</f>
        <v>16000</v>
      </c>
      <c r="W124" s="15">
        <f>IF(S124&gt;0, V124/S124, 0)</f>
        <v>1</v>
      </c>
      <c r="X124" s="6" t="s">
        <v>58</v>
      </c>
      <c r="Y124" s="8" t="s">
        <v>40</v>
      </c>
      <c r="Z124" s="8" t="s">
        <v>41</v>
      </c>
      <c r="AA124" s="8" t="s">
        <v>42</v>
      </c>
      <c r="AB124" s="6" t="s">
        <v>42</v>
      </c>
    </row>
    <row r="125" spans="1:28">
      <c r="A125" s="9">
        <v>118</v>
      </c>
      <c r="B125" s="9" t="s">
        <v>280</v>
      </c>
      <c r="C125" s="9" t="s">
        <v>197</v>
      </c>
      <c r="D125" s="9" t="s">
        <v>198</v>
      </c>
      <c r="E125" s="9" t="s">
        <v>33</v>
      </c>
      <c r="F125" s="7" t="s">
        <v>50</v>
      </c>
      <c r="G125" s="7" t="s">
        <v>56</v>
      </c>
      <c r="H125" s="7" t="s">
        <v>56</v>
      </c>
      <c r="I125" s="9">
        <v>134</v>
      </c>
      <c r="J125" s="9" t="s">
        <v>281</v>
      </c>
      <c r="K125" s="9" t="s">
        <v>38</v>
      </c>
      <c r="L125" s="11">
        <v>2</v>
      </c>
      <c r="M125" s="14">
        <v>8000.0</v>
      </c>
      <c r="N125" s="14"/>
      <c r="O125" s="16">
        <f>IF(M125&gt;0, N125/M125, 0)</f>
        <v>0</v>
      </c>
      <c r="P125" s="14">
        <f>M125-N125</f>
        <v>8000</v>
      </c>
      <c r="Q125" s="14">
        <f>L125*M125</f>
        <v>16000</v>
      </c>
      <c r="R125" s="14">
        <f>L125*N125</f>
        <v>0</v>
      </c>
      <c r="S125" s="14">
        <f>L125*P125</f>
        <v>16000</v>
      </c>
      <c r="T125" s="14"/>
      <c r="U125" s="14">
        <f>L125*T125</f>
        <v>0</v>
      </c>
      <c r="V125" s="14">
        <f>S125-U125</f>
        <v>16000</v>
      </c>
      <c r="W125" s="16">
        <f>IF(S125&gt;0, V125/S125, 0)</f>
        <v>1</v>
      </c>
      <c r="X125" s="7" t="s">
        <v>58</v>
      </c>
      <c r="Y125" s="9" t="s">
        <v>40</v>
      </c>
      <c r="Z125" s="9" t="s">
        <v>41</v>
      </c>
      <c r="AA125" s="9" t="s">
        <v>42</v>
      </c>
      <c r="AB125" s="7" t="s">
        <v>42</v>
      </c>
    </row>
    <row r="126" spans="1:28">
      <c r="A126" s="8">
        <v>119</v>
      </c>
      <c r="B126" s="8" t="s">
        <v>282</v>
      </c>
      <c r="C126" s="8" t="s">
        <v>197</v>
      </c>
      <c r="D126" s="8" t="s">
        <v>198</v>
      </c>
      <c r="E126" s="8" t="s">
        <v>33</v>
      </c>
      <c r="F126" s="6" t="s">
        <v>34</v>
      </c>
      <c r="G126" s="6" t="s">
        <v>69</v>
      </c>
      <c r="H126" s="6" t="s">
        <v>283</v>
      </c>
      <c r="I126" s="8">
        <v>140</v>
      </c>
      <c r="J126" s="8" t="s">
        <v>284</v>
      </c>
      <c r="K126" s="8" t="s">
        <v>38</v>
      </c>
      <c r="L126" s="10">
        <v>1</v>
      </c>
      <c r="M126" s="13">
        <v>18000.0</v>
      </c>
      <c r="N126" s="13"/>
      <c r="O126" s="15">
        <f>IF(M126&gt;0, N126/M126, 0)</f>
        <v>0</v>
      </c>
      <c r="P126" s="13">
        <f>M126-N126</f>
        <v>18000</v>
      </c>
      <c r="Q126" s="13">
        <f>L126*M126</f>
        <v>18000</v>
      </c>
      <c r="R126" s="13">
        <f>L126*N126</f>
        <v>0</v>
      </c>
      <c r="S126" s="13">
        <f>L126*P126</f>
        <v>18000</v>
      </c>
      <c r="T126" s="13"/>
      <c r="U126" s="13">
        <f>L126*T126</f>
        <v>0</v>
      </c>
      <c r="V126" s="13">
        <f>S126-U126</f>
        <v>18000</v>
      </c>
      <c r="W126" s="15">
        <f>IF(S126&gt;0, V126/S126, 0)</f>
        <v>1</v>
      </c>
      <c r="X126" s="6" t="s">
        <v>58</v>
      </c>
      <c r="Y126" s="8" t="s">
        <v>40</v>
      </c>
      <c r="Z126" s="8" t="s">
        <v>41</v>
      </c>
      <c r="AA126" s="8" t="s">
        <v>42</v>
      </c>
      <c r="AB126" s="6" t="s">
        <v>143</v>
      </c>
    </row>
    <row r="127" spans="1:28">
      <c r="A127" s="9">
        <v>120</v>
      </c>
      <c r="B127" s="9" t="s">
        <v>285</v>
      </c>
      <c r="C127" s="9" t="s">
        <v>197</v>
      </c>
      <c r="D127" s="9" t="s">
        <v>198</v>
      </c>
      <c r="E127" s="9" t="s">
        <v>33</v>
      </c>
      <c r="F127" s="7" t="s">
        <v>34</v>
      </c>
      <c r="G127" s="7" t="s">
        <v>51</v>
      </c>
      <c r="H127" s="7" t="s">
        <v>51</v>
      </c>
      <c r="I127" s="9">
        <v>158</v>
      </c>
      <c r="J127" s="9" t="s">
        <v>122</v>
      </c>
      <c r="K127" s="9" t="s">
        <v>38</v>
      </c>
      <c r="L127" s="11">
        <v>1</v>
      </c>
      <c r="M127" s="14">
        <v>8500.0</v>
      </c>
      <c r="N127" s="14"/>
      <c r="O127" s="16">
        <f>IF(M127&gt;0, N127/M127, 0)</f>
        <v>0</v>
      </c>
      <c r="P127" s="14">
        <f>M127-N127</f>
        <v>8500</v>
      </c>
      <c r="Q127" s="14">
        <f>L127*M127</f>
        <v>8500</v>
      </c>
      <c r="R127" s="14">
        <f>L127*N127</f>
        <v>0</v>
      </c>
      <c r="S127" s="14">
        <f>L127*P127</f>
        <v>8500</v>
      </c>
      <c r="T127" s="14"/>
      <c r="U127" s="14">
        <f>L127*T127</f>
        <v>0</v>
      </c>
      <c r="V127" s="14">
        <f>S127-U127</f>
        <v>8500</v>
      </c>
      <c r="W127" s="16">
        <f>IF(S127&gt;0, V127/S127, 0)</f>
        <v>1</v>
      </c>
      <c r="X127" s="7" t="s">
        <v>58</v>
      </c>
      <c r="Y127" s="9" t="s">
        <v>40</v>
      </c>
      <c r="Z127" s="9" t="s">
        <v>41</v>
      </c>
      <c r="AA127" s="9" t="s">
        <v>42</v>
      </c>
      <c r="AB127" s="7" t="s">
        <v>42</v>
      </c>
    </row>
    <row r="128" spans="1:28">
      <c r="A128" s="8">
        <v>121</v>
      </c>
      <c r="B128" s="8" t="s">
        <v>286</v>
      </c>
      <c r="C128" s="8" t="s">
        <v>197</v>
      </c>
      <c r="D128" s="8" t="s">
        <v>198</v>
      </c>
      <c r="E128" s="8" t="s">
        <v>33</v>
      </c>
      <c r="F128" s="6" t="s">
        <v>34</v>
      </c>
      <c r="G128" s="6" t="s">
        <v>35</v>
      </c>
      <c r="H128" s="6" t="s">
        <v>36</v>
      </c>
      <c r="I128" s="8">
        <v>170</v>
      </c>
      <c r="J128" s="8" t="s">
        <v>142</v>
      </c>
      <c r="K128" s="8" t="s">
        <v>38</v>
      </c>
      <c r="L128" s="10">
        <v>1</v>
      </c>
      <c r="M128" s="13">
        <v>8000.0</v>
      </c>
      <c r="N128" s="13"/>
      <c r="O128" s="15">
        <f>IF(M128&gt;0, N128/M128, 0)</f>
        <v>0</v>
      </c>
      <c r="P128" s="13">
        <f>M128-N128</f>
        <v>8000</v>
      </c>
      <c r="Q128" s="13">
        <f>L128*M128</f>
        <v>8000</v>
      </c>
      <c r="R128" s="13">
        <f>L128*N128</f>
        <v>0</v>
      </c>
      <c r="S128" s="13">
        <f>L128*P128</f>
        <v>8000</v>
      </c>
      <c r="T128" s="13"/>
      <c r="U128" s="13">
        <f>L128*T128</f>
        <v>0</v>
      </c>
      <c r="V128" s="13">
        <f>S128-U128</f>
        <v>8000</v>
      </c>
      <c r="W128" s="15">
        <f>IF(S128&gt;0, V128/S128, 0)</f>
        <v>1</v>
      </c>
      <c r="X128" s="6" t="s">
        <v>58</v>
      </c>
      <c r="Y128" s="8" t="s">
        <v>40</v>
      </c>
      <c r="Z128" s="8" t="s">
        <v>41</v>
      </c>
      <c r="AA128" s="8" t="s">
        <v>42</v>
      </c>
      <c r="AB128" s="6" t="s">
        <v>42</v>
      </c>
    </row>
    <row r="129" spans="1:28">
      <c r="A129" s="9">
        <v>122</v>
      </c>
      <c r="B129" s="9" t="s">
        <v>287</v>
      </c>
      <c r="C129" s="9" t="s">
        <v>197</v>
      </c>
      <c r="D129" s="9" t="s">
        <v>198</v>
      </c>
      <c r="E129" s="9" t="s">
        <v>33</v>
      </c>
      <c r="F129" s="7" t="s">
        <v>34</v>
      </c>
      <c r="G129" s="7" t="s">
        <v>51</v>
      </c>
      <c r="H129" s="7" t="s">
        <v>51</v>
      </c>
      <c r="I129" s="9">
        <v>164</v>
      </c>
      <c r="J129" s="9" t="s">
        <v>61</v>
      </c>
      <c r="K129" s="9" t="s">
        <v>38</v>
      </c>
      <c r="L129" s="11">
        <v>1</v>
      </c>
      <c r="M129" s="14">
        <v>8500.0</v>
      </c>
      <c r="N129" s="14"/>
      <c r="O129" s="16">
        <f>IF(M129&gt;0, N129/M129, 0)</f>
        <v>0</v>
      </c>
      <c r="P129" s="14">
        <f>M129-N129</f>
        <v>8500</v>
      </c>
      <c r="Q129" s="14">
        <f>L129*M129</f>
        <v>8500</v>
      </c>
      <c r="R129" s="14">
        <f>L129*N129</f>
        <v>0</v>
      </c>
      <c r="S129" s="14">
        <f>L129*P129</f>
        <v>8500</v>
      </c>
      <c r="T129" s="14"/>
      <c r="U129" s="14">
        <f>L129*T129</f>
        <v>0</v>
      </c>
      <c r="V129" s="14">
        <f>S129-U129</f>
        <v>8500</v>
      </c>
      <c r="W129" s="16">
        <f>IF(S129&gt;0, V129/S129, 0)</f>
        <v>1</v>
      </c>
      <c r="X129" s="7" t="s">
        <v>58</v>
      </c>
      <c r="Y129" s="9" t="s">
        <v>40</v>
      </c>
      <c r="Z129" s="9" t="s">
        <v>41</v>
      </c>
      <c r="AA129" s="9" t="s">
        <v>42</v>
      </c>
      <c r="AB129" s="7" t="s">
        <v>42</v>
      </c>
    </row>
    <row r="130" spans="1:28">
      <c r="A130" s="8">
        <v>123</v>
      </c>
      <c r="B130" s="8" t="s">
        <v>288</v>
      </c>
      <c r="C130" s="8" t="s">
        <v>197</v>
      </c>
      <c r="D130" s="8" t="s">
        <v>198</v>
      </c>
      <c r="E130" s="8" t="s">
        <v>33</v>
      </c>
      <c r="F130" s="6" t="s">
        <v>50</v>
      </c>
      <c r="G130" s="6" t="s">
        <v>35</v>
      </c>
      <c r="H130" s="6" t="s">
        <v>36</v>
      </c>
      <c r="I130" s="8">
        <v>140</v>
      </c>
      <c r="J130" s="8" t="s">
        <v>223</v>
      </c>
      <c r="K130" s="8" t="s">
        <v>53</v>
      </c>
      <c r="L130" s="10">
        <v>3</v>
      </c>
      <c r="M130" s="13">
        <v>7000.0</v>
      </c>
      <c r="N130" s="13"/>
      <c r="O130" s="15">
        <f>IF(M130&gt;0, N130/M130, 0)</f>
        <v>0</v>
      </c>
      <c r="P130" s="13">
        <f>M130-N130</f>
        <v>7000</v>
      </c>
      <c r="Q130" s="13">
        <f>L130*M130</f>
        <v>21000</v>
      </c>
      <c r="R130" s="13">
        <f>L130*N130</f>
        <v>0</v>
      </c>
      <c r="S130" s="13">
        <f>L130*P130</f>
        <v>21000</v>
      </c>
      <c r="T130" s="13"/>
      <c r="U130" s="13">
        <f>L130*T130</f>
        <v>0</v>
      </c>
      <c r="V130" s="13">
        <f>S130-U130</f>
        <v>21000</v>
      </c>
      <c r="W130" s="15">
        <f>IF(S130&gt;0, V130/S130, 0)</f>
        <v>1</v>
      </c>
      <c r="X130" s="6" t="s">
        <v>58</v>
      </c>
      <c r="Y130" s="8" t="s">
        <v>40</v>
      </c>
      <c r="Z130" s="8" t="s">
        <v>41</v>
      </c>
      <c r="AA130" s="8" t="s">
        <v>42</v>
      </c>
      <c r="AB130" s="6" t="s">
        <v>42</v>
      </c>
    </row>
    <row r="131" spans="1:28">
      <c r="A131" s="9">
        <v>124</v>
      </c>
      <c r="B131" s="9" t="s">
        <v>289</v>
      </c>
      <c r="C131" s="9" t="s">
        <v>197</v>
      </c>
      <c r="D131" s="9" t="s">
        <v>198</v>
      </c>
      <c r="E131" s="9" t="s">
        <v>33</v>
      </c>
      <c r="F131" s="7" t="s">
        <v>50</v>
      </c>
      <c r="G131" s="7" t="s">
        <v>45</v>
      </c>
      <c r="H131" s="7" t="s">
        <v>46</v>
      </c>
      <c r="I131" s="9">
        <v>128</v>
      </c>
      <c r="J131" s="9" t="s">
        <v>183</v>
      </c>
      <c r="K131" s="9" t="s">
        <v>38</v>
      </c>
      <c r="L131" s="11">
        <v>1</v>
      </c>
      <c r="M131" s="14">
        <v>18000.0</v>
      </c>
      <c r="N131" s="14"/>
      <c r="O131" s="16">
        <f>IF(M131&gt;0, N131/M131, 0)</f>
        <v>0</v>
      </c>
      <c r="P131" s="14">
        <f>M131-N131</f>
        <v>18000</v>
      </c>
      <c r="Q131" s="14">
        <f>L131*M131</f>
        <v>18000</v>
      </c>
      <c r="R131" s="14">
        <f>L131*N131</f>
        <v>0</v>
      </c>
      <c r="S131" s="14">
        <f>L131*P131</f>
        <v>18000</v>
      </c>
      <c r="T131" s="14"/>
      <c r="U131" s="14">
        <f>L131*T131</f>
        <v>0</v>
      </c>
      <c r="V131" s="14">
        <f>S131-U131</f>
        <v>18000</v>
      </c>
      <c r="W131" s="16">
        <f>IF(S131&gt;0, V131/S131, 0)</f>
        <v>1</v>
      </c>
      <c r="X131" s="7" t="s">
        <v>58</v>
      </c>
      <c r="Y131" s="9" t="s">
        <v>40</v>
      </c>
      <c r="Z131" s="9" t="s">
        <v>41</v>
      </c>
      <c r="AA131" s="9" t="s">
        <v>42</v>
      </c>
      <c r="AB131" s="7" t="s">
        <v>42</v>
      </c>
    </row>
    <row r="132" spans="1:28">
      <c r="A132" s="8">
        <v>125</v>
      </c>
      <c r="B132" s="8" t="s">
        <v>290</v>
      </c>
      <c r="C132" s="8" t="s">
        <v>197</v>
      </c>
      <c r="D132" s="8" t="s">
        <v>198</v>
      </c>
      <c r="E132" s="8" t="s">
        <v>68</v>
      </c>
      <c r="F132" s="6" t="s">
        <v>34</v>
      </c>
      <c r="G132" s="6" t="s">
        <v>35</v>
      </c>
      <c r="H132" s="6" t="s">
        <v>73</v>
      </c>
      <c r="I132" s="8">
        <v>158</v>
      </c>
      <c r="J132" s="8" t="s">
        <v>291</v>
      </c>
      <c r="K132" s="8" t="s">
        <v>38</v>
      </c>
      <c r="L132" s="10">
        <v>2</v>
      </c>
      <c r="M132" s="13">
        <v>11000.0</v>
      </c>
      <c r="N132" s="13"/>
      <c r="O132" s="15">
        <f>IF(M132&gt;0, N132/M132, 0)</f>
        <v>0</v>
      </c>
      <c r="P132" s="13">
        <f>M132-N132</f>
        <v>11000</v>
      </c>
      <c r="Q132" s="13">
        <f>L132*M132</f>
        <v>22000</v>
      </c>
      <c r="R132" s="13">
        <f>L132*N132</f>
        <v>0</v>
      </c>
      <c r="S132" s="13">
        <f>L132*P132</f>
        <v>22000</v>
      </c>
      <c r="T132" s="13"/>
      <c r="U132" s="13">
        <f>L132*T132</f>
        <v>0</v>
      </c>
      <c r="V132" s="13">
        <f>S132-U132</f>
        <v>22000</v>
      </c>
      <c r="W132" s="15">
        <f>IF(S132&gt;0, V132/S132, 0)</f>
        <v>1</v>
      </c>
      <c r="X132" s="6" t="s">
        <v>58</v>
      </c>
      <c r="Y132" s="8" t="s">
        <v>40</v>
      </c>
      <c r="Z132" s="8" t="s">
        <v>71</v>
      </c>
      <c r="AA132" s="8" t="s">
        <v>42</v>
      </c>
      <c r="AB132" s="6" t="s">
        <v>42</v>
      </c>
    </row>
    <row r="133" spans="1:28">
      <c r="A133" s="9">
        <v>126</v>
      </c>
      <c r="B133" s="9" t="s">
        <v>292</v>
      </c>
      <c r="C133" s="9" t="s">
        <v>197</v>
      </c>
      <c r="D133" s="9" t="s">
        <v>198</v>
      </c>
      <c r="E133" s="9" t="s">
        <v>33</v>
      </c>
      <c r="F133" s="7" t="s">
        <v>34</v>
      </c>
      <c r="G133" s="7" t="s">
        <v>69</v>
      </c>
      <c r="H133" s="7" t="s">
        <v>69</v>
      </c>
      <c r="I133" s="9">
        <v>158</v>
      </c>
      <c r="J133" s="9" t="s">
        <v>260</v>
      </c>
      <c r="K133" s="9" t="s">
        <v>38</v>
      </c>
      <c r="L133" s="11">
        <v>1</v>
      </c>
      <c r="M133" s="14">
        <v>18000.0</v>
      </c>
      <c r="N133" s="14"/>
      <c r="O133" s="16">
        <f>IF(M133&gt;0, N133/M133, 0)</f>
        <v>0</v>
      </c>
      <c r="P133" s="14">
        <f>M133-N133</f>
        <v>18000</v>
      </c>
      <c r="Q133" s="14">
        <f>L133*M133</f>
        <v>18000</v>
      </c>
      <c r="R133" s="14">
        <f>L133*N133</f>
        <v>0</v>
      </c>
      <c r="S133" s="14">
        <f>L133*P133</f>
        <v>18000</v>
      </c>
      <c r="T133" s="14"/>
      <c r="U133" s="14">
        <f>L133*T133</f>
        <v>0</v>
      </c>
      <c r="V133" s="14">
        <f>S133-U133</f>
        <v>18000</v>
      </c>
      <c r="W133" s="16">
        <f>IF(S133&gt;0, V133/S133, 0)</f>
        <v>1</v>
      </c>
      <c r="X133" s="7" t="s">
        <v>58</v>
      </c>
      <c r="Y133" s="9" t="s">
        <v>40</v>
      </c>
      <c r="Z133" s="9" t="s">
        <v>41</v>
      </c>
      <c r="AA133" s="9" t="s">
        <v>42</v>
      </c>
      <c r="AB133" s="7" t="s">
        <v>143</v>
      </c>
    </row>
    <row r="134" spans="1:28">
      <c r="A134" s="8">
        <v>127</v>
      </c>
      <c r="B134" s="8" t="s">
        <v>293</v>
      </c>
      <c r="C134" s="8" t="s">
        <v>197</v>
      </c>
      <c r="D134" s="8" t="s">
        <v>198</v>
      </c>
      <c r="E134" s="8" t="s">
        <v>33</v>
      </c>
      <c r="F134" s="6" t="s">
        <v>34</v>
      </c>
      <c r="G134" s="6" t="s">
        <v>158</v>
      </c>
      <c r="H134" s="6" t="s">
        <v>159</v>
      </c>
      <c r="I134" s="8" t="s">
        <v>42</v>
      </c>
      <c r="J134" s="8" t="s">
        <v>294</v>
      </c>
      <c r="K134" s="8" t="s">
        <v>38</v>
      </c>
      <c r="L134" s="10">
        <v>1</v>
      </c>
      <c r="M134" s="13">
        <v>5000.0</v>
      </c>
      <c r="N134" s="13"/>
      <c r="O134" s="15">
        <f>IF(M134&gt;0, N134/M134, 0)</f>
        <v>0</v>
      </c>
      <c r="P134" s="13">
        <f>M134-N134</f>
        <v>5000</v>
      </c>
      <c r="Q134" s="13">
        <f>L134*M134</f>
        <v>5000</v>
      </c>
      <c r="R134" s="13">
        <f>L134*N134</f>
        <v>0</v>
      </c>
      <c r="S134" s="13">
        <f>L134*P134</f>
        <v>5000</v>
      </c>
      <c r="T134" s="13"/>
      <c r="U134" s="13">
        <f>L134*T134</f>
        <v>0</v>
      </c>
      <c r="V134" s="13">
        <f>S134-U134</f>
        <v>5000</v>
      </c>
      <c r="W134" s="15">
        <f>IF(S134&gt;0, V134/S134, 0)</f>
        <v>1</v>
      </c>
      <c r="X134" s="6" t="s">
        <v>58</v>
      </c>
      <c r="Y134" s="8" t="s">
        <v>40</v>
      </c>
      <c r="Z134" s="8" t="s">
        <v>41</v>
      </c>
      <c r="AA134" s="8" t="s">
        <v>42</v>
      </c>
      <c r="AB134" s="6" t="s">
        <v>143</v>
      </c>
    </row>
    <row r="135" spans="1:28">
      <c r="A135" s="9">
        <v>128</v>
      </c>
      <c r="B135" s="9" t="s">
        <v>295</v>
      </c>
      <c r="C135" s="9" t="s">
        <v>197</v>
      </c>
      <c r="D135" s="9" t="s">
        <v>198</v>
      </c>
      <c r="E135" s="9" t="s">
        <v>68</v>
      </c>
      <c r="F135" s="7" t="s">
        <v>34</v>
      </c>
      <c r="G135" s="7" t="s">
        <v>69</v>
      </c>
      <c r="H135" s="7" t="s">
        <v>69</v>
      </c>
      <c r="I135" s="9">
        <v>164</v>
      </c>
      <c r="J135" s="9" t="s">
        <v>70</v>
      </c>
      <c r="K135" s="9" t="s">
        <v>38</v>
      </c>
      <c r="L135" s="11">
        <v>1</v>
      </c>
      <c r="M135" s="14">
        <v>18000.0</v>
      </c>
      <c r="N135" s="14"/>
      <c r="O135" s="16">
        <f>IF(M135&gt;0, N135/M135, 0)</f>
        <v>0</v>
      </c>
      <c r="P135" s="14">
        <f>M135-N135</f>
        <v>18000</v>
      </c>
      <c r="Q135" s="14">
        <f>L135*M135</f>
        <v>18000</v>
      </c>
      <c r="R135" s="14">
        <f>L135*N135</f>
        <v>0</v>
      </c>
      <c r="S135" s="14">
        <f>L135*P135</f>
        <v>18000</v>
      </c>
      <c r="T135" s="14"/>
      <c r="U135" s="14">
        <f>L135*T135</f>
        <v>0</v>
      </c>
      <c r="V135" s="14">
        <f>S135-U135</f>
        <v>18000</v>
      </c>
      <c r="W135" s="16">
        <f>IF(S135&gt;0, V135/S135, 0)</f>
        <v>1</v>
      </c>
      <c r="X135" s="7" t="s">
        <v>58</v>
      </c>
      <c r="Y135" s="9" t="s">
        <v>40</v>
      </c>
      <c r="Z135" s="9" t="s">
        <v>71</v>
      </c>
      <c r="AA135" s="9" t="s">
        <v>42</v>
      </c>
      <c r="AB135" s="7" t="s">
        <v>42</v>
      </c>
    </row>
    <row r="136" spans="1:28">
      <c r="A136" s="8">
        <v>129</v>
      </c>
      <c r="B136" s="8" t="s">
        <v>296</v>
      </c>
      <c r="C136" s="8" t="s">
        <v>197</v>
      </c>
      <c r="D136" s="8" t="s">
        <v>198</v>
      </c>
      <c r="E136" s="8" t="s">
        <v>68</v>
      </c>
      <c r="F136" s="6" t="s">
        <v>34</v>
      </c>
      <c r="G136" s="6" t="s">
        <v>35</v>
      </c>
      <c r="H136" s="6" t="s">
        <v>36</v>
      </c>
      <c r="I136" s="8">
        <v>158</v>
      </c>
      <c r="J136" s="8" t="s">
        <v>37</v>
      </c>
      <c r="K136" s="8" t="s">
        <v>38</v>
      </c>
      <c r="L136" s="10">
        <v>1</v>
      </c>
      <c r="M136" s="13">
        <v>10000.0</v>
      </c>
      <c r="N136" s="13"/>
      <c r="O136" s="15">
        <f>IF(M136&gt;0, N136/M136, 0)</f>
        <v>0</v>
      </c>
      <c r="P136" s="13">
        <f>M136-N136</f>
        <v>10000</v>
      </c>
      <c r="Q136" s="13">
        <f>L136*M136</f>
        <v>10000</v>
      </c>
      <c r="R136" s="13">
        <f>L136*N136</f>
        <v>0</v>
      </c>
      <c r="S136" s="13">
        <f>L136*P136</f>
        <v>10000</v>
      </c>
      <c r="T136" s="13"/>
      <c r="U136" s="13">
        <f>L136*T136</f>
        <v>0</v>
      </c>
      <c r="V136" s="13">
        <f>S136-U136</f>
        <v>10000</v>
      </c>
      <c r="W136" s="15">
        <f>IF(S136&gt;0, V136/S136, 0)</f>
        <v>1</v>
      </c>
      <c r="X136" s="6" t="s">
        <v>58</v>
      </c>
      <c r="Y136" s="8" t="s">
        <v>40</v>
      </c>
      <c r="Z136" s="8" t="s">
        <v>71</v>
      </c>
      <c r="AA136" s="8" t="s">
        <v>42</v>
      </c>
      <c r="AB136" s="6" t="s">
        <v>42</v>
      </c>
    </row>
    <row r="137" spans="1:28">
      <c r="A137" s="9">
        <v>130</v>
      </c>
      <c r="B137" s="9" t="s">
        <v>297</v>
      </c>
      <c r="C137" s="9" t="s">
        <v>197</v>
      </c>
      <c r="D137" s="9" t="s">
        <v>198</v>
      </c>
      <c r="E137" s="9" t="s">
        <v>33</v>
      </c>
      <c r="F137" s="7" t="s">
        <v>34</v>
      </c>
      <c r="G137" s="7" t="s">
        <v>56</v>
      </c>
      <c r="H137" s="7" t="s">
        <v>56</v>
      </c>
      <c r="I137" s="9">
        <v>158</v>
      </c>
      <c r="J137" s="9" t="s">
        <v>128</v>
      </c>
      <c r="K137" s="9" t="s">
        <v>38</v>
      </c>
      <c r="L137" s="11">
        <v>1</v>
      </c>
      <c r="M137" s="14">
        <v>9000.0</v>
      </c>
      <c r="N137" s="14"/>
      <c r="O137" s="16">
        <f>IF(M137&gt;0, N137/M137, 0)</f>
        <v>0</v>
      </c>
      <c r="P137" s="14">
        <f>M137-N137</f>
        <v>9000</v>
      </c>
      <c r="Q137" s="14">
        <f>L137*M137</f>
        <v>9000</v>
      </c>
      <c r="R137" s="14">
        <f>L137*N137</f>
        <v>0</v>
      </c>
      <c r="S137" s="14">
        <f>L137*P137</f>
        <v>9000</v>
      </c>
      <c r="T137" s="14"/>
      <c r="U137" s="14">
        <f>L137*T137</f>
        <v>0</v>
      </c>
      <c r="V137" s="14">
        <f>S137-U137</f>
        <v>9000</v>
      </c>
      <c r="W137" s="16">
        <f>IF(S137&gt;0, V137/S137, 0)</f>
        <v>1</v>
      </c>
      <c r="X137" s="7" t="s">
        <v>58</v>
      </c>
      <c r="Y137" s="9" t="s">
        <v>40</v>
      </c>
      <c r="Z137" s="9" t="s">
        <v>41</v>
      </c>
      <c r="AA137" s="9" t="s">
        <v>42</v>
      </c>
      <c r="AB137" s="7" t="s">
        <v>42</v>
      </c>
    </row>
    <row r="138" spans="1:28">
      <c r="A138" s="8">
        <v>131</v>
      </c>
      <c r="B138" s="8" t="s">
        <v>298</v>
      </c>
      <c r="C138" s="8" t="s">
        <v>197</v>
      </c>
      <c r="D138" s="8" t="s">
        <v>198</v>
      </c>
      <c r="E138" s="8" t="s">
        <v>33</v>
      </c>
      <c r="F138" s="6" t="s">
        <v>34</v>
      </c>
      <c r="G138" s="6" t="s">
        <v>51</v>
      </c>
      <c r="H138" s="6" t="s">
        <v>51</v>
      </c>
      <c r="I138" s="8">
        <v>164</v>
      </c>
      <c r="J138" s="8" t="s">
        <v>61</v>
      </c>
      <c r="K138" s="8" t="s">
        <v>38</v>
      </c>
      <c r="L138" s="10">
        <v>1</v>
      </c>
      <c r="M138" s="13">
        <v>10000.0</v>
      </c>
      <c r="N138" s="13"/>
      <c r="O138" s="15">
        <f>IF(M138&gt;0, N138/M138, 0)</f>
        <v>0</v>
      </c>
      <c r="P138" s="13">
        <f>M138-N138</f>
        <v>10000</v>
      </c>
      <c r="Q138" s="13">
        <f>L138*M138</f>
        <v>10000</v>
      </c>
      <c r="R138" s="13">
        <f>L138*N138</f>
        <v>0</v>
      </c>
      <c r="S138" s="13">
        <f>L138*P138</f>
        <v>10000</v>
      </c>
      <c r="T138" s="13"/>
      <c r="U138" s="13">
        <f>L138*T138</f>
        <v>0</v>
      </c>
      <c r="V138" s="13">
        <f>S138-U138</f>
        <v>10000</v>
      </c>
      <c r="W138" s="15">
        <f>IF(S138&gt;0, V138/S138, 0)</f>
        <v>1</v>
      </c>
      <c r="X138" s="6" t="s">
        <v>58</v>
      </c>
      <c r="Y138" s="8" t="s">
        <v>40</v>
      </c>
      <c r="Z138" s="8" t="s">
        <v>41</v>
      </c>
      <c r="AA138" s="8" t="s">
        <v>42</v>
      </c>
      <c r="AB138" s="6" t="s">
        <v>42</v>
      </c>
    </row>
    <row r="139" spans="1:28">
      <c r="A139" s="9">
        <v>132</v>
      </c>
      <c r="B139" s="9" t="s">
        <v>299</v>
      </c>
      <c r="C139" s="9" t="s">
        <v>300</v>
      </c>
      <c r="D139" s="9" t="s">
        <v>198</v>
      </c>
      <c r="E139" s="9" t="s">
        <v>33</v>
      </c>
      <c r="F139" s="7" t="s">
        <v>34</v>
      </c>
      <c r="G139" s="7" t="s">
        <v>69</v>
      </c>
      <c r="H139" s="7" t="s">
        <v>69</v>
      </c>
      <c r="I139" s="9">
        <v>152</v>
      </c>
      <c r="J139" s="9" t="s">
        <v>207</v>
      </c>
      <c r="K139" s="9" t="s">
        <v>38</v>
      </c>
      <c r="L139" s="11">
        <v>1</v>
      </c>
      <c r="M139" s="14">
        <v>16500.0</v>
      </c>
      <c r="N139" s="14"/>
      <c r="O139" s="16">
        <f>IF(M139&gt;0, N139/M139, 0)</f>
        <v>0</v>
      </c>
      <c r="P139" s="14">
        <f>M139-N139</f>
        <v>16500</v>
      </c>
      <c r="Q139" s="14">
        <f>L139*M139</f>
        <v>16500</v>
      </c>
      <c r="R139" s="14">
        <f>L139*N139</f>
        <v>0</v>
      </c>
      <c r="S139" s="14">
        <f>L139*P139</f>
        <v>16500</v>
      </c>
      <c r="T139" s="14"/>
      <c r="U139" s="14">
        <f>L139*T139</f>
        <v>0</v>
      </c>
      <c r="V139" s="14">
        <f>S139-U139</f>
        <v>16500</v>
      </c>
      <c r="W139" s="16">
        <f>IF(S139&gt;0, V139/S139, 0)</f>
        <v>1</v>
      </c>
      <c r="X139" s="7" t="s">
        <v>58</v>
      </c>
      <c r="Y139" s="9" t="s">
        <v>40</v>
      </c>
      <c r="Z139" s="9" t="s">
        <v>41</v>
      </c>
      <c r="AA139" s="9" t="s">
        <v>42</v>
      </c>
      <c r="AB139" s="7" t="s">
        <v>42</v>
      </c>
    </row>
    <row r="140" spans="1:28">
      <c r="A140" s="8">
        <v>133</v>
      </c>
      <c r="B140" s="8" t="s">
        <v>301</v>
      </c>
      <c r="C140" s="8" t="s">
        <v>300</v>
      </c>
      <c r="D140" s="8" t="s">
        <v>198</v>
      </c>
      <c r="E140" s="8" t="s">
        <v>33</v>
      </c>
      <c r="F140" s="6" t="s">
        <v>34</v>
      </c>
      <c r="G140" s="6" t="s">
        <v>51</v>
      </c>
      <c r="H140" s="6" t="s">
        <v>51</v>
      </c>
      <c r="I140" s="8">
        <v>152</v>
      </c>
      <c r="J140" s="8" t="s">
        <v>302</v>
      </c>
      <c r="K140" s="8" t="s">
        <v>38</v>
      </c>
      <c r="L140" s="10">
        <v>1</v>
      </c>
      <c r="M140" s="13">
        <v>8500.0</v>
      </c>
      <c r="N140" s="13"/>
      <c r="O140" s="15">
        <f>IF(M140&gt;0, N140/M140, 0)</f>
        <v>0</v>
      </c>
      <c r="P140" s="13">
        <f>M140-N140</f>
        <v>8500</v>
      </c>
      <c r="Q140" s="13">
        <f>L140*M140</f>
        <v>8500</v>
      </c>
      <c r="R140" s="13">
        <f>L140*N140</f>
        <v>0</v>
      </c>
      <c r="S140" s="13">
        <f>L140*P140</f>
        <v>8500</v>
      </c>
      <c r="T140" s="13"/>
      <c r="U140" s="13">
        <f>L140*T140</f>
        <v>0</v>
      </c>
      <c r="V140" s="13">
        <f>S140-U140</f>
        <v>8500</v>
      </c>
      <c r="W140" s="15">
        <f>IF(S140&gt;0, V140/S140, 0)</f>
        <v>1</v>
      </c>
      <c r="X140" s="6" t="s">
        <v>58</v>
      </c>
      <c r="Y140" s="8" t="s">
        <v>40</v>
      </c>
      <c r="Z140" s="8" t="s">
        <v>41</v>
      </c>
      <c r="AA140" s="8" t="s">
        <v>42</v>
      </c>
      <c r="AB140" s="6" t="s">
        <v>42</v>
      </c>
    </row>
    <row r="141" spans="1:28">
      <c r="A141" s="9">
        <v>134</v>
      </c>
      <c r="B141" s="9" t="s">
        <v>303</v>
      </c>
      <c r="C141" s="9" t="s">
        <v>300</v>
      </c>
      <c r="D141" s="9" t="s">
        <v>198</v>
      </c>
      <c r="E141" s="9" t="s">
        <v>33</v>
      </c>
      <c r="F141" s="7" t="s">
        <v>34</v>
      </c>
      <c r="G141" s="7" t="s">
        <v>35</v>
      </c>
      <c r="H141" s="7" t="s">
        <v>36</v>
      </c>
      <c r="I141" s="9">
        <v>170</v>
      </c>
      <c r="J141" s="9" t="s">
        <v>142</v>
      </c>
      <c r="K141" s="9" t="s">
        <v>38</v>
      </c>
      <c r="L141" s="11">
        <v>1</v>
      </c>
      <c r="M141" s="14">
        <v>8000.0</v>
      </c>
      <c r="N141" s="14"/>
      <c r="O141" s="16">
        <f>IF(M141&gt;0, N141/M141, 0)</f>
        <v>0</v>
      </c>
      <c r="P141" s="14">
        <f>M141-N141</f>
        <v>8000</v>
      </c>
      <c r="Q141" s="14">
        <f>L141*M141</f>
        <v>8000</v>
      </c>
      <c r="R141" s="14">
        <f>L141*N141</f>
        <v>0</v>
      </c>
      <c r="S141" s="14">
        <f>L141*P141</f>
        <v>8000</v>
      </c>
      <c r="T141" s="14"/>
      <c r="U141" s="14">
        <f>L141*T141</f>
        <v>0</v>
      </c>
      <c r="V141" s="14">
        <f>S141-U141</f>
        <v>8000</v>
      </c>
      <c r="W141" s="16">
        <f>IF(S141&gt;0, V141/S141, 0)</f>
        <v>1</v>
      </c>
      <c r="X141" s="7" t="s">
        <v>58</v>
      </c>
      <c r="Y141" s="9" t="s">
        <v>40</v>
      </c>
      <c r="Z141" s="9" t="s">
        <v>41</v>
      </c>
      <c r="AA141" s="9" t="s">
        <v>42</v>
      </c>
      <c r="AB141" s="7" t="s">
        <v>42</v>
      </c>
    </row>
    <row r="142" spans="1:28">
      <c r="A142" s="8">
        <v>135</v>
      </c>
      <c r="B142" s="8" t="s">
        <v>304</v>
      </c>
      <c r="C142" s="8" t="s">
        <v>300</v>
      </c>
      <c r="D142" s="8" t="s">
        <v>198</v>
      </c>
      <c r="E142" s="8" t="s">
        <v>33</v>
      </c>
      <c r="F142" s="6" t="s">
        <v>50</v>
      </c>
      <c r="G142" s="6" t="s">
        <v>35</v>
      </c>
      <c r="H142" s="6" t="s">
        <v>36</v>
      </c>
      <c r="I142" s="8">
        <v>158</v>
      </c>
      <c r="J142" s="8" t="s">
        <v>130</v>
      </c>
      <c r="K142" s="8" t="s">
        <v>53</v>
      </c>
      <c r="L142" s="10">
        <v>1</v>
      </c>
      <c r="M142" s="13">
        <v>8000.0</v>
      </c>
      <c r="N142" s="13"/>
      <c r="O142" s="15">
        <f>IF(M142&gt;0, N142/M142, 0)</f>
        <v>0</v>
      </c>
      <c r="P142" s="13">
        <f>M142-N142</f>
        <v>8000</v>
      </c>
      <c r="Q142" s="13">
        <f>L142*M142</f>
        <v>8000</v>
      </c>
      <c r="R142" s="13">
        <f>L142*N142</f>
        <v>0</v>
      </c>
      <c r="S142" s="13">
        <f>L142*P142</f>
        <v>8000</v>
      </c>
      <c r="T142" s="13"/>
      <c r="U142" s="13">
        <f>L142*T142</f>
        <v>0</v>
      </c>
      <c r="V142" s="13">
        <f>S142-U142</f>
        <v>8000</v>
      </c>
      <c r="W142" s="15">
        <f>IF(S142&gt;0, V142/S142, 0)</f>
        <v>1</v>
      </c>
      <c r="X142" s="6" t="s">
        <v>58</v>
      </c>
      <c r="Y142" s="8" t="s">
        <v>40</v>
      </c>
      <c r="Z142" s="8" t="s">
        <v>41</v>
      </c>
      <c r="AA142" s="8" t="s">
        <v>42</v>
      </c>
      <c r="AB142" s="6" t="s">
        <v>42</v>
      </c>
    </row>
    <row r="143" spans="1:28">
      <c r="A143" s="9">
        <v>136</v>
      </c>
      <c r="B143" s="9" t="s">
        <v>305</v>
      </c>
      <c r="C143" s="9" t="s">
        <v>300</v>
      </c>
      <c r="D143" s="9" t="s">
        <v>198</v>
      </c>
      <c r="E143" s="9" t="s">
        <v>33</v>
      </c>
      <c r="F143" s="7" t="s">
        <v>34</v>
      </c>
      <c r="G143" s="7" t="s">
        <v>63</v>
      </c>
      <c r="H143" s="7" t="s">
        <v>148</v>
      </c>
      <c r="I143" s="9">
        <v>170</v>
      </c>
      <c r="J143" s="9" t="s">
        <v>149</v>
      </c>
      <c r="K143" s="9" t="s">
        <v>38</v>
      </c>
      <c r="L143" s="11">
        <v>1</v>
      </c>
      <c r="M143" s="14">
        <v>11000.0</v>
      </c>
      <c r="N143" s="14"/>
      <c r="O143" s="16">
        <f>IF(M143&gt;0, N143/M143, 0)</f>
        <v>0</v>
      </c>
      <c r="P143" s="14">
        <f>M143-N143</f>
        <v>11000</v>
      </c>
      <c r="Q143" s="14">
        <f>L143*M143</f>
        <v>11000</v>
      </c>
      <c r="R143" s="14">
        <f>L143*N143</f>
        <v>0</v>
      </c>
      <c r="S143" s="14">
        <f>L143*P143</f>
        <v>11000</v>
      </c>
      <c r="T143" s="14"/>
      <c r="U143" s="14">
        <f>L143*T143</f>
        <v>0</v>
      </c>
      <c r="V143" s="14">
        <f>S143-U143</f>
        <v>11000</v>
      </c>
      <c r="W143" s="16">
        <f>IF(S143&gt;0, V143/S143, 0)</f>
        <v>1</v>
      </c>
      <c r="X143" s="7" t="s">
        <v>58</v>
      </c>
      <c r="Y143" s="9" t="s">
        <v>40</v>
      </c>
      <c r="Z143" s="9" t="s">
        <v>41</v>
      </c>
      <c r="AA143" s="9" t="s">
        <v>42</v>
      </c>
      <c r="AB143" s="7" t="s">
        <v>143</v>
      </c>
    </row>
    <row r="144" spans="1:28">
      <c r="A144" s="8">
        <v>137</v>
      </c>
      <c r="B144" s="8" t="s">
        <v>306</v>
      </c>
      <c r="C144" s="8" t="s">
        <v>300</v>
      </c>
      <c r="D144" s="8" t="s">
        <v>198</v>
      </c>
      <c r="E144" s="8" t="s">
        <v>33</v>
      </c>
      <c r="F144" s="6" t="s">
        <v>50</v>
      </c>
      <c r="G144" s="6" t="s">
        <v>63</v>
      </c>
      <c r="H144" s="6" t="s">
        <v>148</v>
      </c>
      <c r="I144" s="8">
        <v>152</v>
      </c>
      <c r="J144" s="8" t="s">
        <v>251</v>
      </c>
      <c r="K144" s="8" t="s">
        <v>38</v>
      </c>
      <c r="L144" s="10">
        <v>1</v>
      </c>
      <c r="M144" s="13">
        <v>10000.0</v>
      </c>
      <c r="N144" s="13"/>
      <c r="O144" s="15">
        <f>IF(M144&gt;0, N144/M144, 0)</f>
        <v>0</v>
      </c>
      <c r="P144" s="13">
        <f>M144-N144</f>
        <v>10000</v>
      </c>
      <c r="Q144" s="13">
        <f>L144*M144</f>
        <v>10000</v>
      </c>
      <c r="R144" s="13">
        <f>L144*N144</f>
        <v>0</v>
      </c>
      <c r="S144" s="13">
        <f>L144*P144</f>
        <v>10000</v>
      </c>
      <c r="T144" s="13"/>
      <c r="U144" s="13">
        <f>L144*T144</f>
        <v>0</v>
      </c>
      <c r="V144" s="13">
        <f>S144-U144</f>
        <v>10000</v>
      </c>
      <c r="W144" s="15">
        <f>IF(S144&gt;0, V144/S144, 0)</f>
        <v>1</v>
      </c>
      <c r="X144" s="6" t="s">
        <v>58</v>
      </c>
      <c r="Y144" s="8" t="s">
        <v>40</v>
      </c>
      <c r="Z144" s="8" t="s">
        <v>41</v>
      </c>
      <c r="AA144" s="8" t="s">
        <v>42</v>
      </c>
      <c r="AB144" s="6" t="s">
        <v>143</v>
      </c>
    </row>
    <row r="145" spans="1:28">
      <c r="A145" s="9">
        <v>138</v>
      </c>
      <c r="B145" s="9" t="s">
        <v>307</v>
      </c>
      <c r="C145" s="9" t="s">
        <v>308</v>
      </c>
      <c r="D145" s="9" t="s">
        <v>198</v>
      </c>
      <c r="E145" s="9" t="s">
        <v>33</v>
      </c>
      <c r="F145" s="7" t="s">
        <v>50</v>
      </c>
      <c r="G145" s="7" t="s">
        <v>63</v>
      </c>
      <c r="H145" s="7" t="s">
        <v>148</v>
      </c>
      <c r="I145" s="9">
        <v>140</v>
      </c>
      <c r="J145" s="9" t="s">
        <v>221</v>
      </c>
      <c r="K145" s="9" t="s">
        <v>38</v>
      </c>
      <c r="L145" s="11">
        <v>2</v>
      </c>
      <c r="M145" s="14">
        <v>10000.0</v>
      </c>
      <c r="N145" s="14"/>
      <c r="O145" s="16">
        <f>IF(M145&gt;0, N145/M145, 0)</f>
        <v>0</v>
      </c>
      <c r="P145" s="14">
        <f>M145-N145</f>
        <v>10000</v>
      </c>
      <c r="Q145" s="14">
        <f>L145*M145</f>
        <v>20000</v>
      </c>
      <c r="R145" s="14">
        <f>L145*N145</f>
        <v>0</v>
      </c>
      <c r="S145" s="14">
        <f>L145*P145</f>
        <v>20000</v>
      </c>
      <c r="T145" s="14"/>
      <c r="U145" s="14">
        <f>L145*T145</f>
        <v>0</v>
      </c>
      <c r="V145" s="14">
        <f>S145-U145</f>
        <v>20000</v>
      </c>
      <c r="W145" s="16">
        <f>IF(S145&gt;0, V145/S145, 0)</f>
        <v>1</v>
      </c>
      <c r="X145" s="7" t="s">
        <v>58</v>
      </c>
      <c r="Y145" s="9" t="s">
        <v>40</v>
      </c>
      <c r="Z145" s="9" t="s">
        <v>41</v>
      </c>
      <c r="AA145" s="9" t="s">
        <v>42</v>
      </c>
      <c r="AB145" s="7" t="s">
        <v>143</v>
      </c>
    </row>
    <row r="146" spans="1:28">
      <c r="A146" s="8">
        <v>139</v>
      </c>
      <c r="B146" s="8" t="s">
        <v>309</v>
      </c>
      <c r="C146" s="8" t="s">
        <v>308</v>
      </c>
      <c r="D146" s="8" t="s">
        <v>198</v>
      </c>
      <c r="E146" s="8" t="s">
        <v>33</v>
      </c>
      <c r="F146" s="6" t="s">
        <v>50</v>
      </c>
      <c r="G146" s="6" t="s">
        <v>35</v>
      </c>
      <c r="H146" s="6" t="s">
        <v>36</v>
      </c>
      <c r="I146" s="8">
        <v>146</v>
      </c>
      <c r="J146" s="8" t="s">
        <v>257</v>
      </c>
      <c r="K146" s="8" t="s">
        <v>53</v>
      </c>
      <c r="L146" s="10">
        <v>1</v>
      </c>
      <c r="M146" s="13">
        <v>7000.0</v>
      </c>
      <c r="N146" s="13"/>
      <c r="O146" s="15">
        <f>IF(M146&gt;0, N146/M146, 0)</f>
        <v>0</v>
      </c>
      <c r="P146" s="13">
        <f>M146-N146</f>
        <v>7000</v>
      </c>
      <c r="Q146" s="13">
        <f>L146*M146</f>
        <v>7000</v>
      </c>
      <c r="R146" s="13">
        <f>L146*N146</f>
        <v>0</v>
      </c>
      <c r="S146" s="13">
        <f>L146*P146</f>
        <v>7000</v>
      </c>
      <c r="T146" s="13"/>
      <c r="U146" s="13">
        <f>L146*T146</f>
        <v>0</v>
      </c>
      <c r="V146" s="13">
        <f>S146-U146</f>
        <v>7000</v>
      </c>
      <c r="W146" s="15">
        <f>IF(S146&gt;0, V146/S146, 0)</f>
        <v>1</v>
      </c>
      <c r="X146" s="6" t="s">
        <v>58</v>
      </c>
      <c r="Y146" s="8" t="s">
        <v>40</v>
      </c>
      <c r="Z146" s="8" t="s">
        <v>41</v>
      </c>
      <c r="AA146" s="8" t="s">
        <v>42</v>
      </c>
      <c r="AB146" s="6" t="s">
        <v>42</v>
      </c>
    </row>
    <row r="147" spans="1:28">
      <c r="A147" s="9">
        <v>140</v>
      </c>
      <c r="B147" s="9" t="s">
        <v>310</v>
      </c>
      <c r="C147" s="9" t="s">
        <v>308</v>
      </c>
      <c r="D147" s="9" t="s">
        <v>198</v>
      </c>
      <c r="E147" s="9" t="s">
        <v>68</v>
      </c>
      <c r="F147" s="7" t="s">
        <v>50</v>
      </c>
      <c r="G147" s="7" t="s">
        <v>56</v>
      </c>
      <c r="H147" s="7" t="s">
        <v>56</v>
      </c>
      <c r="I147" s="9">
        <v>152</v>
      </c>
      <c r="J147" s="9" t="s">
        <v>311</v>
      </c>
      <c r="K147" s="9" t="s">
        <v>38</v>
      </c>
      <c r="L147" s="11">
        <v>1</v>
      </c>
      <c r="M147" s="14">
        <v>8000.0</v>
      </c>
      <c r="N147" s="14"/>
      <c r="O147" s="16">
        <f>IF(M147&gt;0, N147/M147, 0)</f>
        <v>0</v>
      </c>
      <c r="P147" s="14">
        <f>M147-N147</f>
        <v>8000</v>
      </c>
      <c r="Q147" s="14">
        <f>L147*M147</f>
        <v>8000</v>
      </c>
      <c r="R147" s="14">
        <f>L147*N147</f>
        <v>0</v>
      </c>
      <c r="S147" s="14">
        <f>L147*P147</f>
        <v>8000</v>
      </c>
      <c r="T147" s="14"/>
      <c r="U147" s="14">
        <f>L147*T147</f>
        <v>0</v>
      </c>
      <c r="V147" s="14">
        <f>S147-U147</f>
        <v>8000</v>
      </c>
      <c r="W147" s="16">
        <f>IF(S147&gt;0, V147/S147, 0)</f>
        <v>1</v>
      </c>
      <c r="X147" s="7" t="s">
        <v>58</v>
      </c>
      <c r="Y147" s="9" t="s">
        <v>40</v>
      </c>
      <c r="Z147" s="9" t="s">
        <v>71</v>
      </c>
      <c r="AA147" s="9" t="s">
        <v>42</v>
      </c>
      <c r="AB147" s="7" t="s">
        <v>42</v>
      </c>
    </row>
    <row r="148" spans="1:28">
      <c r="A148" s="8">
        <v>141</v>
      </c>
      <c r="B148" s="8" t="s">
        <v>312</v>
      </c>
      <c r="C148" s="8" t="s">
        <v>308</v>
      </c>
      <c r="D148" s="8" t="s">
        <v>198</v>
      </c>
      <c r="E148" s="8" t="s">
        <v>33</v>
      </c>
      <c r="F148" s="6" t="s">
        <v>50</v>
      </c>
      <c r="G148" s="6" t="s">
        <v>158</v>
      </c>
      <c r="H148" s="6" t="s">
        <v>159</v>
      </c>
      <c r="I148" s="8" t="s">
        <v>42</v>
      </c>
      <c r="J148" s="8" t="s">
        <v>313</v>
      </c>
      <c r="K148" s="8" t="s">
        <v>38</v>
      </c>
      <c r="L148" s="10">
        <v>1</v>
      </c>
      <c r="M148" s="13">
        <v>5000.0</v>
      </c>
      <c r="N148" s="13"/>
      <c r="O148" s="15">
        <f>IF(M148&gt;0, N148/M148, 0)</f>
        <v>0</v>
      </c>
      <c r="P148" s="13">
        <f>M148-N148</f>
        <v>5000</v>
      </c>
      <c r="Q148" s="13">
        <f>L148*M148</f>
        <v>5000</v>
      </c>
      <c r="R148" s="13">
        <f>L148*N148</f>
        <v>0</v>
      </c>
      <c r="S148" s="13">
        <f>L148*P148</f>
        <v>5000</v>
      </c>
      <c r="T148" s="13"/>
      <c r="U148" s="13">
        <f>L148*T148</f>
        <v>0</v>
      </c>
      <c r="V148" s="13">
        <f>S148-U148</f>
        <v>5000</v>
      </c>
      <c r="W148" s="15">
        <f>IF(S148&gt;0, V148/S148, 0)</f>
        <v>1</v>
      </c>
      <c r="X148" s="6" t="s">
        <v>58</v>
      </c>
      <c r="Y148" s="8" t="s">
        <v>40</v>
      </c>
      <c r="Z148" s="8" t="s">
        <v>41</v>
      </c>
      <c r="AA148" s="8" t="s">
        <v>42</v>
      </c>
      <c r="AB148" s="6" t="s">
        <v>143</v>
      </c>
    </row>
    <row r="149" spans="1:28">
      <c r="A149" s="9">
        <v>142</v>
      </c>
      <c r="B149" s="9" t="s">
        <v>314</v>
      </c>
      <c r="C149" s="9" t="s">
        <v>308</v>
      </c>
      <c r="D149" s="9" t="s">
        <v>198</v>
      </c>
      <c r="E149" s="9" t="s">
        <v>33</v>
      </c>
      <c r="F149" s="7" t="s">
        <v>50</v>
      </c>
      <c r="G149" s="7" t="s">
        <v>158</v>
      </c>
      <c r="H149" s="7" t="s">
        <v>159</v>
      </c>
      <c r="I149" s="9" t="s">
        <v>42</v>
      </c>
      <c r="J149" s="9" t="s">
        <v>313</v>
      </c>
      <c r="K149" s="9" t="s">
        <v>38</v>
      </c>
      <c r="L149" s="11">
        <v>1</v>
      </c>
      <c r="M149" s="14">
        <v>5000.0</v>
      </c>
      <c r="N149" s="14"/>
      <c r="O149" s="16">
        <f>IF(M149&gt;0, N149/M149, 0)</f>
        <v>0</v>
      </c>
      <c r="P149" s="14">
        <f>M149-N149</f>
        <v>5000</v>
      </c>
      <c r="Q149" s="14">
        <f>L149*M149</f>
        <v>5000</v>
      </c>
      <c r="R149" s="14">
        <f>L149*N149</f>
        <v>0</v>
      </c>
      <c r="S149" s="14">
        <f>L149*P149</f>
        <v>5000</v>
      </c>
      <c r="T149" s="14"/>
      <c r="U149" s="14">
        <f>L149*T149</f>
        <v>0</v>
      </c>
      <c r="V149" s="14">
        <f>S149-U149</f>
        <v>5000</v>
      </c>
      <c r="W149" s="16">
        <f>IF(S149&gt;0, V149/S149, 0)</f>
        <v>1</v>
      </c>
      <c r="X149" s="7" t="s">
        <v>58</v>
      </c>
      <c r="Y149" s="9" t="s">
        <v>40</v>
      </c>
      <c r="Z149" s="9" t="s">
        <v>41</v>
      </c>
      <c r="AA149" s="9" t="s">
        <v>42</v>
      </c>
      <c r="AB149" s="7" t="s">
        <v>42</v>
      </c>
    </row>
    <row r="150" spans="1:28">
      <c r="A150" s="8">
        <v>143</v>
      </c>
      <c r="B150" s="8" t="s">
        <v>315</v>
      </c>
      <c r="C150" s="8" t="s">
        <v>308</v>
      </c>
      <c r="D150" s="8" t="s">
        <v>198</v>
      </c>
      <c r="E150" s="8" t="s">
        <v>33</v>
      </c>
      <c r="F150" s="6" t="s">
        <v>50</v>
      </c>
      <c r="G150" s="6" t="s">
        <v>35</v>
      </c>
      <c r="H150" s="6" t="s">
        <v>73</v>
      </c>
      <c r="I150" s="8">
        <v>128</v>
      </c>
      <c r="J150" s="8" t="s">
        <v>185</v>
      </c>
      <c r="K150" s="8" t="s">
        <v>53</v>
      </c>
      <c r="L150" s="10">
        <v>1</v>
      </c>
      <c r="M150" s="13">
        <v>8000.0</v>
      </c>
      <c r="N150" s="13"/>
      <c r="O150" s="15">
        <f>IF(M150&gt;0, N150/M150, 0)</f>
        <v>0</v>
      </c>
      <c r="P150" s="13">
        <f>M150-N150</f>
        <v>8000</v>
      </c>
      <c r="Q150" s="13">
        <f>L150*M150</f>
        <v>8000</v>
      </c>
      <c r="R150" s="13">
        <f>L150*N150</f>
        <v>0</v>
      </c>
      <c r="S150" s="13">
        <f>L150*P150</f>
        <v>8000</v>
      </c>
      <c r="T150" s="13"/>
      <c r="U150" s="13">
        <f>L150*T150</f>
        <v>0</v>
      </c>
      <c r="V150" s="13">
        <f>S150-U150</f>
        <v>8000</v>
      </c>
      <c r="W150" s="15">
        <f>IF(S150&gt;0, V150/S150, 0)</f>
        <v>1</v>
      </c>
      <c r="X150" s="6" t="s">
        <v>58</v>
      </c>
      <c r="Y150" s="8" t="s">
        <v>40</v>
      </c>
      <c r="Z150" s="8" t="s">
        <v>41</v>
      </c>
      <c r="AA150" s="8" t="s">
        <v>42</v>
      </c>
      <c r="AB150" s="6" t="s">
        <v>42</v>
      </c>
    </row>
    <row r="151" spans="1:28">
      <c r="A151" s="9">
        <v>144</v>
      </c>
      <c r="B151" s="9" t="s">
        <v>316</v>
      </c>
      <c r="C151" s="9" t="s">
        <v>308</v>
      </c>
      <c r="D151" s="9" t="s">
        <v>198</v>
      </c>
      <c r="E151" s="9" t="s">
        <v>33</v>
      </c>
      <c r="F151" s="7" t="s">
        <v>50</v>
      </c>
      <c r="G151" s="7" t="s">
        <v>35</v>
      </c>
      <c r="H151" s="7" t="s">
        <v>36</v>
      </c>
      <c r="I151" s="9">
        <v>134</v>
      </c>
      <c r="J151" s="9" t="s">
        <v>177</v>
      </c>
      <c r="K151" s="9" t="s">
        <v>53</v>
      </c>
      <c r="L151" s="11">
        <v>1</v>
      </c>
      <c r="M151" s="14">
        <v>7000.0</v>
      </c>
      <c r="N151" s="14"/>
      <c r="O151" s="16">
        <f>IF(M151&gt;0, N151/M151, 0)</f>
        <v>0</v>
      </c>
      <c r="P151" s="14">
        <f>M151-N151</f>
        <v>7000</v>
      </c>
      <c r="Q151" s="14">
        <f>L151*M151</f>
        <v>7000</v>
      </c>
      <c r="R151" s="14">
        <f>L151*N151</f>
        <v>0</v>
      </c>
      <c r="S151" s="14">
        <f>L151*P151</f>
        <v>7000</v>
      </c>
      <c r="T151" s="14"/>
      <c r="U151" s="14">
        <f>L151*T151</f>
        <v>0</v>
      </c>
      <c r="V151" s="14">
        <f>S151-U151</f>
        <v>7000</v>
      </c>
      <c r="W151" s="16">
        <f>IF(S151&gt;0, V151/S151, 0)</f>
        <v>1</v>
      </c>
      <c r="X151" s="7" t="s">
        <v>58</v>
      </c>
      <c r="Y151" s="9" t="s">
        <v>40</v>
      </c>
      <c r="Z151" s="9" t="s">
        <v>41</v>
      </c>
      <c r="AA151" s="9" t="s">
        <v>42</v>
      </c>
      <c r="AB151" s="7" t="s">
        <v>42</v>
      </c>
    </row>
    <row r="152" spans="1:28">
      <c r="A152" s="8">
        <v>145</v>
      </c>
      <c r="B152" s="8" t="s">
        <v>317</v>
      </c>
      <c r="C152" s="8" t="s">
        <v>308</v>
      </c>
      <c r="D152" s="8" t="s">
        <v>198</v>
      </c>
      <c r="E152" s="8" t="s">
        <v>33</v>
      </c>
      <c r="F152" s="6" t="s">
        <v>34</v>
      </c>
      <c r="G152" s="6" t="s">
        <v>45</v>
      </c>
      <c r="H152" s="6" t="s">
        <v>45</v>
      </c>
      <c r="I152" s="8">
        <v>164</v>
      </c>
      <c r="J152" s="8" t="s">
        <v>318</v>
      </c>
      <c r="K152" s="8" t="s">
        <v>38</v>
      </c>
      <c r="L152" s="10">
        <v>1</v>
      </c>
      <c r="M152" s="13">
        <v>18000.0</v>
      </c>
      <c r="N152" s="13"/>
      <c r="O152" s="15">
        <f>IF(M152&gt;0, N152/M152, 0)</f>
        <v>0</v>
      </c>
      <c r="P152" s="13">
        <f>M152-N152</f>
        <v>18000</v>
      </c>
      <c r="Q152" s="13">
        <f>L152*M152</f>
        <v>18000</v>
      </c>
      <c r="R152" s="13">
        <f>L152*N152</f>
        <v>0</v>
      </c>
      <c r="S152" s="13">
        <f>L152*P152</f>
        <v>18000</v>
      </c>
      <c r="T152" s="13"/>
      <c r="U152" s="13">
        <f>L152*T152</f>
        <v>0</v>
      </c>
      <c r="V152" s="13">
        <f>S152-U152</f>
        <v>18000</v>
      </c>
      <c r="W152" s="15">
        <f>IF(S152&gt;0, V152/S152, 0)</f>
        <v>1</v>
      </c>
      <c r="X152" s="6" t="s">
        <v>58</v>
      </c>
      <c r="Y152" s="8" t="s">
        <v>40</v>
      </c>
      <c r="Z152" s="8" t="s">
        <v>41</v>
      </c>
      <c r="AA152" s="8" t="s">
        <v>42</v>
      </c>
      <c r="AB152" s="6" t="s">
        <v>42</v>
      </c>
    </row>
    <row r="153" spans="1:28">
      <c r="A153" s="9">
        <v>146</v>
      </c>
      <c r="B153" s="9" t="s">
        <v>319</v>
      </c>
      <c r="C153" s="9" t="s">
        <v>308</v>
      </c>
      <c r="D153" s="9" t="s">
        <v>198</v>
      </c>
      <c r="E153" s="9" t="s">
        <v>33</v>
      </c>
      <c r="F153" s="7" t="s">
        <v>34</v>
      </c>
      <c r="G153" s="7" t="s">
        <v>56</v>
      </c>
      <c r="H153" s="7" t="s">
        <v>56</v>
      </c>
      <c r="I153" s="9">
        <v>164</v>
      </c>
      <c r="J153" s="9" t="s">
        <v>57</v>
      </c>
      <c r="K153" s="9" t="s">
        <v>38</v>
      </c>
      <c r="L153" s="11">
        <v>1</v>
      </c>
      <c r="M153" s="14">
        <v>7500.0</v>
      </c>
      <c r="N153" s="14"/>
      <c r="O153" s="16">
        <f>IF(M153&gt;0, N153/M153, 0)</f>
        <v>0</v>
      </c>
      <c r="P153" s="14">
        <f>M153-N153</f>
        <v>7500</v>
      </c>
      <c r="Q153" s="14">
        <f>L153*M153</f>
        <v>7500</v>
      </c>
      <c r="R153" s="14">
        <f>L153*N153</f>
        <v>0</v>
      </c>
      <c r="S153" s="14">
        <f>L153*P153</f>
        <v>7500</v>
      </c>
      <c r="T153" s="14"/>
      <c r="U153" s="14">
        <f>L153*T153</f>
        <v>0</v>
      </c>
      <c r="V153" s="14">
        <f>S153-U153</f>
        <v>7500</v>
      </c>
      <c r="W153" s="16">
        <f>IF(S153&gt;0, V153/S153, 0)</f>
        <v>1</v>
      </c>
      <c r="X153" s="7" t="s">
        <v>58</v>
      </c>
      <c r="Y153" s="9" t="s">
        <v>40</v>
      </c>
      <c r="Z153" s="9" t="s">
        <v>41</v>
      </c>
      <c r="AA153" s="9" t="s">
        <v>42</v>
      </c>
      <c r="AB153" s="7" t="s">
        <v>42</v>
      </c>
    </row>
    <row r="154" spans="1:28">
      <c r="A154" s="8">
        <v>147</v>
      </c>
      <c r="B154" s="8" t="s">
        <v>320</v>
      </c>
      <c r="C154" s="8" t="s">
        <v>308</v>
      </c>
      <c r="D154" s="8" t="s">
        <v>198</v>
      </c>
      <c r="E154" s="8" t="s">
        <v>33</v>
      </c>
      <c r="F154" s="6" t="s">
        <v>34</v>
      </c>
      <c r="G154" s="6" t="s">
        <v>51</v>
      </c>
      <c r="H154" s="6" t="s">
        <v>51</v>
      </c>
      <c r="I154" s="8">
        <v>182</v>
      </c>
      <c r="J154" s="8" t="s">
        <v>321</v>
      </c>
      <c r="K154" s="8" t="s">
        <v>38</v>
      </c>
      <c r="L154" s="10">
        <v>1</v>
      </c>
      <c r="M154" s="13">
        <v>8500.0</v>
      </c>
      <c r="N154" s="13"/>
      <c r="O154" s="15">
        <f>IF(M154&gt;0, N154/M154, 0)</f>
        <v>0</v>
      </c>
      <c r="P154" s="13">
        <f>M154-N154</f>
        <v>8500</v>
      </c>
      <c r="Q154" s="13">
        <f>L154*M154</f>
        <v>8500</v>
      </c>
      <c r="R154" s="13">
        <f>L154*N154</f>
        <v>0</v>
      </c>
      <c r="S154" s="13">
        <f>L154*P154</f>
        <v>8500</v>
      </c>
      <c r="T154" s="13"/>
      <c r="U154" s="13">
        <f>L154*T154</f>
        <v>0</v>
      </c>
      <c r="V154" s="13">
        <f>S154-U154</f>
        <v>8500</v>
      </c>
      <c r="W154" s="15">
        <f>IF(S154&gt;0, V154/S154, 0)</f>
        <v>1</v>
      </c>
      <c r="X154" s="6" t="s">
        <v>58</v>
      </c>
      <c r="Y154" s="8" t="s">
        <v>40</v>
      </c>
      <c r="Z154" s="8" t="s">
        <v>41</v>
      </c>
      <c r="AA154" s="8" t="s">
        <v>42</v>
      </c>
      <c r="AB154" s="6" t="s">
        <v>42</v>
      </c>
    </row>
    <row r="155" spans="1:28">
      <c r="A155" s="9">
        <v>148</v>
      </c>
      <c r="B155" s="9" t="s">
        <v>322</v>
      </c>
      <c r="C155" s="9" t="s">
        <v>308</v>
      </c>
      <c r="D155" s="9" t="s">
        <v>198</v>
      </c>
      <c r="E155" s="9" t="s">
        <v>33</v>
      </c>
      <c r="F155" s="7" t="s">
        <v>34</v>
      </c>
      <c r="G155" s="7" t="s">
        <v>63</v>
      </c>
      <c r="H155" s="7" t="s">
        <v>148</v>
      </c>
      <c r="I155" s="9">
        <v>152</v>
      </c>
      <c r="J155" s="9" t="s">
        <v>195</v>
      </c>
      <c r="K155" s="9" t="s">
        <v>38</v>
      </c>
      <c r="L155" s="11">
        <v>1</v>
      </c>
      <c r="M155" s="14">
        <v>12000.0</v>
      </c>
      <c r="N155" s="14"/>
      <c r="O155" s="16">
        <f>IF(M155&gt;0, N155/M155, 0)</f>
        <v>0</v>
      </c>
      <c r="P155" s="14">
        <f>M155-N155</f>
        <v>12000</v>
      </c>
      <c r="Q155" s="14">
        <f>L155*M155</f>
        <v>12000</v>
      </c>
      <c r="R155" s="14">
        <f>L155*N155</f>
        <v>0</v>
      </c>
      <c r="S155" s="14">
        <f>L155*P155</f>
        <v>12000</v>
      </c>
      <c r="T155" s="14"/>
      <c r="U155" s="14">
        <f>L155*T155</f>
        <v>0</v>
      </c>
      <c r="V155" s="14">
        <f>S155-U155</f>
        <v>12000</v>
      </c>
      <c r="W155" s="16">
        <f>IF(S155&gt;0, V155/S155, 0)</f>
        <v>1</v>
      </c>
      <c r="X155" s="7" t="s">
        <v>58</v>
      </c>
      <c r="Y155" s="9" t="s">
        <v>40</v>
      </c>
      <c r="Z155" s="9" t="s">
        <v>41</v>
      </c>
      <c r="AA155" s="9" t="s">
        <v>42</v>
      </c>
      <c r="AB155" s="7" t="s">
        <v>143</v>
      </c>
    </row>
    <row r="156" spans="1:28">
      <c r="A156" s="8">
        <v>149</v>
      </c>
      <c r="B156" s="8" t="s">
        <v>323</v>
      </c>
      <c r="C156" s="8" t="s">
        <v>308</v>
      </c>
      <c r="D156" s="8" t="s">
        <v>198</v>
      </c>
      <c r="E156" s="8" t="s">
        <v>33</v>
      </c>
      <c r="F156" s="6" t="s">
        <v>34</v>
      </c>
      <c r="G156" s="6" t="s">
        <v>51</v>
      </c>
      <c r="H156" s="6" t="s">
        <v>51</v>
      </c>
      <c r="I156" s="8">
        <v>146</v>
      </c>
      <c r="J156" s="8" t="s">
        <v>324</v>
      </c>
      <c r="K156" s="8" t="s">
        <v>38</v>
      </c>
      <c r="L156" s="10">
        <v>1</v>
      </c>
      <c r="M156" s="13">
        <v>8500.0</v>
      </c>
      <c r="N156" s="13"/>
      <c r="O156" s="15">
        <f>IF(M156&gt;0, N156/M156, 0)</f>
        <v>0</v>
      </c>
      <c r="P156" s="13">
        <f>M156-N156</f>
        <v>8500</v>
      </c>
      <c r="Q156" s="13">
        <f>L156*M156</f>
        <v>8500</v>
      </c>
      <c r="R156" s="13">
        <f>L156*N156</f>
        <v>0</v>
      </c>
      <c r="S156" s="13">
        <f>L156*P156</f>
        <v>8500</v>
      </c>
      <c r="T156" s="13"/>
      <c r="U156" s="13">
        <f>L156*T156</f>
        <v>0</v>
      </c>
      <c r="V156" s="13">
        <f>S156-U156</f>
        <v>8500</v>
      </c>
      <c r="W156" s="15">
        <f>IF(S156&gt;0, V156/S156, 0)</f>
        <v>1</v>
      </c>
      <c r="X156" s="6" t="s">
        <v>58</v>
      </c>
      <c r="Y156" s="8" t="s">
        <v>40</v>
      </c>
      <c r="Z156" s="8" t="s">
        <v>41</v>
      </c>
      <c r="AA156" s="8" t="s">
        <v>42</v>
      </c>
      <c r="AB156" s="6" t="s">
        <v>42</v>
      </c>
    </row>
    <row r="157" spans="1:28">
      <c r="A157" s="9">
        <v>150</v>
      </c>
      <c r="B157" s="9" t="s">
        <v>325</v>
      </c>
      <c r="C157" s="9" t="s">
        <v>308</v>
      </c>
      <c r="D157" s="9" t="s">
        <v>198</v>
      </c>
      <c r="E157" s="9" t="s">
        <v>68</v>
      </c>
      <c r="F157" s="7" t="s">
        <v>50</v>
      </c>
      <c r="G157" s="7" t="s">
        <v>63</v>
      </c>
      <c r="H157" s="7" t="s">
        <v>148</v>
      </c>
      <c r="I157" s="9">
        <v>146</v>
      </c>
      <c r="J157" s="9" t="s">
        <v>167</v>
      </c>
      <c r="K157" s="9" t="s">
        <v>38</v>
      </c>
      <c r="L157" s="11">
        <v>1</v>
      </c>
      <c r="M157" s="14">
        <v>12000.0</v>
      </c>
      <c r="N157" s="14"/>
      <c r="O157" s="16">
        <f>IF(M157&gt;0, N157/M157, 0)</f>
        <v>0</v>
      </c>
      <c r="P157" s="14">
        <f>M157-N157</f>
        <v>12000</v>
      </c>
      <c r="Q157" s="14">
        <f>L157*M157</f>
        <v>12000</v>
      </c>
      <c r="R157" s="14">
        <f>L157*N157</f>
        <v>0</v>
      </c>
      <c r="S157" s="14">
        <f>L157*P157</f>
        <v>12000</v>
      </c>
      <c r="T157" s="14"/>
      <c r="U157" s="14">
        <f>L157*T157</f>
        <v>0</v>
      </c>
      <c r="V157" s="14">
        <f>S157-U157</f>
        <v>12000</v>
      </c>
      <c r="W157" s="16">
        <f>IF(S157&gt;0, V157/S157, 0)</f>
        <v>1</v>
      </c>
      <c r="X157" s="7" t="s">
        <v>58</v>
      </c>
      <c r="Y157" s="9" t="s">
        <v>40</v>
      </c>
      <c r="Z157" s="9" t="s">
        <v>71</v>
      </c>
      <c r="AA157" s="9" t="s">
        <v>42</v>
      </c>
      <c r="AB157" s="7" t="s">
        <v>42</v>
      </c>
    </row>
    <row r="158" spans="1:28">
      <c r="A158" s="8">
        <v>151</v>
      </c>
      <c r="B158" s="8" t="s">
        <v>326</v>
      </c>
      <c r="C158" s="8" t="s">
        <v>308</v>
      </c>
      <c r="D158" s="8" t="s">
        <v>198</v>
      </c>
      <c r="E158" s="8" t="s">
        <v>68</v>
      </c>
      <c r="F158" s="6" t="s">
        <v>50</v>
      </c>
      <c r="G158" s="6" t="s">
        <v>63</v>
      </c>
      <c r="H158" s="6" t="s">
        <v>148</v>
      </c>
      <c r="I158" s="8">
        <v>128</v>
      </c>
      <c r="J158" s="8" t="s">
        <v>165</v>
      </c>
      <c r="K158" s="8" t="s">
        <v>38</v>
      </c>
      <c r="L158" s="10">
        <v>1</v>
      </c>
      <c r="M158" s="13">
        <v>10000.0</v>
      </c>
      <c r="N158" s="13"/>
      <c r="O158" s="15">
        <f>IF(M158&gt;0, N158/M158, 0)</f>
        <v>0</v>
      </c>
      <c r="P158" s="13">
        <f>M158-N158</f>
        <v>10000</v>
      </c>
      <c r="Q158" s="13">
        <f>L158*M158</f>
        <v>10000</v>
      </c>
      <c r="R158" s="13">
        <f>L158*N158</f>
        <v>0</v>
      </c>
      <c r="S158" s="13">
        <f>L158*P158</f>
        <v>10000</v>
      </c>
      <c r="T158" s="13"/>
      <c r="U158" s="13">
        <f>L158*T158</f>
        <v>0</v>
      </c>
      <c r="V158" s="13">
        <f>S158-U158</f>
        <v>10000</v>
      </c>
      <c r="W158" s="15">
        <f>IF(S158&gt;0, V158/S158, 0)</f>
        <v>1</v>
      </c>
      <c r="X158" s="6" t="s">
        <v>58</v>
      </c>
      <c r="Y158" s="8" t="s">
        <v>40</v>
      </c>
      <c r="Z158" s="8" t="s">
        <v>71</v>
      </c>
      <c r="AA158" s="8" t="s">
        <v>42</v>
      </c>
      <c r="AB158" s="6" t="s">
        <v>42</v>
      </c>
    </row>
    <row r="159" spans="1:28">
      <c r="A159" s="9">
        <v>152</v>
      </c>
      <c r="B159" s="9" t="s">
        <v>327</v>
      </c>
      <c r="C159" s="9" t="s">
        <v>328</v>
      </c>
      <c r="D159" s="9" t="s">
        <v>198</v>
      </c>
      <c r="E159" s="9" t="s">
        <v>33</v>
      </c>
      <c r="F159" s="7" t="s">
        <v>34</v>
      </c>
      <c r="G159" s="7" t="s">
        <v>56</v>
      </c>
      <c r="H159" s="7" t="s">
        <v>56</v>
      </c>
      <c r="I159" s="9">
        <v>152</v>
      </c>
      <c r="J159" s="9" t="s">
        <v>329</v>
      </c>
      <c r="K159" s="9" t="s">
        <v>38</v>
      </c>
      <c r="L159" s="11">
        <v>1</v>
      </c>
      <c r="M159" s="14">
        <v>7500.0</v>
      </c>
      <c r="N159" s="14"/>
      <c r="O159" s="16">
        <f>IF(M159&gt;0, N159/M159, 0)</f>
        <v>0</v>
      </c>
      <c r="P159" s="14">
        <f>M159-N159</f>
        <v>7500</v>
      </c>
      <c r="Q159" s="14">
        <f>L159*M159</f>
        <v>7500</v>
      </c>
      <c r="R159" s="14">
        <f>L159*N159</f>
        <v>0</v>
      </c>
      <c r="S159" s="14">
        <f>L159*P159</f>
        <v>7500</v>
      </c>
      <c r="T159" s="14"/>
      <c r="U159" s="14">
        <f>L159*T159</f>
        <v>0</v>
      </c>
      <c r="V159" s="14">
        <f>S159-U159</f>
        <v>7500</v>
      </c>
      <c r="W159" s="16">
        <f>IF(S159&gt;0, V159/S159, 0)</f>
        <v>1</v>
      </c>
      <c r="X159" s="7" t="s">
        <v>58</v>
      </c>
      <c r="Y159" s="9" t="s">
        <v>40</v>
      </c>
      <c r="Z159" s="9" t="s">
        <v>41</v>
      </c>
      <c r="AA159" s="9" t="s">
        <v>42</v>
      </c>
      <c r="AB159" s="7" t="s">
        <v>42</v>
      </c>
    </row>
    <row r="160" spans="1:28">
      <c r="A160" s="8">
        <v>153</v>
      </c>
      <c r="B160" s="8" t="s">
        <v>330</v>
      </c>
      <c r="C160" s="8" t="s">
        <v>328</v>
      </c>
      <c r="D160" s="8" t="s">
        <v>198</v>
      </c>
      <c r="E160" s="8" t="s">
        <v>33</v>
      </c>
      <c r="F160" s="6" t="s">
        <v>34</v>
      </c>
      <c r="G160" s="6" t="s">
        <v>51</v>
      </c>
      <c r="H160" s="6" t="s">
        <v>51</v>
      </c>
      <c r="I160" s="8">
        <v>158</v>
      </c>
      <c r="J160" s="8" t="s">
        <v>122</v>
      </c>
      <c r="K160" s="8" t="s">
        <v>38</v>
      </c>
      <c r="L160" s="10">
        <v>1</v>
      </c>
      <c r="M160" s="13">
        <v>8500.0</v>
      </c>
      <c r="N160" s="13"/>
      <c r="O160" s="15">
        <f>IF(M160&gt;0, N160/M160, 0)</f>
        <v>0</v>
      </c>
      <c r="P160" s="13">
        <f>M160-N160</f>
        <v>8500</v>
      </c>
      <c r="Q160" s="13">
        <f>L160*M160</f>
        <v>8500</v>
      </c>
      <c r="R160" s="13">
        <f>L160*N160</f>
        <v>0</v>
      </c>
      <c r="S160" s="13">
        <f>L160*P160</f>
        <v>8500</v>
      </c>
      <c r="T160" s="13"/>
      <c r="U160" s="13">
        <f>L160*T160</f>
        <v>0</v>
      </c>
      <c r="V160" s="13">
        <f>S160-U160</f>
        <v>8500</v>
      </c>
      <c r="W160" s="15">
        <f>IF(S160&gt;0, V160/S160, 0)</f>
        <v>1</v>
      </c>
      <c r="X160" s="6" t="s">
        <v>58</v>
      </c>
      <c r="Y160" s="8" t="s">
        <v>40</v>
      </c>
      <c r="Z160" s="8" t="s">
        <v>41</v>
      </c>
      <c r="AA160" s="8" t="s">
        <v>42</v>
      </c>
      <c r="AB160" s="6" t="s">
        <v>42</v>
      </c>
    </row>
    <row r="161" spans="1:28">
      <c r="A161" s="9">
        <v>154</v>
      </c>
      <c r="B161" s="9" t="s">
        <v>331</v>
      </c>
      <c r="C161" s="9" t="s">
        <v>328</v>
      </c>
      <c r="D161" s="9" t="s">
        <v>198</v>
      </c>
      <c r="E161" s="9" t="s">
        <v>33</v>
      </c>
      <c r="F161" s="7" t="s">
        <v>50</v>
      </c>
      <c r="G161" s="7" t="s">
        <v>158</v>
      </c>
      <c r="H161" s="7" t="s">
        <v>159</v>
      </c>
      <c r="I161" s="9" t="s">
        <v>42</v>
      </c>
      <c r="J161" s="9" t="s">
        <v>332</v>
      </c>
      <c r="K161" s="9" t="s">
        <v>38</v>
      </c>
      <c r="L161" s="11">
        <v>1</v>
      </c>
      <c r="M161" s="14">
        <v>5000.0</v>
      </c>
      <c r="N161" s="14"/>
      <c r="O161" s="16">
        <f>IF(M161&gt;0, N161/M161, 0)</f>
        <v>0</v>
      </c>
      <c r="P161" s="14">
        <f>M161-N161</f>
        <v>5000</v>
      </c>
      <c r="Q161" s="14">
        <f>L161*M161</f>
        <v>5000</v>
      </c>
      <c r="R161" s="14">
        <f>L161*N161</f>
        <v>0</v>
      </c>
      <c r="S161" s="14">
        <f>L161*P161</f>
        <v>5000</v>
      </c>
      <c r="T161" s="14"/>
      <c r="U161" s="14">
        <f>L161*T161</f>
        <v>0</v>
      </c>
      <c r="V161" s="14">
        <f>S161-U161</f>
        <v>5000</v>
      </c>
      <c r="W161" s="16">
        <f>IF(S161&gt;0, V161/S161, 0)</f>
        <v>1</v>
      </c>
      <c r="X161" s="7" t="s">
        <v>58</v>
      </c>
      <c r="Y161" s="9" t="s">
        <v>40</v>
      </c>
      <c r="Z161" s="9" t="s">
        <v>41</v>
      </c>
      <c r="AA161" s="9" t="s">
        <v>42</v>
      </c>
      <c r="AB161" s="7" t="s">
        <v>42</v>
      </c>
    </row>
    <row r="162" spans="1:28">
      <c r="A162" s="8">
        <v>155</v>
      </c>
      <c r="B162" s="8" t="s">
        <v>333</v>
      </c>
      <c r="C162" s="8" t="s">
        <v>328</v>
      </c>
      <c r="D162" s="8" t="s">
        <v>198</v>
      </c>
      <c r="E162" s="8" t="s">
        <v>33</v>
      </c>
      <c r="F162" s="6" t="s">
        <v>50</v>
      </c>
      <c r="G162" s="6" t="s">
        <v>63</v>
      </c>
      <c r="H162" s="6" t="s">
        <v>148</v>
      </c>
      <c r="I162" s="8">
        <v>122</v>
      </c>
      <c r="J162" s="8" t="s">
        <v>241</v>
      </c>
      <c r="K162" s="8" t="s">
        <v>38</v>
      </c>
      <c r="L162" s="10">
        <v>1</v>
      </c>
      <c r="M162" s="13">
        <v>10000.0</v>
      </c>
      <c r="N162" s="13"/>
      <c r="O162" s="15">
        <f>IF(M162&gt;0, N162/M162, 0)</f>
        <v>0</v>
      </c>
      <c r="P162" s="13">
        <f>M162-N162</f>
        <v>10000</v>
      </c>
      <c r="Q162" s="13">
        <f>L162*M162</f>
        <v>10000</v>
      </c>
      <c r="R162" s="13">
        <f>L162*N162</f>
        <v>0</v>
      </c>
      <c r="S162" s="13">
        <f>L162*P162</f>
        <v>10000</v>
      </c>
      <c r="T162" s="13"/>
      <c r="U162" s="13">
        <f>L162*T162</f>
        <v>0</v>
      </c>
      <c r="V162" s="13">
        <f>S162-U162</f>
        <v>10000</v>
      </c>
      <c r="W162" s="15">
        <f>IF(S162&gt;0, V162/S162, 0)</f>
        <v>1</v>
      </c>
      <c r="X162" s="6" t="s">
        <v>58</v>
      </c>
      <c r="Y162" s="8" t="s">
        <v>40</v>
      </c>
      <c r="Z162" s="8" t="s">
        <v>41</v>
      </c>
      <c r="AA162" s="8" t="s">
        <v>42</v>
      </c>
      <c r="AB162" s="6" t="s">
        <v>143</v>
      </c>
    </row>
    <row r="163" spans="1:28">
      <c r="A163" s="9">
        <v>156</v>
      </c>
      <c r="B163" s="9" t="s">
        <v>334</v>
      </c>
      <c r="C163" s="9" t="s">
        <v>328</v>
      </c>
      <c r="D163" s="9" t="s">
        <v>198</v>
      </c>
      <c r="E163" s="9" t="s">
        <v>33</v>
      </c>
      <c r="F163" s="7" t="s">
        <v>34</v>
      </c>
      <c r="G163" s="7" t="s">
        <v>35</v>
      </c>
      <c r="H163" s="7" t="s">
        <v>36</v>
      </c>
      <c r="I163" s="9">
        <v>182</v>
      </c>
      <c r="J163" s="9" t="s">
        <v>335</v>
      </c>
      <c r="K163" s="9" t="s">
        <v>38</v>
      </c>
      <c r="L163" s="11">
        <v>1</v>
      </c>
      <c r="M163" s="14">
        <v>8000.0</v>
      </c>
      <c r="N163" s="14"/>
      <c r="O163" s="16">
        <f>IF(M163&gt;0, N163/M163, 0)</f>
        <v>0</v>
      </c>
      <c r="P163" s="14">
        <f>M163-N163</f>
        <v>8000</v>
      </c>
      <c r="Q163" s="14">
        <f>L163*M163</f>
        <v>8000</v>
      </c>
      <c r="R163" s="14">
        <f>L163*N163</f>
        <v>0</v>
      </c>
      <c r="S163" s="14">
        <f>L163*P163</f>
        <v>8000</v>
      </c>
      <c r="T163" s="14"/>
      <c r="U163" s="14">
        <f>L163*T163</f>
        <v>0</v>
      </c>
      <c r="V163" s="14">
        <f>S163-U163</f>
        <v>8000</v>
      </c>
      <c r="W163" s="16">
        <f>IF(S163&gt;0, V163/S163, 0)</f>
        <v>1</v>
      </c>
      <c r="X163" s="7" t="s">
        <v>58</v>
      </c>
      <c r="Y163" s="9" t="s">
        <v>40</v>
      </c>
      <c r="Z163" s="9" t="s">
        <v>41</v>
      </c>
      <c r="AA163" s="9" t="s">
        <v>42</v>
      </c>
      <c r="AB163" s="7" t="s">
        <v>42</v>
      </c>
    </row>
    <row r="164" spans="1:28">
      <c r="A164" s="8">
        <v>157</v>
      </c>
      <c r="B164" s="8" t="s">
        <v>336</v>
      </c>
      <c r="C164" s="8" t="s">
        <v>328</v>
      </c>
      <c r="D164" s="8" t="s">
        <v>198</v>
      </c>
      <c r="E164" s="8" t="s">
        <v>33</v>
      </c>
      <c r="F164" s="6" t="s">
        <v>34</v>
      </c>
      <c r="G164" s="6" t="s">
        <v>51</v>
      </c>
      <c r="H164" s="6" t="s">
        <v>51</v>
      </c>
      <c r="I164" s="8">
        <v>182</v>
      </c>
      <c r="J164" s="8" t="s">
        <v>321</v>
      </c>
      <c r="K164" s="8" t="s">
        <v>38</v>
      </c>
      <c r="L164" s="10">
        <v>1</v>
      </c>
      <c r="M164" s="13">
        <v>8500.0</v>
      </c>
      <c r="N164" s="13"/>
      <c r="O164" s="15">
        <f>IF(M164&gt;0, N164/M164, 0)</f>
        <v>0</v>
      </c>
      <c r="P164" s="13">
        <f>M164-N164</f>
        <v>8500</v>
      </c>
      <c r="Q164" s="13">
        <f>L164*M164</f>
        <v>8500</v>
      </c>
      <c r="R164" s="13">
        <f>L164*N164</f>
        <v>0</v>
      </c>
      <c r="S164" s="13">
        <f>L164*P164</f>
        <v>8500</v>
      </c>
      <c r="T164" s="13"/>
      <c r="U164" s="13">
        <f>L164*T164</f>
        <v>0</v>
      </c>
      <c r="V164" s="13">
        <f>S164-U164</f>
        <v>8500</v>
      </c>
      <c r="W164" s="15">
        <f>IF(S164&gt;0, V164/S164, 0)</f>
        <v>1</v>
      </c>
      <c r="X164" s="6" t="s">
        <v>58</v>
      </c>
      <c r="Y164" s="8" t="s">
        <v>40</v>
      </c>
      <c r="Z164" s="8" t="s">
        <v>41</v>
      </c>
      <c r="AA164" s="8" t="s">
        <v>42</v>
      </c>
      <c r="AB164" s="6" t="s">
        <v>42</v>
      </c>
    </row>
    <row r="165" spans="1:28">
      <c r="A165" s="9">
        <v>158</v>
      </c>
      <c r="B165" s="9" t="s">
        <v>337</v>
      </c>
      <c r="C165" s="9" t="s">
        <v>328</v>
      </c>
      <c r="D165" s="9" t="s">
        <v>198</v>
      </c>
      <c r="E165" s="9" t="s">
        <v>33</v>
      </c>
      <c r="F165" s="7" t="s">
        <v>50</v>
      </c>
      <c r="G165" s="7" t="s">
        <v>63</v>
      </c>
      <c r="H165" s="7" t="s">
        <v>148</v>
      </c>
      <c r="I165" s="9">
        <v>128</v>
      </c>
      <c r="J165" s="9" t="s">
        <v>165</v>
      </c>
      <c r="K165" s="9" t="s">
        <v>38</v>
      </c>
      <c r="L165" s="11">
        <v>1</v>
      </c>
      <c r="M165" s="14">
        <v>10000.0</v>
      </c>
      <c r="N165" s="14"/>
      <c r="O165" s="16">
        <f>IF(M165&gt;0, N165/M165, 0)</f>
        <v>0</v>
      </c>
      <c r="P165" s="14">
        <f>M165-N165</f>
        <v>10000</v>
      </c>
      <c r="Q165" s="14">
        <f>L165*M165</f>
        <v>10000</v>
      </c>
      <c r="R165" s="14">
        <f>L165*N165</f>
        <v>0</v>
      </c>
      <c r="S165" s="14">
        <f>L165*P165</f>
        <v>10000</v>
      </c>
      <c r="T165" s="14"/>
      <c r="U165" s="14">
        <f>L165*T165</f>
        <v>0</v>
      </c>
      <c r="V165" s="14">
        <f>S165-U165</f>
        <v>10000</v>
      </c>
      <c r="W165" s="16">
        <f>IF(S165&gt;0, V165/S165, 0)</f>
        <v>1</v>
      </c>
      <c r="X165" s="7" t="s">
        <v>58</v>
      </c>
      <c r="Y165" s="9" t="s">
        <v>40</v>
      </c>
      <c r="Z165" s="9" t="s">
        <v>41</v>
      </c>
      <c r="AA165" s="9" t="s">
        <v>42</v>
      </c>
      <c r="AB165" s="7" t="s">
        <v>143</v>
      </c>
    </row>
    <row r="166" spans="1:28">
      <c r="A166" s="8">
        <v>159</v>
      </c>
      <c r="B166" s="8" t="s">
        <v>338</v>
      </c>
      <c r="C166" s="8" t="s">
        <v>328</v>
      </c>
      <c r="D166" s="8" t="s">
        <v>198</v>
      </c>
      <c r="E166" s="8" t="s">
        <v>33</v>
      </c>
      <c r="F166" s="6" t="s">
        <v>50</v>
      </c>
      <c r="G166" s="6" t="s">
        <v>63</v>
      </c>
      <c r="H166" s="6" t="s">
        <v>148</v>
      </c>
      <c r="I166" s="8">
        <v>152</v>
      </c>
      <c r="J166" s="8" t="s">
        <v>251</v>
      </c>
      <c r="K166" s="8" t="s">
        <v>38</v>
      </c>
      <c r="L166" s="10">
        <v>1</v>
      </c>
      <c r="M166" s="13">
        <v>12000.0</v>
      </c>
      <c r="N166" s="13"/>
      <c r="O166" s="15">
        <f>IF(M166&gt;0, N166/M166, 0)</f>
        <v>0</v>
      </c>
      <c r="P166" s="13">
        <f>M166-N166</f>
        <v>12000</v>
      </c>
      <c r="Q166" s="13">
        <f>L166*M166</f>
        <v>12000</v>
      </c>
      <c r="R166" s="13">
        <f>L166*N166</f>
        <v>0</v>
      </c>
      <c r="S166" s="13">
        <f>L166*P166</f>
        <v>12000</v>
      </c>
      <c r="T166" s="13"/>
      <c r="U166" s="13">
        <f>L166*T166</f>
        <v>0</v>
      </c>
      <c r="V166" s="13">
        <f>S166-U166</f>
        <v>12000</v>
      </c>
      <c r="W166" s="15">
        <f>IF(S166&gt;0, V166/S166, 0)</f>
        <v>1</v>
      </c>
      <c r="X166" s="6" t="s">
        <v>58</v>
      </c>
      <c r="Y166" s="8" t="s">
        <v>40</v>
      </c>
      <c r="Z166" s="8" t="s">
        <v>41</v>
      </c>
      <c r="AA166" s="8" t="s">
        <v>42</v>
      </c>
      <c r="AB166" s="6" t="s">
        <v>143</v>
      </c>
    </row>
    <row r="167" spans="1:28">
      <c r="A167" s="9">
        <v>160</v>
      </c>
      <c r="B167" s="9" t="s">
        <v>339</v>
      </c>
      <c r="C167" s="9" t="s">
        <v>328</v>
      </c>
      <c r="D167" s="9" t="s">
        <v>198</v>
      </c>
      <c r="E167" s="9" t="s">
        <v>33</v>
      </c>
      <c r="F167" s="7" t="s">
        <v>50</v>
      </c>
      <c r="G167" s="7" t="s">
        <v>35</v>
      </c>
      <c r="H167" s="7" t="s">
        <v>73</v>
      </c>
      <c r="I167" s="9">
        <v>146</v>
      </c>
      <c r="J167" s="9" t="s">
        <v>340</v>
      </c>
      <c r="K167" s="9" t="s">
        <v>53</v>
      </c>
      <c r="L167" s="11">
        <v>1</v>
      </c>
      <c r="M167" s="14">
        <v>8000.0</v>
      </c>
      <c r="N167" s="14"/>
      <c r="O167" s="16">
        <f>IF(M167&gt;0, N167/M167, 0)</f>
        <v>0</v>
      </c>
      <c r="P167" s="14">
        <f>M167-N167</f>
        <v>8000</v>
      </c>
      <c r="Q167" s="14">
        <f>L167*M167</f>
        <v>8000</v>
      </c>
      <c r="R167" s="14">
        <f>L167*N167</f>
        <v>0</v>
      </c>
      <c r="S167" s="14">
        <f>L167*P167</f>
        <v>8000</v>
      </c>
      <c r="T167" s="14"/>
      <c r="U167" s="14">
        <f>L167*T167</f>
        <v>0</v>
      </c>
      <c r="V167" s="14">
        <f>S167-U167</f>
        <v>8000</v>
      </c>
      <c r="W167" s="16">
        <f>IF(S167&gt;0, V167/S167, 0)</f>
        <v>1</v>
      </c>
      <c r="X167" s="7" t="s">
        <v>58</v>
      </c>
      <c r="Y167" s="9" t="s">
        <v>40</v>
      </c>
      <c r="Z167" s="9" t="s">
        <v>41</v>
      </c>
      <c r="AA167" s="9" t="s">
        <v>42</v>
      </c>
      <c r="AB167" s="7" t="s">
        <v>42</v>
      </c>
    </row>
    <row r="168" spans="1:28">
      <c r="A168" s="8">
        <v>161</v>
      </c>
      <c r="B168" s="8" t="s">
        <v>341</v>
      </c>
      <c r="C168" s="8" t="s">
        <v>328</v>
      </c>
      <c r="D168" s="8" t="s">
        <v>198</v>
      </c>
      <c r="E168" s="8" t="s">
        <v>33</v>
      </c>
      <c r="F168" s="6" t="s">
        <v>50</v>
      </c>
      <c r="G168" s="6" t="s">
        <v>69</v>
      </c>
      <c r="H168" s="6" t="s">
        <v>69</v>
      </c>
      <c r="I168" s="8">
        <v>134</v>
      </c>
      <c r="J168" s="8" t="s">
        <v>209</v>
      </c>
      <c r="K168" s="8" t="s">
        <v>38</v>
      </c>
      <c r="L168" s="10">
        <v>1</v>
      </c>
      <c r="M168" s="13">
        <v>16000.0</v>
      </c>
      <c r="N168" s="13"/>
      <c r="O168" s="15">
        <f>IF(M168&gt;0, N168/M168, 0)</f>
        <v>0</v>
      </c>
      <c r="P168" s="13">
        <f>M168-N168</f>
        <v>16000</v>
      </c>
      <c r="Q168" s="13">
        <f>L168*M168</f>
        <v>16000</v>
      </c>
      <c r="R168" s="13">
        <f>L168*N168</f>
        <v>0</v>
      </c>
      <c r="S168" s="13">
        <f>L168*P168</f>
        <v>16000</v>
      </c>
      <c r="T168" s="13"/>
      <c r="U168" s="13">
        <f>L168*T168</f>
        <v>0</v>
      </c>
      <c r="V168" s="13">
        <f>S168-U168</f>
        <v>16000</v>
      </c>
      <c r="W168" s="15">
        <f>IF(S168&gt;0, V168/S168, 0)</f>
        <v>1</v>
      </c>
      <c r="X168" s="6" t="s">
        <v>58</v>
      </c>
      <c r="Y168" s="8" t="s">
        <v>40</v>
      </c>
      <c r="Z168" s="8" t="s">
        <v>41</v>
      </c>
      <c r="AA168" s="8" t="s">
        <v>42</v>
      </c>
      <c r="AB168" s="6" t="s">
        <v>42</v>
      </c>
    </row>
    <row r="169" spans="1:28">
      <c r="A169" s="9">
        <v>162</v>
      </c>
      <c r="B169" s="9" t="s">
        <v>342</v>
      </c>
      <c r="C169" s="9" t="s">
        <v>328</v>
      </c>
      <c r="D169" s="9" t="s">
        <v>198</v>
      </c>
      <c r="E169" s="9" t="s">
        <v>33</v>
      </c>
      <c r="F169" s="7" t="s">
        <v>34</v>
      </c>
      <c r="G169" s="7" t="s">
        <v>69</v>
      </c>
      <c r="H169" s="7" t="s">
        <v>69</v>
      </c>
      <c r="I169" s="9">
        <v>164</v>
      </c>
      <c r="J169" s="9" t="s">
        <v>70</v>
      </c>
      <c r="K169" s="9" t="s">
        <v>38</v>
      </c>
      <c r="L169" s="11">
        <v>1</v>
      </c>
      <c r="M169" s="14">
        <v>18000.0</v>
      </c>
      <c r="N169" s="14"/>
      <c r="O169" s="16">
        <f>IF(M169&gt;0, N169/M169, 0)</f>
        <v>0</v>
      </c>
      <c r="P169" s="14">
        <f>M169-N169</f>
        <v>18000</v>
      </c>
      <c r="Q169" s="14">
        <f>L169*M169</f>
        <v>18000</v>
      </c>
      <c r="R169" s="14">
        <f>L169*N169</f>
        <v>0</v>
      </c>
      <c r="S169" s="14">
        <f>L169*P169</f>
        <v>18000</v>
      </c>
      <c r="T169" s="14"/>
      <c r="U169" s="14">
        <f>L169*T169</f>
        <v>0</v>
      </c>
      <c r="V169" s="14">
        <f>S169-U169</f>
        <v>18000</v>
      </c>
      <c r="W169" s="16">
        <f>IF(S169&gt;0, V169/S169, 0)</f>
        <v>1</v>
      </c>
      <c r="X169" s="7" t="s">
        <v>58</v>
      </c>
      <c r="Y169" s="9" t="s">
        <v>40</v>
      </c>
      <c r="Z169" s="9" t="s">
        <v>41</v>
      </c>
      <c r="AA169" s="9" t="s">
        <v>42</v>
      </c>
      <c r="AB169" s="7" t="s">
        <v>143</v>
      </c>
    </row>
    <row r="170" spans="1:28">
      <c r="A170" s="8">
        <v>163</v>
      </c>
      <c r="B170" s="8" t="s">
        <v>343</v>
      </c>
      <c r="C170" s="8" t="s">
        <v>328</v>
      </c>
      <c r="D170" s="8" t="s">
        <v>198</v>
      </c>
      <c r="E170" s="8" t="s">
        <v>33</v>
      </c>
      <c r="F170" s="6" t="s">
        <v>34</v>
      </c>
      <c r="G170" s="6" t="s">
        <v>69</v>
      </c>
      <c r="H170" s="6" t="s">
        <v>69</v>
      </c>
      <c r="I170" s="8">
        <v>152</v>
      </c>
      <c r="J170" s="8" t="s">
        <v>207</v>
      </c>
      <c r="K170" s="8" t="s">
        <v>38</v>
      </c>
      <c r="L170" s="10">
        <v>1</v>
      </c>
      <c r="M170" s="13">
        <v>16000.0</v>
      </c>
      <c r="N170" s="13"/>
      <c r="O170" s="15">
        <f>IF(M170&gt;0, N170/M170, 0)</f>
        <v>0</v>
      </c>
      <c r="P170" s="13">
        <f>M170-N170</f>
        <v>16000</v>
      </c>
      <c r="Q170" s="13">
        <f>L170*M170</f>
        <v>16000</v>
      </c>
      <c r="R170" s="13">
        <f>L170*N170</f>
        <v>0</v>
      </c>
      <c r="S170" s="13">
        <f>L170*P170</f>
        <v>16000</v>
      </c>
      <c r="T170" s="13"/>
      <c r="U170" s="13">
        <f>L170*T170</f>
        <v>0</v>
      </c>
      <c r="V170" s="13">
        <f>S170-U170</f>
        <v>16000</v>
      </c>
      <c r="W170" s="15">
        <f>IF(S170&gt;0, V170/S170, 0)</f>
        <v>1</v>
      </c>
      <c r="X170" s="6" t="s">
        <v>58</v>
      </c>
      <c r="Y170" s="8" t="s">
        <v>40</v>
      </c>
      <c r="Z170" s="8" t="s">
        <v>41</v>
      </c>
      <c r="AA170" s="8" t="s">
        <v>42</v>
      </c>
      <c r="AB170" s="6" t="s">
        <v>42</v>
      </c>
    </row>
    <row r="171" spans="1:28">
      <c r="A171" s="9">
        <v>164</v>
      </c>
      <c r="B171" s="9" t="s">
        <v>344</v>
      </c>
      <c r="C171" s="9" t="s">
        <v>328</v>
      </c>
      <c r="D171" s="9" t="s">
        <v>198</v>
      </c>
      <c r="E171" s="9" t="s">
        <v>33</v>
      </c>
      <c r="F171" s="7" t="s">
        <v>34</v>
      </c>
      <c r="G171" s="7" t="s">
        <v>45</v>
      </c>
      <c r="H171" s="7" t="s">
        <v>46</v>
      </c>
      <c r="I171" s="9">
        <v>152</v>
      </c>
      <c r="J171" s="9" t="s">
        <v>345</v>
      </c>
      <c r="K171" s="9" t="s">
        <v>38</v>
      </c>
      <c r="L171" s="11">
        <v>1</v>
      </c>
      <c r="M171" s="14">
        <v>18000.0</v>
      </c>
      <c r="N171" s="14"/>
      <c r="O171" s="16">
        <f>IF(M171&gt;0, N171/M171, 0)</f>
        <v>0</v>
      </c>
      <c r="P171" s="14">
        <f>M171-N171</f>
        <v>18000</v>
      </c>
      <c r="Q171" s="14">
        <f>L171*M171</f>
        <v>18000</v>
      </c>
      <c r="R171" s="14">
        <f>L171*N171</f>
        <v>0</v>
      </c>
      <c r="S171" s="14">
        <f>L171*P171</f>
        <v>18000</v>
      </c>
      <c r="T171" s="14"/>
      <c r="U171" s="14">
        <f>L171*T171</f>
        <v>0</v>
      </c>
      <c r="V171" s="14">
        <f>S171-U171</f>
        <v>18000</v>
      </c>
      <c r="W171" s="16">
        <f>IF(S171&gt;0, V171/S171, 0)</f>
        <v>1</v>
      </c>
      <c r="X171" s="7" t="s">
        <v>58</v>
      </c>
      <c r="Y171" s="9" t="s">
        <v>40</v>
      </c>
      <c r="Z171" s="9" t="s">
        <v>41</v>
      </c>
      <c r="AA171" s="9" t="s">
        <v>42</v>
      </c>
      <c r="AB171" s="7" t="s">
        <v>42</v>
      </c>
    </row>
    <row r="172" spans="1:28">
      <c r="A172" s="8">
        <v>165</v>
      </c>
      <c r="B172" s="8" t="s">
        <v>346</v>
      </c>
      <c r="C172" s="8" t="s">
        <v>328</v>
      </c>
      <c r="D172" s="8" t="s">
        <v>198</v>
      </c>
      <c r="E172" s="8" t="s">
        <v>33</v>
      </c>
      <c r="F172" s="6" t="s">
        <v>34</v>
      </c>
      <c r="G172" s="6" t="s">
        <v>51</v>
      </c>
      <c r="H172" s="6" t="s">
        <v>51</v>
      </c>
      <c r="I172" s="8">
        <v>164</v>
      </c>
      <c r="J172" s="8" t="s">
        <v>61</v>
      </c>
      <c r="K172" s="8" t="s">
        <v>38</v>
      </c>
      <c r="L172" s="10">
        <v>1</v>
      </c>
      <c r="M172" s="13">
        <v>8500.0</v>
      </c>
      <c r="N172" s="13"/>
      <c r="O172" s="15">
        <f>IF(M172&gt;0, N172/M172, 0)</f>
        <v>0</v>
      </c>
      <c r="P172" s="13">
        <f>M172-N172</f>
        <v>8500</v>
      </c>
      <c r="Q172" s="13">
        <f>L172*M172</f>
        <v>8500</v>
      </c>
      <c r="R172" s="13">
        <f>L172*N172</f>
        <v>0</v>
      </c>
      <c r="S172" s="13">
        <f>L172*P172</f>
        <v>8500</v>
      </c>
      <c r="T172" s="13"/>
      <c r="U172" s="13">
        <f>L172*T172</f>
        <v>0</v>
      </c>
      <c r="V172" s="13">
        <f>S172-U172</f>
        <v>8500</v>
      </c>
      <c r="W172" s="15">
        <f>IF(S172&gt;0, V172/S172, 0)</f>
        <v>1</v>
      </c>
      <c r="X172" s="6" t="s">
        <v>58</v>
      </c>
      <c r="Y172" s="8" t="s">
        <v>40</v>
      </c>
      <c r="Z172" s="8" t="s">
        <v>41</v>
      </c>
      <c r="AA172" s="8" t="s">
        <v>42</v>
      </c>
      <c r="AB172" s="6" t="s">
        <v>42</v>
      </c>
    </row>
    <row r="173" spans="1:28">
      <c r="A173" s="9">
        <v>166</v>
      </c>
      <c r="B173" s="9" t="s">
        <v>347</v>
      </c>
      <c r="C173" s="9" t="s">
        <v>328</v>
      </c>
      <c r="D173" s="9" t="s">
        <v>198</v>
      </c>
      <c r="E173" s="9" t="s">
        <v>33</v>
      </c>
      <c r="F173" s="7" t="s">
        <v>34</v>
      </c>
      <c r="G173" s="7" t="s">
        <v>35</v>
      </c>
      <c r="H173" s="7" t="s">
        <v>36</v>
      </c>
      <c r="I173" s="9">
        <v>170</v>
      </c>
      <c r="J173" s="9" t="s">
        <v>142</v>
      </c>
      <c r="K173" s="9" t="s">
        <v>38</v>
      </c>
      <c r="L173" s="11">
        <v>2</v>
      </c>
      <c r="M173" s="14">
        <v>7000.0</v>
      </c>
      <c r="N173" s="14"/>
      <c r="O173" s="16">
        <f>IF(M173&gt;0, N173/M173, 0)</f>
        <v>0</v>
      </c>
      <c r="P173" s="14">
        <f>M173-N173</f>
        <v>7000</v>
      </c>
      <c r="Q173" s="14">
        <f>L173*M173</f>
        <v>14000</v>
      </c>
      <c r="R173" s="14">
        <f>L173*N173</f>
        <v>0</v>
      </c>
      <c r="S173" s="14">
        <f>L173*P173</f>
        <v>14000</v>
      </c>
      <c r="T173" s="14"/>
      <c r="U173" s="14">
        <f>L173*T173</f>
        <v>0</v>
      </c>
      <c r="V173" s="14">
        <f>S173-U173</f>
        <v>14000</v>
      </c>
      <c r="W173" s="16">
        <f>IF(S173&gt;0, V173/S173, 0)</f>
        <v>1</v>
      </c>
      <c r="X173" s="7" t="s">
        <v>58</v>
      </c>
      <c r="Y173" s="9" t="s">
        <v>40</v>
      </c>
      <c r="Z173" s="9" t="s">
        <v>41</v>
      </c>
      <c r="AA173" s="9" t="s">
        <v>42</v>
      </c>
      <c r="AB173" s="7" t="s">
        <v>42</v>
      </c>
    </row>
    <row r="174" spans="1:28">
      <c r="A174" s="8">
        <v>167</v>
      </c>
      <c r="B174" s="8" t="s">
        <v>348</v>
      </c>
      <c r="C174" s="8" t="s">
        <v>349</v>
      </c>
      <c r="D174" s="8" t="s">
        <v>198</v>
      </c>
      <c r="E174" s="8" t="s">
        <v>33</v>
      </c>
      <c r="F174" s="6" t="s">
        <v>50</v>
      </c>
      <c r="G174" s="6" t="s">
        <v>69</v>
      </c>
      <c r="H174" s="6" t="s">
        <v>69</v>
      </c>
      <c r="I174" s="8">
        <v>152</v>
      </c>
      <c r="J174" s="8" t="s">
        <v>350</v>
      </c>
      <c r="K174" s="8" t="s">
        <v>38</v>
      </c>
      <c r="L174" s="10">
        <v>1</v>
      </c>
      <c r="M174" s="13">
        <v>16000.0</v>
      </c>
      <c r="N174" s="13"/>
      <c r="O174" s="15">
        <f>IF(M174&gt;0, N174/M174, 0)</f>
        <v>0</v>
      </c>
      <c r="P174" s="13">
        <f>M174-N174</f>
        <v>16000</v>
      </c>
      <c r="Q174" s="13">
        <f>L174*M174</f>
        <v>16000</v>
      </c>
      <c r="R174" s="13">
        <f>L174*N174</f>
        <v>0</v>
      </c>
      <c r="S174" s="13">
        <f>L174*P174</f>
        <v>16000</v>
      </c>
      <c r="T174" s="13"/>
      <c r="U174" s="13">
        <f>L174*T174</f>
        <v>0</v>
      </c>
      <c r="V174" s="13">
        <f>S174-U174</f>
        <v>16000</v>
      </c>
      <c r="W174" s="15">
        <f>IF(S174&gt;0, V174/S174, 0)</f>
        <v>1</v>
      </c>
      <c r="X174" s="6" t="s">
        <v>39</v>
      </c>
      <c r="Y174" s="8" t="s">
        <v>40</v>
      </c>
      <c r="Z174" s="8" t="s">
        <v>41</v>
      </c>
      <c r="AA174" s="8" t="s">
        <v>42</v>
      </c>
      <c r="AB174" s="6" t="s">
        <v>42</v>
      </c>
    </row>
    <row r="175" spans="1:28">
      <c r="A175" s="9">
        <v>168</v>
      </c>
      <c r="B175" s="9" t="s">
        <v>351</v>
      </c>
      <c r="C175" s="9" t="s">
        <v>349</v>
      </c>
      <c r="D175" s="9" t="s">
        <v>198</v>
      </c>
      <c r="E175" s="9" t="s">
        <v>33</v>
      </c>
      <c r="F175" s="7" t="s">
        <v>34</v>
      </c>
      <c r="G175" s="7" t="s">
        <v>35</v>
      </c>
      <c r="H175" s="7" t="s">
        <v>36</v>
      </c>
      <c r="I175" s="9">
        <v>176</v>
      </c>
      <c r="J175" s="9" t="s">
        <v>352</v>
      </c>
      <c r="K175" s="9" t="s">
        <v>38</v>
      </c>
      <c r="L175" s="11">
        <v>1</v>
      </c>
      <c r="M175" s="14">
        <v>8000.0</v>
      </c>
      <c r="N175" s="14"/>
      <c r="O175" s="16">
        <f>IF(M175&gt;0, N175/M175, 0)</f>
        <v>0</v>
      </c>
      <c r="P175" s="14">
        <f>M175-N175</f>
        <v>8000</v>
      </c>
      <c r="Q175" s="14">
        <f>L175*M175</f>
        <v>8000</v>
      </c>
      <c r="R175" s="14">
        <f>L175*N175</f>
        <v>0</v>
      </c>
      <c r="S175" s="14">
        <f>L175*P175</f>
        <v>8000</v>
      </c>
      <c r="T175" s="14"/>
      <c r="U175" s="14">
        <f>L175*T175</f>
        <v>0</v>
      </c>
      <c r="V175" s="14">
        <f>S175-U175</f>
        <v>8000</v>
      </c>
      <c r="W175" s="16">
        <f>IF(S175&gt;0, V175/S175, 0)</f>
        <v>1</v>
      </c>
      <c r="X175" s="7" t="s">
        <v>39</v>
      </c>
      <c r="Y175" s="9" t="s">
        <v>40</v>
      </c>
      <c r="Z175" s="9" t="s">
        <v>41</v>
      </c>
      <c r="AA175" s="9" t="s">
        <v>42</v>
      </c>
      <c r="AB175" s="7" t="s">
        <v>42</v>
      </c>
    </row>
    <row r="176" spans="1:28">
      <c r="A176" s="8">
        <v>169</v>
      </c>
      <c r="B176" s="8" t="s">
        <v>353</v>
      </c>
      <c r="C176" s="8" t="s">
        <v>349</v>
      </c>
      <c r="D176" s="8" t="s">
        <v>198</v>
      </c>
      <c r="E176" s="8" t="s">
        <v>33</v>
      </c>
      <c r="F176" s="6" t="s">
        <v>34</v>
      </c>
      <c r="G176" s="6" t="s">
        <v>35</v>
      </c>
      <c r="H176" s="6" t="s">
        <v>73</v>
      </c>
      <c r="I176" s="8">
        <v>182</v>
      </c>
      <c r="J176" s="8" t="s">
        <v>354</v>
      </c>
      <c r="K176" s="8" t="s">
        <v>38</v>
      </c>
      <c r="L176" s="10">
        <v>1</v>
      </c>
      <c r="M176" s="13">
        <v>9000.0</v>
      </c>
      <c r="N176" s="13"/>
      <c r="O176" s="15">
        <f>IF(M176&gt;0, N176/M176, 0)</f>
        <v>0</v>
      </c>
      <c r="P176" s="13">
        <f>M176-N176</f>
        <v>9000</v>
      </c>
      <c r="Q176" s="13">
        <f>L176*M176</f>
        <v>9000</v>
      </c>
      <c r="R176" s="13">
        <f>L176*N176</f>
        <v>0</v>
      </c>
      <c r="S176" s="13">
        <f>L176*P176</f>
        <v>9000</v>
      </c>
      <c r="T176" s="13"/>
      <c r="U176" s="13">
        <f>L176*T176</f>
        <v>0</v>
      </c>
      <c r="V176" s="13">
        <f>S176-U176</f>
        <v>9000</v>
      </c>
      <c r="W176" s="15">
        <f>IF(S176&gt;0, V176/S176, 0)</f>
        <v>1</v>
      </c>
      <c r="X176" s="6" t="s">
        <v>39</v>
      </c>
      <c r="Y176" s="8" t="s">
        <v>40</v>
      </c>
      <c r="Z176" s="8" t="s">
        <v>41</v>
      </c>
      <c r="AA176" s="8" t="s">
        <v>42</v>
      </c>
      <c r="AB176" s="6" t="s">
        <v>42</v>
      </c>
    </row>
    <row r="177" spans="1:28">
      <c r="A177" s="9">
        <v>170</v>
      </c>
      <c r="B177" s="9" t="s">
        <v>355</v>
      </c>
      <c r="C177" s="9" t="s">
        <v>349</v>
      </c>
      <c r="D177" s="9" t="s">
        <v>198</v>
      </c>
      <c r="E177" s="9" t="s">
        <v>33</v>
      </c>
      <c r="F177" s="7" t="s">
        <v>34</v>
      </c>
      <c r="G177" s="7" t="s">
        <v>51</v>
      </c>
      <c r="H177" s="7" t="s">
        <v>51</v>
      </c>
      <c r="I177" s="9">
        <v>182</v>
      </c>
      <c r="J177" s="9" t="s">
        <v>321</v>
      </c>
      <c r="K177" s="9" t="s">
        <v>38</v>
      </c>
      <c r="L177" s="11">
        <v>1</v>
      </c>
      <c r="M177" s="14">
        <v>8500.0</v>
      </c>
      <c r="N177" s="14"/>
      <c r="O177" s="16">
        <f>IF(M177&gt;0, N177/M177, 0)</f>
        <v>0</v>
      </c>
      <c r="P177" s="14">
        <f>M177-N177</f>
        <v>8500</v>
      </c>
      <c r="Q177" s="14">
        <f>L177*M177</f>
        <v>8500</v>
      </c>
      <c r="R177" s="14">
        <f>L177*N177</f>
        <v>0</v>
      </c>
      <c r="S177" s="14">
        <f>L177*P177</f>
        <v>8500</v>
      </c>
      <c r="T177" s="14"/>
      <c r="U177" s="14">
        <f>L177*T177</f>
        <v>0</v>
      </c>
      <c r="V177" s="14">
        <f>S177-U177</f>
        <v>8500</v>
      </c>
      <c r="W177" s="16">
        <f>IF(S177&gt;0, V177/S177, 0)</f>
        <v>1</v>
      </c>
      <c r="X177" s="7" t="s">
        <v>39</v>
      </c>
      <c r="Y177" s="9" t="s">
        <v>40</v>
      </c>
      <c r="Z177" s="9" t="s">
        <v>41</v>
      </c>
      <c r="AA177" s="9" t="s">
        <v>42</v>
      </c>
      <c r="AB177" s="7" t="s">
        <v>42</v>
      </c>
    </row>
    <row r="178" spans="1:28">
      <c r="A178" s="8">
        <v>171</v>
      </c>
      <c r="B178" s="8" t="s">
        <v>356</v>
      </c>
      <c r="C178" s="8" t="s">
        <v>349</v>
      </c>
      <c r="D178" s="8" t="s">
        <v>198</v>
      </c>
      <c r="E178" s="8" t="s">
        <v>68</v>
      </c>
      <c r="F178" s="6" t="s">
        <v>50</v>
      </c>
      <c r="G178" s="6" t="s">
        <v>63</v>
      </c>
      <c r="H178" s="6" t="s">
        <v>148</v>
      </c>
      <c r="I178" s="8">
        <v>122</v>
      </c>
      <c r="J178" s="8" t="s">
        <v>241</v>
      </c>
      <c r="K178" s="8" t="s">
        <v>38</v>
      </c>
      <c r="L178" s="10">
        <v>1</v>
      </c>
      <c r="M178" s="13">
        <v>10000.0</v>
      </c>
      <c r="N178" s="13"/>
      <c r="O178" s="15">
        <f>IF(M178&gt;0, N178/M178, 0)</f>
        <v>0</v>
      </c>
      <c r="P178" s="13">
        <f>M178-N178</f>
        <v>10000</v>
      </c>
      <c r="Q178" s="13">
        <f>L178*M178</f>
        <v>10000</v>
      </c>
      <c r="R178" s="13">
        <f>L178*N178</f>
        <v>0</v>
      </c>
      <c r="S178" s="13">
        <f>L178*P178</f>
        <v>10000</v>
      </c>
      <c r="T178" s="13"/>
      <c r="U178" s="13">
        <f>L178*T178</f>
        <v>0</v>
      </c>
      <c r="V178" s="13">
        <f>S178-U178</f>
        <v>10000</v>
      </c>
      <c r="W178" s="15">
        <f>IF(S178&gt;0, V178/S178, 0)</f>
        <v>1</v>
      </c>
      <c r="X178" s="6" t="s">
        <v>39</v>
      </c>
      <c r="Y178" s="8" t="s">
        <v>40</v>
      </c>
      <c r="Z178" s="8" t="s">
        <v>71</v>
      </c>
      <c r="AA178" s="8" t="s">
        <v>42</v>
      </c>
      <c r="AB178" s="6" t="s">
        <v>42</v>
      </c>
    </row>
    <row r="179" spans="1:28">
      <c r="A179" s="9">
        <v>172</v>
      </c>
      <c r="B179" s="9" t="s">
        <v>357</v>
      </c>
      <c r="C179" s="9" t="s">
        <v>349</v>
      </c>
      <c r="D179" s="9" t="s">
        <v>198</v>
      </c>
      <c r="E179" s="9" t="s">
        <v>68</v>
      </c>
      <c r="F179" s="7" t="s">
        <v>50</v>
      </c>
      <c r="G179" s="7" t="s">
        <v>158</v>
      </c>
      <c r="H179" s="7" t="s">
        <v>159</v>
      </c>
      <c r="I179" s="9" t="s">
        <v>42</v>
      </c>
      <c r="J179" s="9" t="s">
        <v>358</v>
      </c>
      <c r="K179" s="9" t="s">
        <v>38</v>
      </c>
      <c r="L179" s="11">
        <v>1</v>
      </c>
      <c r="M179" s="14">
        <v>5000.0</v>
      </c>
      <c r="N179" s="14"/>
      <c r="O179" s="16">
        <f>IF(M179&gt;0, N179/M179, 0)</f>
        <v>0</v>
      </c>
      <c r="P179" s="14">
        <f>M179-N179</f>
        <v>5000</v>
      </c>
      <c r="Q179" s="14">
        <f>L179*M179</f>
        <v>5000</v>
      </c>
      <c r="R179" s="14">
        <f>L179*N179</f>
        <v>0</v>
      </c>
      <c r="S179" s="14">
        <f>L179*P179</f>
        <v>5000</v>
      </c>
      <c r="T179" s="14"/>
      <c r="U179" s="14">
        <f>L179*T179</f>
        <v>0</v>
      </c>
      <c r="V179" s="14">
        <f>S179-U179</f>
        <v>5000</v>
      </c>
      <c r="W179" s="16">
        <f>IF(S179&gt;0, V179/S179, 0)</f>
        <v>1</v>
      </c>
      <c r="X179" s="7" t="s">
        <v>39</v>
      </c>
      <c r="Y179" s="9" t="s">
        <v>40</v>
      </c>
      <c r="Z179" s="9" t="s">
        <v>71</v>
      </c>
      <c r="AA179" s="9" t="s">
        <v>42</v>
      </c>
      <c r="AB179" s="7" t="s">
        <v>42</v>
      </c>
    </row>
    <row r="180" spans="1:28">
      <c r="A180" s="8">
        <v>173</v>
      </c>
      <c r="B180" s="8" t="s">
        <v>359</v>
      </c>
      <c r="C180" s="8" t="s">
        <v>349</v>
      </c>
      <c r="D180" s="8" t="s">
        <v>198</v>
      </c>
      <c r="E180" s="8" t="s">
        <v>68</v>
      </c>
      <c r="F180" s="6" t="s">
        <v>50</v>
      </c>
      <c r="G180" s="6" t="s">
        <v>63</v>
      </c>
      <c r="H180" s="6" t="s">
        <v>148</v>
      </c>
      <c r="I180" s="8">
        <v>128</v>
      </c>
      <c r="J180" s="8" t="s">
        <v>165</v>
      </c>
      <c r="K180" s="8" t="s">
        <v>38</v>
      </c>
      <c r="L180" s="10">
        <v>1</v>
      </c>
      <c r="M180" s="13">
        <v>10000.0</v>
      </c>
      <c r="N180" s="13"/>
      <c r="O180" s="15">
        <f>IF(M180&gt;0, N180/M180, 0)</f>
        <v>0</v>
      </c>
      <c r="P180" s="13">
        <f>M180-N180</f>
        <v>10000</v>
      </c>
      <c r="Q180" s="13">
        <f>L180*M180</f>
        <v>10000</v>
      </c>
      <c r="R180" s="13">
        <f>L180*N180</f>
        <v>0</v>
      </c>
      <c r="S180" s="13">
        <f>L180*P180</f>
        <v>10000</v>
      </c>
      <c r="T180" s="13"/>
      <c r="U180" s="13">
        <f>L180*T180</f>
        <v>0</v>
      </c>
      <c r="V180" s="13">
        <f>S180-U180</f>
        <v>10000</v>
      </c>
      <c r="W180" s="15">
        <f>IF(S180&gt;0, V180/S180, 0)</f>
        <v>1</v>
      </c>
      <c r="X180" s="6" t="s">
        <v>39</v>
      </c>
      <c r="Y180" s="8" t="s">
        <v>40</v>
      </c>
      <c r="Z180" s="8" t="s">
        <v>71</v>
      </c>
      <c r="AA180" s="8" t="s">
        <v>42</v>
      </c>
      <c r="AB180" s="6" t="s">
        <v>42</v>
      </c>
    </row>
    <row r="181" spans="1:28">
      <c r="A181" s="9">
        <v>174</v>
      </c>
      <c r="B181" s="9" t="s">
        <v>360</v>
      </c>
      <c r="C181" s="9" t="s">
        <v>349</v>
      </c>
      <c r="D181" s="9" t="s">
        <v>198</v>
      </c>
      <c r="E181" s="9" t="s">
        <v>33</v>
      </c>
      <c r="F181" s="7" t="s">
        <v>50</v>
      </c>
      <c r="G181" s="7" t="s">
        <v>51</v>
      </c>
      <c r="H181" s="7" t="s">
        <v>51</v>
      </c>
      <c r="I181" s="9">
        <v>140</v>
      </c>
      <c r="J181" s="9" t="s">
        <v>279</v>
      </c>
      <c r="K181" s="9" t="s">
        <v>53</v>
      </c>
      <c r="L181" s="11">
        <v>1</v>
      </c>
      <c r="M181" s="14">
        <v>8000.0</v>
      </c>
      <c r="N181" s="14"/>
      <c r="O181" s="16">
        <f>IF(M181&gt;0, N181/M181, 0)</f>
        <v>0</v>
      </c>
      <c r="P181" s="14">
        <f>M181-N181</f>
        <v>8000</v>
      </c>
      <c r="Q181" s="14">
        <f>L181*M181</f>
        <v>8000</v>
      </c>
      <c r="R181" s="14">
        <f>L181*N181</f>
        <v>0</v>
      </c>
      <c r="S181" s="14">
        <f>L181*P181</f>
        <v>8000</v>
      </c>
      <c r="T181" s="14"/>
      <c r="U181" s="14">
        <f>L181*T181</f>
        <v>0</v>
      </c>
      <c r="V181" s="14">
        <f>S181-U181</f>
        <v>8000</v>
      </c>
      <c r="W181" s="16">
        <f>IF(S181&gt;0, V181/S181, 0)</f>
        <v>1</v>
      </c>
      <c r="X181" s="7" t="s">
        <v>39</v>
      </c>
      <c r="Y181" s="9" t="s">
        <v>40</v>
      </c>
      <c r="Z181" s="9" t="s">
        <v>41</v>
      </c>
      <c r="AA181" s="9" t="s">
        <v>42</v>
      </c>
      <c r="AB181" s="7" t="s">
        <v>42</v>
      </c>
    </row>
    <row r="182" spans="1:28">
      <c r="A182" s="8">
        <v>175</v>
      </c>
      <c r="B182" s="8" t="s">
        <v>361</v>
      </c>
      <c r="C182" s="8" t="s">
        <v>349</v>
      </c>
      <c r="D182" s="8" t="s">
        <v>198</v>
      </c>
      <c r="E182" s="8" t="s">
        <v>33</v>
      </c>
      <c r="F182" s="6" t="s">
        <v>50</v>
      </c>
      <c r="G182" s="6" t="s">
        <v>35</v>
      </c>
      <c r="H182" s="6" t="s">
        <v>36</v>
      </c>
      <c r="I182" s="8">
        <v>140</v>
      </c>
      <c r="J182" s="8" t="s">
        <v>223</v>
      </c>
      <c r="K182" s="8" t="s">
        <v>53</v>
      </c>
      <c r="L182" s="10">
        <v>1</v>
      </c>
      <c r="M182" s="13">
        <v>7000.0</v>
      </c>
      <c r="N182" s="13"/>
      <c r="O182" s="15">
        <f>IF(M182&gt;0, N182/M182, 0)</f>
        <v>0</v>
      </c>
      <c r="P182" s="13">
        <f>M182-N182</f>
        <v>7000</v>
      </c>
      <c r="Q182" s="13">
        <f>L182*M182</f>
        <v>7000</v>
      </c>
      <c r="R182" s="13">
        <f>L182*N182</f>
        <v>0</v>
      </c>
      <c r="S182" s="13">
        <f>L182*P182</f>
        <v>7000</v>
      </c>
      <c r="T182" s="13"/>
      <c r="U182" s="13">
        <f>L182*T182</f>
        <v>0</v>
      </c>
      <c r="V182" s="13">
        <f>S182-U182</f>
        <v>7000</v>
      </c>
      <c r="W182" s="15">
        <f>IF(S182&gt;0, V182/S182, 0)</f>
        <v>1</v>
      </c>
      <c r="X182" s="6" t="s">
        <v>39</v>
      </c>
      <c r="Y182" s="8" t="s">
        <v>40</v>
      </c>
      <c r="Z182" s="8" t="s">
        <v>41</v>
      </c>
      <c r="AA182" s="8" t="s">
        <v>42</v>
      </c>
      <c r="AB182" s="6" t="s">
        <v>42</v>
      </c>
    </row>
    <row r="183" spans="1:28">
      <c r="A183" s="9">
        <v>176</v>
      </c>
      <c r="B183" s="9" t="s">
        <v>362</v>
      </c>
      <c r="C183" s="9" t="s">
        <v>349</v>
      </c>
      <c r="D183" s="9" t="s">
        <v>198</v>
      </c>
      <c r="E183" s="9" t="s">
        <v>33</v>
      </c>
      <c r="F183" s="7" t="s">
        <v>34</v>
      </c>
      <c r="G183" s="7" t="s">
        <v>51</v>
      </c>
      <c r="H183" s="7" t="s">
        <v>51</v>
      </c>
      <c r="I183" s="9">
        <v>164</v>
      </c>
      <c r="J183" s="9" t="s">
        <v>61</v>
      </c>
      <c r="K183" s="9" t="s">
        <v>38</v>
      </c>
      <c r="L183" s="11">
        <v>1</v>
      </c>
      <c r="M183" s="14">
        <v>8500.0</v>
      </c>
      <c r="N183" s="14"/>
      <c r="O183" s="16">
        <f>IF(M183&gt;0, N183/M183, 0)</f>
        <v>0</v>
      </c>
      <c r="P183" s="14">
        <f>M183-N183</f>
        <v>8500</v>
      </c>
      <c r="Q183" s="14">
        <f>L183*M183</f>
        <v>8500</v>
      </c>
      <c r="R183" s="14">
        <f>L183*N183</f>
        <v>0</v>
      </c>
      <c r="S183" s="14">
        <f>L183*P183</f>
        <v>8500</v>
      </c>
      <c r="T183" s="14"/>
      <c r="U183" s="14">
        <f>L183*T183</f>
        <v>0</v>
      </c>
      <c r="V183" s="14">
        <f>S183-U183</f>
        <v>8500</v>
      </c>
      <c r="W183" s="16">
        <f>IF(S183&gt;0, V183/S183, 0)</f>
        <v>1</v>
      </c>
      <c r="X183" s="7" t="s">
        <v>39</v>
      </c>
      <c r="Y183" s="9" t="s">
        <v>40</v>
      </c>
      <c r="Z183" s="9" t="s">
        <v>41</v>
      </c>
      <c r="AA183" s="9" t="s">
        <v>42</v>
      </c>
      <c r="AB183" s="7" t="s">
        <v>42</v>
      </c>
    </row>
    <row r="184" spans="1:28">
      <c r="A184" s="8">
        <v>177</v>
      </c>
      <c r="B184" s="8" t="s">
        <v>363</v>
      </c>
      <c r="C184" s="8" t="s">
        <v>349</v>
      </c>
      <c r="D184" s="8" t="s">
        <v>198</v>
      </c>
      <c r="E184" s="8" t="s">
        <v>33</v>
      </c>
      <c r="F184" s="6" t="s">
        <v>34</v>
      </c>
      <c r="G184" s="6" t="s">
        <v>56</v>
      </c>
      <c r="H184" s="6" t="s">
        <v>56</v>
      </c>
      <c r="I184" s="8">
        <v>164</v>
      </c>
      <c r="J184" s="8" t="s">
        <v>57</v>
      </c>
      <c r="K184" s="8" t="s">
        <v>38</v>
      </c>
      <c r="L184" s="10">
        <v>1</v>
      </c>
      <c r="M184" s="13">
        <v>7500.0</v>
      </c>
      <c r="N184" s="13"/>
      <c r="O184" s="15">
        <f>IF(M184&gt;0, N184/M184, 0)</f>
        <v>0</v>
      </c>
      <c r="P184" s="13">
        <f>M184-N184</f>
        <v>7500</v>
      </c>
      <c r="Q184" s="13">
        <f>L184*M184</f>
        <v>7500</v>
      </c>
      <c r="R184" s="13">
        <f>L184*N184</f>
        <v>0</v>
      </c>
      <c r="S184" s="13">
        <f>L184*P184</f>
        <v>7500</v>
      </c>
      <c r="T184" s="13"/>
      <c r="U184" s="13">
        <f>L184*T184</f>
        <v>0</v>
      </c>
      <c r="V184" s="13">
        <f>S184-U184</f>
        <v>7500</v>
      </c>
      <c r="W184" s="15">
        <f>IF(S184&gt;0, V184/S184, 0)</f>
        <v>1</v>
      </c>
      <c r="X184" s="6" t="s">
        <v>39</v>
      </c>
      <c r="Y184" s="8" t="s">
        <v>40</v>
      </c>
      <c r="Z184" s="8" t="s">
        <v>41</v>
      </c>
      <c r="AA184" s="8" t="s">
        <v>42</v>
      </c>
      <c r="AB184" s="6" t="s">
        <v>42</v>
      </c>
    </row>
    <row r="185" spans="1:28">
      <c r="A185" s="9">
        <v>178</v>
      </c>
      <c r="B185" s="9" t="s">
        <v>364</v>
      </c>
      <c r="C185" s="9" t="s">
        <v>349</v>
      </c>
      <c r="D185" s="9" t="s">
        <v>198</v>
      </c>
      <c r="E185" s="9" t="s">
        <v>68</v>
      </c>
      <c r="F185" s="7" t="s">
        <v>34</v>
      </c>
      <c r="G185" s="7" t="s">
        <v>63</v>
      </c>
      <c r="H185" s="7" t="s">
        <v>148</v>
      </c>
      <c r="I185" s="9">
        <v>164</v>
      </c>
      <c r="J185" s="9" t="s">
        <v>365</v>
      </c>
      <c r="K185" s="9" t="s">
        <v>38</v>
      </c>
      <c r="L185" s="11">
        <v>1</v>
      </c>
      <c r="M185" s="14">
        <v>12000.0</v>
      </c>
      <c r="N185" s="14"/>
      <c r="O185" s="16">
        <f>IF(M185&gt;0, N185/M185, 0)</f>
        <v>0</v>
      </c>
      <c r="P185" s="14">
        <f>M185-N185</f>
        <v>12000</v>
      </c>
      <c r="Q185" s="14">
        <f>L185*M185</f>
        <v>12000</v>
      </c>
      <c r="R185" s="14">
        <f>L185*N185</f>
        <v>0</v>
      </c>
      <c r="S185" s="14">
        <f>L185*P185</f>
        <v>12000</v>
      </c>
      <c r="T185" s="14"/>
      <c r="U185" s="14">
        <f>L185*T185</f>
        <v>0</v>
      </c>
      <c r="V185" s="14">
        <f>S185-U185</f>
        <v>12000</v>
      </c>
      <c r="W185" s="16">
        <f>IF(S185&gt;0, V185/S185, 0)</f>
        <v>1</v>
      </c>
      <c r="X185" s="7" t="s">
        <v>39</v>
      </c>
      <c r="Y185" s="9" t="s">
        <v>40</v>
      </c>
      <c r="Z185" s="9" t="s">
        <v>71</v>
      </c>
      <c r="AA185" s="9" t="s">
        <v>42</v>
      </c>
      <c r="AB185" s="7" t="s">
        <v>42</v>
      </c>
    </row>
    <row r="186" spans="1:28">
      <c r="A186" s="8">
        <v>179</v>
      </c>
      <c r="B186" s="8" t="s">
        <v>366</v>
      </c>
      <c r="C186" s="8" t="s">
        <v>349</v>
      </c>
      <c r="D186" s="8" t="s">
        <v>198</v>
      </c>
      <c r="E186" s="8" t="s">
        <v>68</v>
      </c>
      <c r="F186" s="6" t="s">
        <v>34</v>
      </c>
      <c r="G186" s="6" t="s">
        <v>51</v>
      </c>
      <c r="H186" s="6" t="s">
        <v>51</v>
      </c>
      <c r="I186" s="8">
        <v>158</v>
      </c>
      <c r="J186" s="8" t="s">
        <v>122</v>
      </c>
      <c r="K186" s="8" t="s">
        <v>38</v>
      </c>
      <c r="L186" s="10">
        <v>1</v>
      </c>
      <c r="M186" s="13">
        <v>10000.0</v>
      </c>
      <c r="N186" s="13"/>
      <c r="O186" s="15">
        <f>IF(M186&gt;0, N186/M186, 0)</f>
        <v>0</v>
      </c>
      <c r="P186" s="13">
        <f>M186-N186</f>
        <v>10000</v>
      </c>
      <c r="Q186" s="13">
        <f>L186*M186</f>
        <v>10000</v>
      </c>
      <c r="R186" s="13">
        <f>L186*N186</f>
        <v>0</v>
      </c>
      <c r="S186" s="13">
        <f>L186*P186</f>
        <v>10000</v>
      </c>
      <c r="T186" s="13"/>
      <c r="U186" s="13">
        <f>L186*T186</f>
        <v>0</v>
      </c>
      <c r="V186" s="13">
        <f>S186-U186</f>
        <v>10000</v>
      </c>
      <c r="W186" s="15">
        <f>IF(S186&gt;0, V186/S186, 0)</f>
        <v>1</v>
      </c>
      <c r="X186" s="6" t="s">
        <v>39</v>
      </c>
      <c r="Y186" s="8" t="s">
        <v>40</v>
      </c>
      <c r="Z186" s="8" t="s">
        <v>71</v>
      </c>
      <c r="AA186" s="8" t="s">
        <v>42</v>
      </c>
      <c r="AB186" s="6" t="s">
        <v>42</v>
      </c>
    </row>
    <row r="187" spans="1:28">
      <c r="A187" s="9">
        <v>180</v>
      </c>
      <c r="B187" s="9" t="s">
        <v>367</v>
      </c>
      <c r="C187" s="9" t="s">
        <v>349</v>
      </c>
      <c r="D187" s="9" t="s">
        <v>198</v>
      </c>
      <c r="E187" s="9" t="s">
        <v>33</v>
      </c>
      <c r="F187" s="7" t="s">
        <v>34</v>
      </c>
      <c r="G187" s="7" t="s">
        <v>35</v>
      </c>
      <c r="H187" s="7" t="s">
        <v>36</v>
      </c>
      <c r="I187" s="9">
        <v>188</v>
      </c>
      <c r="J187" s="9" t="s">
        <v>368</v>
      </c>
      <c r="K187" s="9" t="s">
        <v>38</v>
      </c>
      <c r="L187" s="11">
        <v>1</v>
      </c>
      <c r="M187" s="14">
        <v>11000.0</v>
      </c>
      <c r="N187" s="14"/>
      <c r="O187" s="16">
        <f>IF(M187&gt;0, N187/M187, 0)</f>
        <v>0</v>
      </c>
      <c r="P187" s="14">
        <f>M187-N187</f>
        <v>11000</v>
      </c>
      <c r="Q187" s="14">
        <f>L187*M187</f>
        <v>11000</v>
      </c>
      <c r="R187" s="14">
        <f>L187*N187</f>
        <v>0</v>
      </c>
      <c r="S187" s="14">
        <f>L187*P187</f>
        <v>11000</v>
      </c>
      <c r="T187" s="14"/>
      <c r="U187" s="14">
        <f>L187*T187</f>
        <v>0</v>
      </c>
      <c r="V187" s="14">
        <f>S187-U187</f>
        <v>11000</v>
      </c>
      <c r="W187" s="16">
        <f>IF(S187&gt;0, V187/S187, 0)</f>
        <v>1</v>
      </c>
      <c r="X187" s="7" t="s">
        <v>39</v>
      </c>
      <c r="Y187" s="9" t="s">
        <v>40</v>
      </c>
      <c r="Z187" s="9" t="s">
        <v>41</v>
      </c>
      <c r="AA187" s="9" t="s">
        <v>42</v>
      </c>
      <c r="AB187" s="7" t="s">
        <v>42</v>
      </c>
    </row>
    <row r="188" spans="1:28">
      <c r="A188" s="8">
        <v>181</v>
      </c>
      <c r="B188" s="8" t="s">
        <v>369</v>
      </c>
      <c r="C188" s="8" t="s">
        <v>349</v>
      </c>
      <c r="D188" s="8" t="s">
        <v>198</v>
      </c>
      <c r="E188" s="8" t="s">
        <v>33</v>
      </c>
      <c r="F188" s="6" t="s">
        <v>34</v>
      </c>
      <c r="G188" s="6" t="s">
        <v>56</v>
      </c>
      <c r="H188" s="6" t="s">
        <v>56</v>
      </c>
      <c r="I188" s="8">
        <v>158</v>
      </c>
      <c r="J188" s="8" t="s">
        <v>128</v>
      </c>
      <c r="K188" s="8" t="s">
        <v>38</v>
      </c>
      <c r="L188" s="10">
        <v>1</v>
      </c>
      <c r="M188" s="13">
        <v>7500.0</v>
      </c>
      <c r="N188" s="13"/>
      <c r="O188" s="15">
        <f>IF(M188&gt;0, N188/M188, 0)</f>
        <v>0</v>
      </c>
      <c r="P188" s="13">
        <f>M188-N188</f>
        <v>7500</v>
      </c>
      <c r="Q188" s="13">
        <f>L188*M188</f>
        <v>7500</v>
      </c>
      <c r="R188" s="13">
        <f>L188*N188</f>
        <v>0</v>
      </c>
      <c r="S188" s="13">
        <f>L188*P188</f>
        <v>7500</v>
      </c>
      <c r="T188" s="13"/>
      <c r="U188" s="13">
        <f>L188*T188</f>
        <v>0</v>
      </c>
      <c r="V188" s="13">
        <f>S188-U188</f>
        <v>7500</v>
      </c>
      <c r="W188" s="15">
        <f>IF(S188&gt;0, V188/S188, 0)</f>
        <v>1</v>
      </c>
      <c r="X188" s="6" t="s">
        <v>39</v>
      </c>
      <c r="Y188" s="8" t="s">
        <v>40</v>
      </c>
      <c r="Z188" s="8" t="s">
        <v>41</v>
      </c>
      <c r="AA188" s="8" t="s">
        <v>42</v>
      </c>
      <c r="AB188" s="6" t="s">
        <v>42</v>
      </c>
    </row>
    <row r="189" spans="1:28">
      <c r="A189" s="9">
        <v>182</v>
      </c>
      <c r="B189" s="9" t="s">
        <v>370</v>
      </c>
      <c r="C189" s="9" t="s">
        <v>349</v>
      </c>
      <c r="D189" s="9" t="s">
        <v>198</v>
      </c>
      <c r="E189" s="9" t="s">
        <v>33</v>
      </c>
      <c r="F189" s="7" t="s">
        <v>34</v>
      </c>
      <c r="G189" s="7" t="s">
        <v>45</v>
      </c>
      <c r="H189" s="7" t="s">
        <v>46</v>
      </c>
      <c r="I189" s="9">
        <v>164</v>
      </c>
      <c r="J189" s="9" t="s">
        <v>318</v>
      </c>
      <c r="K189" s="9" t="s">
        <v>38</v>
      </c>
      <c r="L189" s="11">
        <v>2</v>
      </c>
      <c r="M189" s="14">
        <v>18000.0</v>
      </c>
      <c r="N189" s="14"/>
      <c r="O189" s="16">
        <f>IF(M189&gt;0, N189/M189, 0)</f>
        <v>0</v>
      </c>
      <c r="P189" s="14">
        <f>M189-N189</f>
        <v>18000</v>
      </c>
      <c r="Q189" s="14">
        <f>L189*M189</f>
        <v>36000</v>
      </c>
      <c r="R189" s="14">
        <f>L189*N189</f>
        <v>0</v>
      </c>
      <c r="S189" s="14">
        <f>L189*P189</f>
        <v>36000</v>
      </c>
      <c r="T189" s="14"/>
      <c r="U189" s="14">
        <f>L189*T189</f>
        <v>0</v>
      </c>
      <c r="V189" s="14">
        <f>S189-U189</f>
        <v>36000</v>
      </c>
      <c r="W189" s="16">
        <f>IF(S189&gt;0, V189/S189, 0)</f>
        <v>1</v>
      </c>
      <c r="X189" s="7" t="s">
        <v>39</v>
      </c>
      <c r="Y189" s="9" t="s">
        <v>40</v>
      </c>
      <c r="Z189" s="9" t="s">
        <v>41</v>
      </c>
      <c r="AA189" s="9" t="s">
        <v>42</v>
      </c>
      <c r="AB189" s="7" t="s">
        <v>42</v>
      </c>
    </row>
    <row r="190" spans="1:28">
      <c r="A190" s="8">
        <v>183</v>
      </c>
      <c r="B190" s="8" t="s">
        <v>371</v>
      </c>
      <c r="C190" s="8" t="s">
        <v>372</v>
      </c>
      <c r="D190" s="8" t="s">
        <v>198</v>
      </c>
      <c r="E190" s="8" t="s">
        <v>33</v>
      </c>
      <c r="F190" s="6" t="s">
        <v>50</v>
      </c>
      <c r="G190" s="6" t="s">
        <v>35</v>
      </c>
      <c r="H190" s="6" t="s">
        <v>73</v>
      </c>
      <c r="I190" s="8">
        <v>128</v>
      </c>
      <c r="J190" s="8" t="s">
        <v>185</v>
      </c>
      <c r="K190" s="8" t="s">
        <v>53</v>
      </c>
      <c r="L190" s="10">
        <v>1</v>
      </c>
      <c r="M190" s="13">
        <v>8000.0</v>
      </c>
      <c r="N190" s="13"/>
      <c r="O190" s="15">
        <f>IF(M190&gt;0, N190/M190, 0)</f>
        <v>0</v>
      </c>
      <c r="P190" s="13">
        <f>M190-N190</f>
        <v>8000</v>
      </c>
      <c r="Q190" s="13">
        <f>L190*M190</f>
        <v>8000</v>
      </c>
      <c r="R190" s="13">
        <f>L190*N190</f>
        <v>0</v>
      </c>
      <c r="S190" s="13">
        <f>L190*P190</f>
        <v>8000</v>
      </c>
      <c r="T190" s="13"/>
      <c r="U190" s="13">
        <f>L190*T190</f>
        <v>0</v>
      </c>
      <c r="V190" s="13">
        <f>S190-U190</f>
        <v>8000</v>
      </c>
      <c r="W190" s="15">
        <f>IF(S190&gt;0, V190/S190, 0)</f>
        <v>1</v>
      </c>
      <c r="X190" s="6" t="s">
        <v>39</v>
      </c>
      <c r="Y190" s="8" t="s">
        <v>40</v>
      </c>
      <c r="Z190" s="8" t="s">
        <v>41</v>
      </c>
      <c r="AA190" s="8" t="s">
        <v>42</v>
      </c>
      <c r="AB190" s="6" t="s">
        <v>42</v>
      </c>
    </row>
    <row r="191" spans="1:28">
      <c r="A191" s="9">
        <v>184</v>
      </c>
      <c r="B191" s="9" t="s">
        <v>373</v>
      </c>
      <c r="C191" s="9" t="s">
        <v>372</v>
      </c>
      <c r="D191" s="9" t="s">
        <v>198</v>
      </c>
      <c r="E191" s="9" t="s">
        <v>33</v>
      </c>
      <c r="F191" s="7" t="s">
        <v>50</v>
      </c>
      <c r="G191" s="7" t="s">
        <v>35</v>
      </c>
      <c r="H191" s="7" t="s">
        <v>36</v>
      </c>
      <c r="I191" s="9">
        <v>134</v>
      </c>
      <c r="J191" s="9" t="s">
        <v>177</v>
      </c>
      <c r="K191" s="9" t="s">
        <v>53</v>
      </c>
      <c r="L191" s="11">
        <v>1</v>
      </c>
      <c r="M191" s="14">
        <v>7000.0</v>
      </c>
      <c r="N191" s="14"/>
      <c r="O191" s="16">
        <f>IF(M191&gt;0, N191/M191, 0)</f>
        <v>0</v>
      </c>
      <c r="P191" s="14">
        <f>M191-N191</f>
        <v>7000</v>
      </c>
      <c r="Q191" s="14">
        <f>L191*M191</f>
        <v>7000</v>
      </c>
      <c r="R191" s="14">
        <f>L191*N191</f>
        <v>0</v>
      </c>
      <c r="S191" s="14">
        <f>L191*P191</f>
        <v>7000</v>
      </c>
      <c r="T191" s="14"/>
      <c r="U191" s="14">
        <f>L191*T191</f>
        <v>0</v>
      </c>
      <c r="V191" s="14">
        <f>S191-U191</f>
        <v>7000</v>
      </c>
      <c r="W191" s="16">
        <f>IF(S191&gt;0, V191/S191, 0)</f>
        <v>1</v>
      </c>
      <c r="X191" s="7" t="s">
        <v>39</v>
      </c>
      <c r="Y191" s="9" t="s">
        <v>40</v>
      </c>
      <c r="Z191" s="9" t="s">
        <v>41</v>
      </c>
      <c r="AA191" s="9" t="s">
        <v>42</v>
      </c>
      <c r="AB191" s="7" t="s">
        <v>42</v>
      </c>
    </row>
    <row r="192" spans="1:28">
      <c r="A192" s="8">
        <v>185</v>
      </c>
      <c r="B192" s="8" t="s">
        <v>374</v>
      </c>
      <c r="C192" s="8" t="s">
        <v>372</v>
      </c>
      <c r="D192" s="8" t="s">
        <v>198</v>
      </c>
      <c r="E192" s="8" t="s">
        <v>33</v>
      </c>
      <c r="F192" s="6" t="s">
        <v>34</v>
      </c>
      <c r="G192" s="6" t="s">
        <v>35</v>
      </c>
      <c r="H192" s="6" t="s">
        <v>36</v>
      </c>
      <c r="I192" s="8">
        <v>170</v>
      </c>
      <c r="J192" s="8" t="s">
        <v>142</v>
      </c>
      <c r="K192" s="8" t="s">
        <v>38</v>
      </c>
      <c r="L192" s="10">
        <v>1</v>
      </c>
      <c r="M192" s="13">
        <v>8000.0</v>
      </c>
      <c r="N192" s="13"/>
      <c r="O192" s="15">
        <f>IF(M192&gt;0, N192/M192, 0)</f>
        <v>0</v>
      </c>
      <c r="P192" s="13">
        <f>M192-N192</f>
        <v>8000</v>
      </c>
      <c r="Q192" s="13">
        <f>L192*M192</f>
        <v>8000</v>
      </c>
      <c r="R192" s="13">
        <f>L192*N192</f>
        <v>0</v>
      </c>
      <c r="S192" s="13">
        <f>L192*P192</f>
        <v>8000</v>
      </c>
      <c r="T192" s="13"/>
      <c r="U192" s="13">
        <f>L192*T192</f>
        <v>0</v>
      </c>
      <c r="V192" s="13">
        <f>S192-U192</f>
        <v>8000</v>
      </c>
      <c r="W192" s="15">
        <f>IF(S192&gt;0, V192/S192, 0)</f>
        <v>1</v>
      </c>
      <c r="X192" s="6" t="s">
        <v>39</v>
      </c>
      <c r="Y192" s="8" t="s">
        <v>40</v>
      </c>
      <c r="Z192" s="8" t="s">
        <v>41</v>
      </c>
      <c r="AA192" s="8" t="s">
        <v>42</v>
      </c>
      <c r="AB192" s="6" t="s">
        <v>42</v>
      </c>
    </row>
    <row r="193" spans="1:28">
      <c r="A193" s="9">
        <v>186</v>
      </c>
      <c r="B193" s="9" t="s">
        <v>375</v>
      </c>
      <c r="C193" s="9" t="s">
        <v>372</v>
      </c>
      <c r="D193" s="9" t="s">
        <v>198</v>
      </c>
      <c r="E193" s="9" t="s">
        <v>33</v>
      </c>
      <c r="F193" s="7" t="s">
        <v>50</v>
      </c>
      <c r="G193" s="7" t="s">
        <v>45</v>
      </c>
      <c r="H193" s="7" t="s">
        <v>46</v>
      </c>
      <c r="I193" s="9">
        <v>134</v>
      </c>
      <c r="J193" s="9" t="s">
        <v>376</v>
      </c>
      <c r="K193" s="9" t="s">
        <v>38</v>
      </c>
      <c r="L193" s="11">
        <v>1</v>
      </c>
      <c r="M193" s="14">
        <v>18000.0</v>
      </c>
      <c r="N193" s="14"/>
      <c r="O193" s="16">
        <f>IF(M193&gt;0, N193/M193, 0)</f>
        <v>0</v>
      </c>
      <c r="P193" s="14">
        <f>M193-N193</f>
        <v>18000</v>
      </c>
      <c r="Q193" s="14">
        <f>L193*M193</f>
        <v>18000</v>
      </c>
      <c r="R193" s="14">
        <f>L193*N193</f>
        <v>0</v>
      </c>
      <c r="S193" s="14">
        <f>L193*P193</f>
        <v>18000</v>
      </c>
      <c r="T193" s="14"/>
      <c r="U193" s="14">
        <f>L193*T193</f>
        <v>0</v>
      </c>
      <c r="V193" s="14">
        <f>S193-U193</f>
        <v>18000</v>
      </c>
      <c r="W193" s="16">
        <f>IF(S193&gt;0, V193/S193, 0)</f>
        <v>1</v>
      </c>
      <c r="X193" s="7" t="s">
        <v>39</v>
      </c>
      <c r="Y193" s="9" t="s">
        <v>40</v>
      </c>
      <c r="Z193" s="9" t="s">
        <v>41</v>
      </c>
      <c r="AA193" s="9" t="s">
        <v>42</v>
      </c>
      <c r="AB193" s="7" t="s">
        <v>42</v>
      </c>
    </row>
    <row r="194" spans="1:28">
      <c r="A194" s="8">
        <v>187</v>
      </c>
      <c r="B194" s="8" t="s">
        <v>377</v>
      </c>
      <c r="C194" s="8" t="s">
        <v>372</v>
      </c>
      <c r="D194" s="8" t="s">
        <v>198</v>
      </c>
      <c r="E194" s="8" t="s">
        <v>33</v>
      </c>
      <c r="F194" s="6" t="s">
        <v>50</v>
      </c>
      <c r="G194" s="6" t="s">
        <v>35</v>
      </c>
      <c r="H194" s="6" t="s">
        <v>36</v>
      </c>
      <c r="I194" s="8">
        <v>134</v>
      </c>
      <c r="J194" s="8" t="s">
        <v>177</v>
      </c>
      <c r="K194" s="8" t="s">
        <v>53</v>
      </c>
      <c r="L194" s="10">
        <v>2</v>
      </c>
      <c r="M194" s="13">
        <v>7000.0</v>
      </c>
      <c r="N194" s="13"/>
      <c r="O194" s="15">
        <f>IF(M194&gt;0, N194/M194, 0)</f>
        <v>0</v>
      </c>
      <c r="P194" s="13">
        <f>M194-N194</f>
        <v>7000</v>
      </c>
      <c r="Q194" s="13">
        <f>L194*M194</f>
        <v>14000</v>
      </c>
      <c r="R194" s="13">
        <f>L194*N194</f>
        <v>0</v>
      </c>
      <c r="S194" s="13">
        <f>L194*P194</f>
        <v>14000</v>
      </c>
      <c r="T194" s="13"/>
      <c r="U194" s="13">
        <f>L194*T194</f>
        <v>0</v>
      </c>
      <c r="V194" s="13">
        <f>S194-U194</f>
        <v>14000</v>
      </c>
      <c r="W194" s="15">
        <f>IF(S194&gt;0, V194/S194, 0)</f>
        <v>1</v>
      </c>
      <c r="X194" s="6" t="s">
        <v>39</v>
      </c>
      <c r="Y194" s="8" t="s">
        <v>40</v>
      </c>
      <c r="Z194" s="8" t="s">
        <v>41</v>
      </c>
      <c r="AA194" s="8" t="s">
        <v>42</v>
      </c>
      <c r="AB194" s="6" t="s">
        <v>42</v>
      </c>
    </row>
    <row r="195" spans="1:28">
      <c r="A195" s="9">
        <v>188</v>
      </c>
      <c r="B195" s="9" t="s">
        <v>378</v>
      </c>
      <c r="C195" s="9" t="s">
        <v>372</v>
      </c>
      <c r="D195" s="9" t="s">
        <v>198</v>
      </c>
      <c r="E195" s="9" t="s">
        <v>68</v>
      </c>
      <c r="F195" s="7" t="s">
        <v>50</v>
      </c>
      <c r="G195" s="7" t="s">
        <v>63</v>
      </c>
      <c r="H195" s="7" t="s">
        <v>148</v>
      </c>
      <c r="I195" s="9">
        <v>146</v>
      </c>
      <c r="J195" s="9" t="s">
        <v>167</v>
      </c>
      <c r="K195" s="9" t="s">
        <v>38</v>
      </c>
      <c r="L195" s="11">
        <v>1</v>
      </c>
      <c r="M195" s="14">
        <v>10000.0</v>
      </c>
      <c r="N195" s="14"/>
      <c r="O195" s="16">
        <f>IF(M195&gt;0, N195/M195, 0)</f>
        <v>0</v>
      </c>
      <c r="P195" s="14">
        <f>M195-N195</f>
        <v>10000</v>
      </c>
      <c r="Q195" s="14">
        <f>L195*M195</f>
        <v>10000</v>
      </c>
      <c r="R195" s="14">
        <f>L195*N195</f>
        <v>0</v>
      </c>
      <c r="S195" s="14">
        <f>L195*P195</f>
        <v>10000</v>
      </c>
      <c r="T195" s="14"/>
      <c r="U195" s="14">
        <f>L195*T195</f>
        <v>0</v>
      </c>
      <c r="V195" s="14">
        <f>S195-U195</f>
        <v>10000</v>
      </c>
      <c r="W195" s="16">
        <f>IF(S195&gt;0, V195/S195, 0)</f>
        <v>1</v>
      </c>
      <c r="X195" s="7" t="s">
        <v>39</v>
      </c>
      <c r="Y195" s="9" t="s">
        <v>40</v>
      </c>
      <c r="Z195" s="9" t="s">
        <v>71</v>
      </c>
      <c r="AA195" s="9" t="s">
        <v>42</v>
      </c>
      <c r="AB195" s="7" t="s">
        <v>42</v>
      </c>
    </row>
    <row r="196" spans="1:28">
      <c r="A196" s="8">
        <v>189</v>
      </c>
      <c r="B196" s="8" t="s">
        <v>379</v>
      </c>
      <c r="C196" s="8" t="s">
        <v>372</v>
      </c>
      <c r="D196" s="8" t="s">
        <v>198</v>
      </c>
      <c r="E196" s="8" t="s">
        <v>33</v>
      </c>
      <c r="F196" s="6" t="s">
        <v>50</v>
      </c>
      <c r="G196" s="6" t="s">
        <v>45</v>
      </c>
      <c r="H196" s="6" t="s">
        <v>46</v>
      </c>
      <c r="I196" s="8">
        <v>146</v>
      </c>
      <c r="J196" s="8" t="s">
        <v>140</v>
      </c>
      <c r="K196" s="8" t="s">
        <v>38</v>
      </c>
      <c r="L196" s="10">
        <v>1</v>
      </c>
      <c r="M196" s="13">
        <v>18000.0</v>
      </c>
      <c r="N196" s="13"/>
      <c r="O196" s="15">
        <f>IF(M196&gt;0, N196/M196, 0)</f>
        <v>0</v>
      </c>
      <c r="P196" s="13">
        <f>M196-N196</f>
        <v>18000</v>
      </c>
      <c r="Q196" s="13">
        <f>L196*M196</f>
        <v>18000</v>
      </c>
      <c r="R196" s="13">
        <f>L196*N196</f>
        <v>0</v>
      </c>
      <c r="S196" s="13">
        <f>L196*P196</f>
        <v>18000</v>
      </c>
      <c r="T196" s="13"/>
      <c r="U196" s="13">
        <f>L196*T196</f>
        <v>0</v>
      </c>
      <c r="V196" s="13">
        <f>S196-U196</f>
        <v>18000</v>
      </c>
      <c r="W196" s="15">
        <f>IF(S196&gt;0, V196/S196, 0)</f>
        <v>1</v>
      </c>
      <c r="X196" s="6" t="s">
        <v>39</v>
      </c>
      <c r="Y196" s="8" t="s">
        <v>40</v>
      </c>
      <c r="Z196" s="8" t="s">
        <v>41</v>
      </c>
      <c r="AA196" s="8" t="s">
        <v>42</v>
      </c>
      <c r="AB196" s="6" t="s">
        <v>42</v>
      </c>
    </row>
    <row r="197" spans="1:28">
      <c r="A197" s="9">
        <v>190</v>
      </c>
      <c r="B197" s="9" t="s">
        <v>380</v>
      </c>
      <c r="C197" s="9" t="s">
        <v>381</v>
      </c>
      <c r="D197" s="9" t="s">
        <v>198</v>
      </c>
      <c r="E197" s="9" t="s">
        <v>33</v>
      </c>
      <c r="F197" s="7" t="s">
        <v>50</v>
      </c>
      <c r="G197" s="7" t="s">
        <v>69</v>
      </c>
      <c r="H197" s="7" t="s">
        <v>69</v>
      </c>
      <c r="I197" s="9">
        <v>146</v>
      </c>
      <c r="J197" s="9" t="s">
        <v>382</v>
      </c>
      <c r="K197" s="9" t="s">
        <v>38</v>
      </c>
      <c r="L197" s="11">
        <v>1</v>
      </c>
      <c r="M197" s="14">
        <v>16500.0</v>
      </c>
      <c r="N197" s="14"/>
      <c r="O197" s="16">
        <f>IF(M197&gt;0, N197/M197, 0)</f>
        <v>0</v>
      </c>
      <c r="P197" s="14">
        <f>M197-N197</f>
        <v>16500</v>
      </c>
      <c r="Q197" s="14">
        <f>L197*M197</f>
        <v>16500</v>
      </c>
      <c r="R197" s="14">
        <f>L197*N197</f>
        <v>0</v>
      </c>
      <c r="S197" s="14">
        <f>L197*P197</f>
        <v>16500</v>
      </c>
      <c r="T197" s="14"/>
      <c r="U197" s="14">
        <f>L197*T197</f>
        <v>0</v>
      </c>
      <c r="V197" s="14">
        <f>S197-U197</f>
        <v>16500</v>
      </c>
      <c r="W197" s="16">
        <f>IF(S197&gt;0, V197/S197, 0)</f>
        <v>1</v>
      </c>
      <c r="X197" s="7" t="s">
        <v>39</v>
      </c>
      <c r="Y197" s="9" t="s">
        <v>40</v>
      </c>
      <c r="Z197" s="9" t="s">
        <v>41</v>
      </c>
      <c r="AA197" s="9" t="s">
        <v>42</v>
      </c>
      <c r="AB197" s="7" t="s">
        <v>42</v>
      </c>
    </row>
    <row r="198" spans="1:28">
      <c r="A198" s="8">
        <v>191</v>
      </c>
      <c r="B198" s="8" t="s">
        <v>383</v>
      </c>
      <c r="C198" s="8" t="s">
        <v>381</v>
      </c>
      <c r="D198" s="8" t="s">
        <v>198</v>
      </c>
      <c r="E198" s="8" t="s">
        <v>68</v>
      </c>
      <c r="F198" s="6" t="s">
        <v>34</v>
      </c>
      <c r="G198" s="6" t="s">
        <v>63</v>
      </c>
      <c r="H198" s="6" t="s">
        <v>148</v>
      </c>
      <c r="I198" s="8">
        <v>164</v>
      </c>
      <c r="J198" s="8" t="s">
        <v>365</v>
      </c>
      <c r="K198" s="8" t="s">
        <v>38</v>
      </c>
      <c r="L198" s="10">
        <v>1</v>
      </c>
      <c r="M198" s="13">
        <v>12000.0</v>
      </c>
      <c r="N198" s="13"/>
      <c r="O198" s="15">
        <f>IF(M198&gt;0, N198/M198, 0)</f>
        <v>0</v>
      </c>
      <c r="P198" s="13">
        <f>M198-N198</f>
        <v>12000</v>
      </c>
      <c r="Q198" s="13">
        <f>L198*M198</f>
        <v>12000</v>
      </c>
      <c r="R198" s="13">
        <f>L198*N198</f>
        <v>0</v>
      </c>
      <c r="S198" s="13">
        <f>L198*P198</f>
        <v>12000</v>
      </c>
      <c r="T198" s="13"/>
      <c r="U198" s="13">
        <f>L198*T198</f>
        <v>0</v>
      </c>
      <c r="V198" s="13">
        <f>S198-U198</f>
        <v>12000</v>
      </c>
      <c r="W198" s="15">
        <f>IF(S198&gt;0, V198/S198, 0)</f>
        <v>1</v>
      </c>
      <c r="X198" s="6" t="s">
        <v>39</v>
      </c>
      <c r="Y198" s="8" t="s">
        <v>40</v>
      </c>
      <c r="Z198" s="8" t="s">
        <v>71</v>
      </c>
      <c r="AA198" s="8" t="s">
        <v>42</v>
      </c>
      <c r="AB198" s="6" t="s">
        <v>42</v>
      </c>
    </row>
    <row r="199" spans="1:28">
      <c r="A199" s="9">
        <v>192</v>
      </c>
      <c r="B199" s="9" t="s">
        <v>384</v>
      </c>
      <c r="C199" s="9" t="s">
        <v>381</v>
      </c>
      <c r="D199" s="9" t="s">
        <v>198</v>
      </c>
      <c r="E199" s="9" t="s">
        <v>68</v>
      </c>
      <c r="F199" s="7" t="s">
        <v>34</v>
      </c>
      <c r="G199" s="7" t="s">
        <v>51</v>
      </c>
      <c r="H199" s="7" t="s">
        <v>51</v>
      </c>
      <c r="I199" s="9">
        <v>158</v>
      </c>
      <c r="J199" s="9" t="s">
        <v>122</v>
      </c>
      <c r="K199" s="9" t="s">
        <v>38</v>
      </c>
      <c r="L199" s="11">
        <v>1</v>
      </c>
      <c r="M199" s="14">
        <v>10000.0</v>
      </c>
      <c r="N199" s="14"/>
      <c r="O199" s="16">
        <f>IF(M199&gt;0, N199/M199, 0)</f>
        <v>0</v>
      </c>
      <c r="P199" s="14">
        <f>M199-N199</f>
        <v>10000</v>
      </c>
      <c r="Q199" s="14">
        <f>L199*M199</f>
        <v>10000</v>
      </c>
      <c r="R199" s="14">
        <f>L199*N199</f>
        <v>0</v>
      </c>
      <c r="S199" s="14">
        <f>L199*P199</f>
        <v>10000</v>
      </c>
      <c r="T199" s="14"/>
      <c r="U199" s="14">
        <f>L199*T199</f>
        <v>0</v>
      </c>
      <c r="V199" s="14">
        <f>S199-U199</f>
        <v>10000</v>
      </c>
      <c r="W199" s="16">
        <f>IF(S199&gt;0, V199/S199, 0)</f>
        <v>1</v>
      </c>
      <c r="X199" s="7" t="s">
        <v>39</v>
      </c>
      <c r="Y199" s="9" t="s">
        <v>40</v>
      </c>
      <c r="Z199" s="9" t="s">
        <v>71</v>
      </c>
      <c r="AA199" s="9" t="s">
        <v>42</v>
      </c>
      <c r="AB199" s="7" t="s">
        <v>42</v>
      </c>
    </row>
    <row r="200" spans="1:28">
      <c r="A200" s="8">
        <v>193</v>
      </c>
      <c r="B200" s="8" t="s">
        <v>385</v>
      </c>
      <c r="C200" s="8" t="s">
        <v>381</v>
      </c>
      <c r="D200" s="8" t="s">
        <v>198</v>
      </c>
      <c r="E200" s="8" t="s">
        <v>68</v>
      </c>
      <c r="F200" s="6" t="s">
        <v>50</v>
      </c>
      <c r="G200" s="6" t="s">
        <v>158</v>
      </c>
      <c r="H200" s="6" t="s">
        <v>159</v>
      </c>
      <c r="I200" s="8" t="s">
        <v>42</v>
      </c>
      <c r="J200" s="8" t="s">
        <v>386</v>
      </c>
      <c r="K200" s="8" t="s">
        <v>38</v>
      </c>
      <c r="L200" s="10">
        <v>1</v>
      </c>
      <c r="M200" s="13">
        <v>5000.0</v>
      </c>
      <c r="N200" s="13"/>
      <c r="O200" s="15">
        <f>IF(M200&gt;0, N200/M200, 0)</f>
        <v>0</v>
      </c>
      <c r="P200" s="13">
        <f>M200-N200</f>
        <v>5000</v>
      </c>
      <c r="Q200" s="13">
        <f>L200*M200</f>
        <v>5000</v>
      </c>
      <c r="R200" s="13">
        <f>L200*N200</f>
        <v>0</v>
      </c>
      <c r="S200" s="13">
        <f>L200*P200</f>
        <v>5000</v>
      </c>
      <c r="T200" s="13"/>
      <c r="U200" s="13">
        <f>L200*T200</f>
        <v>0</v>
      </c>
      <c r="V200" s="13">
        <f>S200-U200</f>
        <v>5000</v>
      </c>
      <c r="W200" s="15">
        <f>IF(S200&gt;0, V200/S200, 0)</f>
        <v>1</v>
      </c>
      <c r="X200" s="6" t="s">
        <v>39</v>
      </c>
      <c r="Y200" s="8" t="s">
        <v>40</v>
      </c>
      <c r="Z200" s="8" t="s">
        <v>71</v>
      </c>
      <c r="AA200" s="8" t="s">
        <v>42</v>
      </c>
      <c r="AB200" s="6" t="s">
        <v>42</v>
      </c>
    </row>
    <row r="201" spans="1:28">
      <c r="A201" s="9">
        <v>194</v>
      </c>
      <c r="B201" s="9" t="s">
        <v>387</v>
      </c>
      <c r="C201" s="9" t="s">
        <v>381</v>
      </c>
      <c r="D201" s="9" t="s">
        <v>198</v>
      </c>
      <c r="E201" s="9" t="s">
        <v>68</v>
      </c>
      <c r="F201" s="7" t="s">
        <v>50</v>
      </c>
      <c r="G201" s="7" t="s">
        <v>63</v>
      </c>
      <c r="H201" s="7" t="s">
        <v>148</v>
      </c>
      <c r="I201" s="9">
        <v>128</v>
      </c>
      <c r="J201" s="9" t="s">
        <v>165</v>
      </c>
      <c r="K201" s="9" t="s">
        <v>38</v>
      </c>
      <c r="L201" s="11">
        <v>1</v>
      </c>
      <c r="M201" s="14">
        <v>10000.0</v>
      </c>
      <c r="N201" s="14"/>
      <c r="O201" s="16">
        <f>IF(M201&gt;0, N201/M201, 0)</f>
        <v>0</v>
      </c>
      <c r="P201" s="14">
        <f>M201-N201</f>
        <v>10000</v>
      </c>
      <c r="Q201" s="14">
        <f>L201*M201</f>
        <v>10000</v>
      </c>
      <c r="R201" s="14">
        <f>L201*N201</f>
        <v>0</v>
      </c>
      <c r="S201" s="14">
        <f>L201*P201</f>
        <v>10000</v>
      </c>
      <c r="T201" s="14"/>
      <c r="U201" s="14">
        <f>L201*T201</f>
        <v>0</v>
      </c>
      <c r="V201" s="14">
        <f>S201-U201</f>
        <v>10000</v>
      </c>
      <c r="W201" s="16">
        <f>IF(S201&gt;0, V201/S201, 0)</f>
        <v>1</v>
      </c>
      <c r="X201" s="7" t="s">
        <v>39</v>
      </c>
      <c r="Y201" s="9" t="s">
        <v>40</v>
      </c>
      <c r="Z201" s="9" t="s">
        <v>71</v>
      </c>
      <c r="AA201" s="9" t="s">
        <v>42</v>
      </c>
      <c r="AB201" s="7" t="s">
        <v>42</v>
      </c>
    </row>
    <row r="202" spans="1:28">
      <c r="A202" s="8">
        <v>195</v>
      </c>
      <c r="B202" s="8" t="s">
        <v>388</v>
      </c>
      <c r="C202" s="8" t="s">
        <v>381</v>
      </c>
      <c r="D202" s="8" t="s">
        <v>198</v>
      </c>
      <c r="E202" s="8" t="s">
        <v>68</v>
      </c>
      <c r="F202" s="6" t="s">
        <v>50</v>
      </c>
      <c r="G202" s="6" t="s">
        <v>51</v>
      </c>
      <c r="H202" s="6" t="s">
        <v>51</v>
      </c>
      <c r="I202" s="8">
        <v>140</v>
      </c>
      <c r="J202" s="8" t="s">
        <v>279</v>
      </c>
      <c r="K202" s="8" t="s">
        <v>53</v>
      </c>
      <c r="L202" s="10">
        <v>1</v>
      </c>
      <c r="M202" s="13">
        <v>9000.0</v>
      </c>
      <c r="N202" s="13"/>
      <c r="O202" s="15">
        <f>IF(M202&gt;0, N202/M202, 0)</f>
        <v>0</v>
      </c>
      <c r="P202" s="13">
        <f>M202-N202</f>
        <v>9000</v>
      </c>
      <c r="Q202" s="13">
        <f>L202*M202</f>
        <v>9000</v>
      </c>
      <c r="R202" s="13">
        <f>L202*N202</f>
        <v>0</v>
      </c>
      <c r="S202" s="13">
        <f>L202*P202</f>
        <v>9000</v>
      </c>
      <c r="T202" s="13"/>
      <c r="U202" s="13">
        <f>L202*T202</f>
        <v>0</v>
      </c>
      <c r="V202" s="13">
        <f>S202-U202</f>
        <v>9000</v>
      </c>
      <c r="W202" s="15">
        <f>IF(S202&gt;0, V202/S202, 0)</f>
        <v>1</v>
      </c>
      <c r="X202" s="6" t="s">
        <v>39</v>
      </c>
      <c r="Y202" s="8" t="s">
        <v>40</v>
      </c>
      <c r="Z202" s="8" t="s">
        <v>71</v>
      </c>
      <c r="AA202" s="8" t="s">
        <v>42</v>
      </c>
      <c r="AB202" s="6" t="s">
        <v>42</v>
      </c>
    </row>
    <row r="203" spans="1:28">
      <c r="A203" s="9">
        <v>196</v>
      </c>
      <c r="B203" s="9" t="s">
        <v>389</v>
      </c>
      <c r="C203" s="9" t="s">
        <v>381</v>
      </c>
      <c r="D203" s="9" t="s">
        <v>198</v>
      </c>
      <c r="E203" s="9" t="s">
        <v>33</v>
      </c>
      <c r="F203" s="7" t="s">
        <v>50</v>
      </c>
      <c r="G203" s="7" t="s">
        <v>51</v>
      </c>
      <c r="H203" s="7" t="s">
        <v>51</v>
      </c>
      <c r="I203" s="9">
        <v>128</v>
      </c>
      <c r="J203" s="9" t="s">
        <v>390</v>
      </c>
      <c r="K203" s="9" t="s">
        <v>53</v>
      </c>
      <c r="L203" s="11">
        <v>1</v>
      </c>
      <c r="M203" s="14">
        <v>8000.0</v>
      </c>
      <c r="N203" s="14"/>
      <c r="O203" s="16">
        <f>IF(M203&gt;0, N203/M203, 0)</f>
        <v>0</v>
      </c>
      <c r="P203" s="14">
        <f>M203-N203</f>
        <v>8000</v>
      </c>
      <c r="Q203" s="14">
        <f>L203*M203</f>
        <v>8000</v>
      </c>
      <c r="R203" s="14">
        <f>L203*N203</f>
        <v>0</v>
      </c>
      <c r="S203" s="14">
        <f>L203*P203</f>
        <v>8000</v>
      </c>
      <c r="T203" s="14"/>
      <c r="U203" s="14">
        <f>L203*T203</f>
        <v>0</v>
      </c>
      <c r="V203" s="14">
        <f>S203-U203</f>
        <v>8000</v>
      </c>
      <c r="W203" s="16">
        <f>IF(S203&gt;0, V203/S203, 0)</f>
        <v>1</v>
      </c>
      <c r="X203" s="7" t="s">
        <v>39</v>
      </c>
      <c r="Y203" s="9" t="s">
        <v>40</v>
      </c>
      <c r="Z203" s="9" t="s">
        <v>41</v>
      </c>
      <c r="AA203" s="9" t="s">
        <v>42</v>
      </c>
      <c r="AB203" s="7" t="s">
        <v>42</v>
      </c>
    </row>
    <row r="204" spans="1:28">
      <c r="A204" s="8">
        <v>197</v>
      </c>
      <c r="B204" s="8" t="s">
        <v>391</v>
      </c>
      <c r="C204" s="8" t="s">
        <v>381</v>
      </c>
      <c r="D204" s="8" t="s">
        <v>198</v>
      </c>
      <c r="E204" s="8" t="s">
        <v>33</v>
      </c>
      <c r="F204" s="6" t="s">
        <v>50</v>
      </c>
      <c r="G204" s="6" t="s">
        <v>69</v>
      </c>
      <c r="H204" s="6" t="s">
        <v>69</v>
      </c>
      <c r="I204" s="8">
        <v>140</v>
      </c>
      <c r="J204" s="8" t="s">
        <v>225</v>
      </c>
      <c r="K204" s="8" t="s">
        <v>38</v>
      </c>
      <c r="L204" s="10">
        <v>1</v>
      </c>
      <c r="M204" s="13">
        <v>16000.0</v>
      </c>
      <c r="N204" s="13"/>
      <c r="O204" s="15">
        <f>IF(M204&gt;0, N204/M204, 0)</f>
        <v>0</v>
      </c>
      <c r="P204" s="13">
        <f>M204-N204</f>
        <v>16000</v>
      </c>
      <c r="Q204" s="13">
        <f>L204*M204</f>
        <v>16000</v>
      </c>
      <c r="R204" s="13">
        <f>L204*N204</f>
        <v>0</v>
      </c>
      <c r="S204" s="13">
        <f>L204*P204</f>
        <v>16000</v>
      </c>
      <c r="T204" s="13"/>
      <c r="U204" s="13">
        <f>L204*T204</f>
        <v>0</v>
      </c>
      <c r="V204" s="13">
        <f>S204-U204</f>
        <v>16000</v>
      </c>
      <c r="W204" s="15">
        <f>IF(S204&gt;0, V204/S204, 0)</f>
        <v>1</v>
      </c>
      <c r="X204" s="6" t="s">
        <v>39</v>
      </c>
      <c r="Y204" s="8" t="s">
        <v>40</v>
      </c>
      <c r="Z204" s="8" t="s">
        <v>41</v>
      </c>
      <c r="AA204" s="8" t="s">
        <v>42</v>
      </c>
      <c r="AB204" s="6" t="s">
        <v>42</v>
      </c>
    </row>
    <row r="205" spans="1:28">
      <c r="A205" s="9">
        <v>198</v>
      </c>
      <c r="B205" s="9" t="s">
        <v>392</v>
      </c>
      <c r="C205" s="9" t="s">
        <v>381</v>
      </c>
      <c r="D205" s="9" t="s">
        <v>198</v>
      </c>
      <c r="E205" s="9" t="s">
        <v>33</v>
      </c>
      <c r="F205" s="7" t="s">
        <v>50</v>
      </c>
      <c r="G205" s="7" t="s">
        <v>35</v>
      </c>
      <c r="H205" s="7" t="s">
        <v>36</v>
      </c>
      <c r="I205" s="9">
        <v>140</v>
      </c>
      <c r="J205" s="9" t="s">
        <v>223</v>
      </c>
      <c r="K205" s="9" t="s">
        <v>53</v>
      </c>
      <c r="L205" s="11">
        <v>1</v>
      </c>
      <c r="M205" s="14">
        <v>7000.0</v>
      </c>
      <c r="N205" s="14"/>
      <c r="O205" s="16">
        <f>IF(M205&gt;0, N205/M205, 0)</f>
        <v>0</v>
      </c>
      <c r="P205" s="14">
        <f>M205-N205</f>
        <v>7000</v>
      </c>
      <c r="Q205" s="14">
        <f>L205*M205</f>
        <v>7000</v>
      </c>
      <c r="R205" s="14">
        <f>L205*N205</f>
        <v>0</v>
      </c>
      <c r="S205" s="14">
        <f>L205*P205</f>
        <v>7000</v>
      </c>
      <c r="T205" s="14"/>
      <c r="U205" s="14">
        <f>L205*T205</f>
        <v>0</v>
      </c>
      <c r="V205" s="14">
        <f>S205-U205</f>
        <v>7000</v>
      </c>
      <c r="W205" s="16">
        <f>IF(S205&gt;0, V205/S205, 0)</f>
        <v>1</v>
      </c>
      <c r="X205" s="7" t="s">
        <v>39</v>
      </c>
      <c r="Y205" s="9" t="s">
        <v>40</v>
      </c>
      <c r="Z205" s="9" t="s">
        <v>41</v>
      </c>
      <c r="AA205" s="9" t="s">
        <v>42</v>
      </c>
      <c r="AB205" s="7" t="s">
        <v>42</v>
      </c>
    </row>
    <row r="206" spans="1:28">
      <c r="A206" s="8">
        <v>199</v>
      </c>
      <c r="B206" s="8" t="s">
        <v>393</v>
      </c>
      <c r="C206" s="8" t="s">
        <v>381</v>
      </c>
      <c r="D206" s="8" t="s">
        <v>198</v>
      </c>
      <c r="E206" s="8" t="s">
        <v>33</v>
      </c>
      <c r="F206" s="6" t="s">
        <v>50</v>
      </c>
      <c r="G206" s="6" t="s">
        <v>35</v>
      </c>
      <c r="H206" s="6" t="s">
        <v>36</v>
      </c>
      <c r="I206" s="8">
        <v>134</v>
      </c>
      <c r="J206" s="8" t="s">
        <v>177</v>
      </c>
      <c r="K206" s="8" t="s">
        <v>53</v>
      </c>
      <c r="L206" s="10">
        <v>1</v>
      </c>
      <c r="M206" s="13">
        <v>7000.0</v>
      </c>
      <c r="N206" s="13"/>
      <c r="O206" s="15">
        <f>IF(M206&gt;0, N206/M206, 0)</f>
        <v>0</v>
      </c>
      <c r="P206" s="13">
        <f>M206-N206</f>
        <v>7000</v>
      </c>
      <c r="Q206" s="13">
        <f>L206*M206</f>
        <v>7000</v>
      </c>
      <c r="R206" s="13">
        <f>L206*N206</f>
        <v>0</v>
      </c>
      <c r="S206" s="13">
        <f>L206*P206</f>
        <v>7000</v>
      </c>
      <c r="T206" s="13"/>
      <c r="U206" s="13">
        <f>L206*T206</f>
        <v>0</v>
      </c>
      <c r="V206" s="13">
        <f>S206-U206</f>
        <v>7000</v>
      </c>
      <c r="W206" s="15">
        <f>IF(S206&gt;0, V206/S206, 0)</f>
        <v>1</v>
      </c>
      <c r="X206" s="6" t="s">
        <v>39</v>
      </c>
      <c r="Y206" s="8" t="s">
        <v>40</v>
      </c>
      <c r="Z206" s="8" t="s">
        <v>41</v>
      </c>
      <c r="AA206" s="8" t="s">
        <v>42</v>
      </c>
      <c r="AB206" s="6" t="s">
        <v>42</v>
      </c>
    </row>
    <row r="207" spans="1:28">
      <c r="A207" s="9">
        <v>200</v>
      </c>
      <c r="B207" s="9" t="s">
        <v>394</v>
      </c>
      <c r="C207" s="9" t="s">
        <v>381</v>
      </c>
      <c r="D207" s="9" t="s">
        <v>198</v>
      </c>
      <c r="E207" s="9" t="s">
        <v>33</v>
      </c>
      <c r="F207" s="7" t="s">
        <v>34</v>
      </c>
      <c r="G207" s="7" t="s">
        <v>45</v>
      </c>
      <c r="H207" s="7" t="s">
        <v>46</v>
      </c>
      <c r="I207" s="9">
        <v>152</v>
      </c>
      <c r="J207" s="9" t="s">
        <v>345</v>
      </c>
      <c r="K207" s="9" t="s">
        <v>38</v>
      </c>
      <c r="L207" s="11">
        <v>1</v>
      </c>
      <c r="M207" s="14">
        <v>18000.0</v>
      </c>
      <c r="N207" s="14"/>
      <c r="O207" s="16">
        <f>IF(M207&gt;0, N207/M207, 0)</f>
        <v>0</v>
      </c>
      <c r="P207" s="14">
        <f>M207-N207</f>
        <v>18000</v>
      </c>
      <c r="Q207" s="14">
        <f>L207*M207</f>
        <v>18000</v>
      </c>
      <c r="R207" s="14">
        <f>L207*N207</f>
        <v>0</v>
      </c>
      <c r="S207" s="14">
        <f>L207*P207</f>
        <v>18000</v>
      </c>
      <c r="T207" s="14"/>
      <c r="U207" s="14">
        <f>L207*T207</f>
        <v>0</v>
      </c>
      <c r="V207" s="14">
        <f>S207-U207</f>
        <v>18000</v>
      </c>
      <c r="W207" s="16">
        <f>IF(S207&gt;0, V207/S207, 0)</f>
        <v>1</v>
      </c>
      <c r="X207" s="7" t="s">
        <v>39</v>
      </c>
      <c r="Y207" s="9" t="s">
        <v>40</v>
      </c>
      <c r="Z207" s="9" t="s">
        <v>41</v>
      </c>
      <c r="AA207" s="9" t="s">
        <v>42</v>
      </c>
      <c r="AB207" s="7" t="s">
        <v>42</v>
      </c>
    </row>
    <row r="208" spans="1:28">
      <c r="A208" s="8">
        <v>201</v>
      </c>
      <c r="B208" s="8" t="s">
        <v>395</v>
      </c>
      <c r="C208" s="8" t="s">
        <v>381</v>
      </c>
      <c r="D208" s="8" t="s">
        <v>198</v>
      </c>
      <c r="E208" s="8" t="s">
        <v>33</v>
      </c>
      <c r="F208" s="6" t="s">
        <v>34</v>
      </c>
      <c r="G208" s="6" t="s">
        <v>69</v>
      </c>
      <c r="H208" s="6" t="s">
        <v>69</v>
      </c>
      <c r="I208" s="8">
        <v>152</v>
      </c>
      <c r="J208" s="8" t="s">
        <v>207</v>
      </c>
      <c r="K208" s="8" t="s">
        <v>38</v>
      </c>
      <c r="L208" s="10">
        <v>1</v>
      </c>
      <c r="M208" s="13">
        <v>16500.0</v>
      </c>
      <c r="N208" s="13"/>
      <c r="O208" s="15">
        <f>IF(M208&gt;0, N208/M208, 0)</f>
        <v>0</v>
      </c>
      <c r="P208" s="13">
        <f>M208-N208</f>
        <v>16500</v>
      </c>
      <c r="Q208" s="13">
        <f>L208*M208</f>
        <v>16500</v>
      </c>
      <c r="R208" s="13">
        <f>L208*N208</f>
        <v>0</v>
      </c>
      <c r="S208" s="13">
        <f>L208*P208</f>
        <v>16500</v>
      </c>
      <c r="T208" s="13"/>
      <c r="U208" s="13">
        <f>L208*T208</f>
        <v>0</v>
      </c>
      <c r="V208" s="13">
        <f>S208-U208</f>
        <v>16500</v>
      </c>
      <c r="W208" s="15">
        <f>IF(S208&gt;0, V208/S208, 0)</f>
        <v>1</v>
      </c>
      <c r="X208" s="6" t="s">
        <v>39</v>
      </c>
      <c r="Y208" s="8" t="s">
        <v>40</v>
      </c>
      <c r="Z208" s="8" t="s">
        <v>41</v>
      </c>
      <c r="AA208" s="8" t="s">
        <v>42</v>
      </c>
      <c r="AB208" s="6" t="s">
        <v>42</v>
      </c>
    </row>
    <row r="209" spans="1:28">
      <c r="A209" s="9">
        <v>202</v>
      </c>
      <c r="B209" s="9" t="s">
        <v>396</v>
      </c>
      <c r="C209" s="9" t="s">
        <v>381</v>
      </c>
      <c r="D209" s="9" t="s">
        <v>198</v>
      </c>
      <c r="E209" s="9" t="s">
        <v>33</v>
      </c>
      <c r="F209" s="7" t="s">
        <v>50</v>
      </c>
      <c r="G209" s="7" t="s">
        <v>35</v>
      </c>
      <c r="H209" s="7" t="s">
        <v>36</v>
      </c>
      <c r="I209" s="9">
        <v>152</v>
      </c>
      <c r="J209" s="9" t="s">
        <v>151</v>
      </c>
      <c r="K209" s="9" t="s">
        <v>53</v>
      </c>
      <c r="L209" s="11">
        <v>1</v>
      </c>
      <c r="M209" s="14">
        <v>7000.0</v>
      </c>
      <c r="N209" s="14"/>
      <c r="O209" s="16">
        <f>IF(M209&gt;0, N209/M209, 0)</f>
        <v>0</v>
      </c>
      <c r="P209" s="14">
        <f>M209-N209</f>
        <v>7000</v>
      </c>
      <c r="Q209" s="14">
        <f>L209*M209</f>
        <v>7000</v>
      </c>
      <c r="R209" s="14">
        <f>L209*N209</f>
        <v>0</v>
      </c>
      <c r="S209" s="14">
        <f>L209*P209</f>
        <v>7000</v>
      </c>
      <c r="T209" s="14"/>
      <c r="U209" s="14">
        <f>L209*T209</f>
        <v>0</v>
      </c>
      <c r="V209" s="14">
        <f>S209-U209</f>
        <v>7000</v>
      </c>
      <c r="W209" s="16">
        <f>IF(S209&gt;0, V209/S209, 0)</f>
        <v>1</v>
      </c>
      <c r="X209" s="7" t="s">
        <v>39</v>
      </c>
      <c r="Y209" s="9" t="s">
        <v>40</v>
      </c>
      <c r="Z209" s="9" t="s">
        <v>41</v>
      </c>
      <c r="AA209" s="9" t="s">
        <v>42</v>
      </c>
      <c r="AB209" s="7" t="s">
        <v>42</v>
      </c>
    </row>
    <row r="210" spans="1:28">
      <c r="A210" s="8">
        <v>203</v>
      </c>
      <c r="B210" s="8" t="s">
        <v>397</v>
      </c>
      <c r="C210" s="8" t="s">
        <v>398</v>
      </c>
      <c r="D210" s="8" t="s">
        <v>198</v>
      </c>
      <c r="E210" s="8" t="s">
        <v>33</v>
      </c>
      <c r="F210" s="6" t="s">
        <v>34</v>
      </c>
      <c r="G210" s="6" t="s">
        <v>56</v>
      </c>
      <c r="H210" s="6" t="s">
        <v>56</v>
      </c>
      <c r="I210" s="8">
        <v>158</v>
      </c>
      <c r="J210" s="8" t="s">
        <v>128</v>
      </c>
      <c r="K210" s="8" t="s">
        <v>38</v>
      </c>
      <c r="L210" s="10">
        <v>1</v>
      </c>
      <c r="M210" s="13">
        <v>7500.0</v>
      </c>
      <c r="N210" s="13"/>
      <c r="O210" s="15">
        <f>IF(M210&gt;0, N210/M210, 0)</f>
        <v>0</v>
      </c>
      <c r="P210" s="13">
        <f>M210-N210</f>
        <v>7500</v>
      </c>
      <c r="Q210" s="13">
        <f>L210*M210</f>
        <v>7500</v>
      </c>
      <c r="R210" s="13">
        <f>L210*N210</f>
        <v>0</v>
      </c>
      <c r="S210" s="13">
        <f>L210*P210</f>
        <v>7500</v>
      </c>
      <c r="T210" s="13"/>
      <c r="U210" s="13">
        <f>L210*T210</f>
        <v>0</v>
      </c>
      <c r="V210" s="13">
        <f>S210-U210</f>
        <v>7500</v>
      </c>
      <c r="W210" s="15">
        <f>IF(S210&gt;0, V210/S210, 0)</f>
        <v>1</v>
      </c>
      <c r="X210" s="6" t="s">
        <v>39</v>
      </c>
      <c r="Y210" s="8" t="s">
        <v>40</v>
      </c>
      <c r="Z210" s="8" t="s">
        <v>41</v>
      </c>
      <c r="AA210" s="8" t="s">
        <v>42</v>
      </c>
      <c r="AB210" s="6" t="s">
        <v>42</v>
      </c>
    </row>
    <row r="211" spans="1:28">
      <c r="A211" s="9">
        <v>204</v>
      </c>
      <c r="B211" s="9" t="s">
        <v>399</v>
      </c>
      <c r="C211" s="9" t="s">
        <v>398</v>
      </c>
      <c r="D211" s="9" t="s">
        <v>198</v>
      </c>
      <c r="E211" s="9" t="s">
        <v>33</v>
      </c>
      <c r="F211" s="7" t="s">
        <v>50</v>
      </c>
      <c r="G211" s="7" t="s">
        <v>69</v>
      </c>
      <c r="H211" s="7" t="s">
        <v>69</v>
      </c>
      <c r="I211" s="9">
        <v>146</v>
      </c>
      <c r="J211" s="9" t="s">
        <v>382</v>
      </c>
      <c r="K211" s="9" t="s">
        <v>38</v>
      </c>
      <c r="L211" s="11">
        <v>1</v>
      </c>
      <c r="M211" s="14">
        <v>16000.0</v>
      </c>
      <c r="N211" s="14"/>
      <c r="O211" s="16">
        <f>IF(M211&gt;0, N211/M211, 0)</f>
        <v>0</v>
      </c>
      <c r="P211" s="14">
        <f>M211-N211</f>
        <v>16000</v>
      </c>
      <c r="Q211" s="14">
        <f>L211*M211</f>
        <v>16000</v>
      </c>
      <c r="R211" s="14">
        <f>L211*N211</f>
        <v>0</v>
      </c>
      <c r="S211" s="14">
        <f>L211*P211</f>
        <v>16000</v>
      </c>
      <c r="T211" s="14"/>
      <c r="U211" s="14">
        <f>L211*T211</f>
        <v>0</v>
      </c>
      <c r="V211" s="14">
        <f>S211-U211</f>
        <v>16000</v>
      </c>
      <c r="W211" s="16">
        <f>IF(S211&gt;0, V211/S211, 0)</f>
        <v>1</v>
      </c>
      <c r="X211" s="7" t="s">
        <v>39</v>
      </c>
      <c r="Y211" s="9" t="s">
        <v>40</v>
      </c>
      <c r="Z211" s="9" t="s">
        <v>41</v>
      </c>
      <c r="AA211" s="9" t="s">
        <v>42</v>
      </c>
      <c r="AB211" s="7" t="s">
        <v>42</v>
      </c>
    </row>
    <row r="212" spans="1:28">
      <c r="A212" s="8">
        <v>205</v>
      </c>
      <c r="B212" s="8" t="s">
        <v>400</v>
      </c>
      <c r="C212" s="8" t="s">
        <v>398</v>
      </c>
      <c r="D212" s="8" t="s">
        <v>198</v>
      </c>
      <c r="E212" s="8" t="s">
        <v>68</v>
      </c>
      <c r="F212" s="6" t="s">
        <v>50</v>
      </c>
      <c r="G212" s="6" t="s">
        <v>63</v>
      </c>
      <c r="H212" s="6" t="s">
        <v>148</v>
      </c>
      <c r="I212" s="8">
        <v>146</v>
      </c>
      <c r="J212" s="8" t="s">
        <v>167</v>
      </c>
      <c r="K212" s="8" t="s">
        <v>38</v>
      </c>
      <c r="L212" s="10">
        <v>1</v>
      </c>
      <c r="M212" s="13">
        <v>10000.0</v>
      </c>
      <c r="N212" s="13"/>
      <c r="O212" s="15">
        <f>IF(M212&gt;0, N212/M212, 0)</f>
        <v>0</v>
      </c>
      <c r="P212" s="13">
        <f>M212-N212</f>
        <v>10000</v>
      </c>
      <c r="Q212" s="13">
        <f>L212*M212</f>
        <v>10000</v>
      </c>
      <c r="R212" s="13">
        <f>L212*N212</f>
        <v>0</v>
      </c>
      <c r="S212" s="13">
        <f>L212*P212</f>
        <v>10000</v>
      </c>
      <c r="T212" s="13"/>
      <c r="U212" s="13">
        <f>L212*T212</f>
        <v>0</v>
      </c>
      <c r="V212" s="13">
        <f>S212-U212</f>
        <v>10000</v>
      </c>
      <c r="W212" s="15">
        <f>IF(S212&gt;0, V212/S212, 0)</f>
        <v>1</v>
      </c>
      <c r="X212" s="6" t="s">
        <v>39</v>
      </c>
      <c r="Y212" s="8" t="s">
        <v>40</v>
      </c>
      <c r="Z212" s="8" t="s">
        <v>71</v>
      </c>
      <c r="AA212" s="8" t="s">
        <v>42</v>
      </c>
      <c r="AB212" s="6" t="s">
        <v>42</v>
      </c>
    </row>
    <row r="213" spans="1:28">
      <c r="A213" s="9">
        <v>206</v>
      </c>
      <c r="B213" s="9" t="s">
        <v>401</v>
      </c>
      <c r="C213" s="9" t="s">
        <v>398</v>
      </c>
      <c r="D213" s="9" t="s">
        <v>198</v>
      </c>
      <c r="E213" s="9" t="s">
        <v>33</v>
      </c>
      <c r="F213" s="7" t="s">
        <v>50</v>
      </c>
      <c r="G213" s="7" t="s">
        <v>51</v>
      </c>
      <c r="H213" s="7" t="s">
        <v>51</v>
      </c>
      <c r="I213" s="9">
        <v>152</v>
      </c>
      <c r="J213" s="9" t="s">
        <v>402</v>
      </c>
      <c r="K213" s="9" t="s">
        <v>53</v>
      </c>
      <c r="L213" s="11">
        <v>1</v>
      </c>
      <c r="M213" s="14">
        <v>8000.0</v>
      </c>
      <c r="N213" s="14"/>
      <c r="O213" s="16">
        <f>IF(M213&gt;0, N213/M213, 0)</f>
        <v>0</v>
      </c>
      <c r="P213" s="14">
        <f>M213-N213</f>
        <v>8000</v>
      </c>
      <c r="Q213" s="14">
        <f>L213*M213</f>
        <v>8000</v>
      </c>
      <c r="R213" s="14">
        <f>L213*N213</f>
        <v>0</v>
      </c>
      <c r="S213" s="14">
        <f>L213*P213</f>
        <v>8000</v>
      </c>
      <c r="T213" s="14"/>
      <c r="U213" s="14">
        <f>L213*T213</f>
        <v>0</v>
      </c>
      <c r="V213" s="14">
        <f>S213-U213</f>
        <v>8000</v>
      </c>
      <c r="W213" s="16">
        <f>IF(S213&gt;0, V213/S213, 0)</f>
        <v>1</v>
      </c>
      <c r="X213" s="7" t="s">
        <v>39</v>
      </c>
      <c r="Y213" s="9" t="s">
        <v>40</v>
      </c>
      <c r="Z213" s="9" t="s">
        <v>41</v>
      </c>
      <c r="AA213" s="9" t="s">
        <v>42</v>
      </c>
      <c r="AB213" s="7" t="s">
        <v>42</v>
      </c>
    </row>
    <row r="214" spans="1:28">
      <c r="A214" s="8">
        <v>207</v>
      </c>
      <c r="B214" s="8" t="s">
        <v>403</v>
      </c>
      <c r="C214" s="8" t="s">
        <v>398</v>
      </c>
      <c r="D214" s="8" t="s">
        <v>198</v>
      </c>
      <c r="E214" s="8" t="s">
        <v>33</v>
      </c>
      <c r="F214" s="6" t="s">
        <v>50</v>
      </c>
      <c r="G214" s="6" t="s">
        <v>51</v>
      </c>
      <c r="H214" s="6" t="s">
        <v>51</v>
      </c>
      <c r="I214" s="8">
        <v>164</v>
      </c>
      <c r="J214" s="8" t="s">
        <v>404</v>
      </c>
      <c r="K214" s="8" t="s">
        <v>53</v>
      </c>
      <c r="L214" s="10">
        <v>1</v>
      </c>
      <c r="M214" s="13">
        <v>8000.0</v>
      </c>
      <c r="N214" s="13"/>
      <c r="O214" s="15">
        <f>IF(M214&gt;0, N214/M214, 0)</f>
        <v>0</v>
      </c>
      <c r="P214" s="13">
        <f>M214-N214</f>
        <v>8000</v>
      </c>
      <c r="Q214" s="13">
        <f>L214*M214</f>
        <v>8000</v>
      </c>
      <c r="R214" s="13">
        <f>L214*N214</f>
        <v>0</v>
      </c>
      <c r="S214" s="13">
        <f>L214*P214</f>
        <v>8000</v>
      </c>
      <c r="T214" s="13"/>
      <c r="U214" s="13">
        <f>L214*T214</f>
        <v>0</v>
      </c>
      <c r="V214" s="13">
        <f>S214-U214</f>
        <v>8000</v>
      </c>
      <c r="W214" s="15">
        <f>IF(S214&gt;0, V214/S214, 0)</f>
        <v>1</v>
      </c>
      <c r="X214" s="6" t="s">
        <v>39</v>
      </c>
      <c r="Y214" s="8" t="s">
        <v>40</v>
      </c>
      <c r="Z214" s="8" t="s">
        <v>41</v>
      </c>
      <c r="AA214" s="8" t="s">
        <v>42</v>
      </c>
      <c r="AB214" s="6" t="s">
        <v>42</v>
      </c>
    </row>
    <row r="215" spans="1:28">
      <c r="A215" s="9">
        <v>208</v>
      </c>
      <c r="B215" s="9" t="s">
        <v>405</v>
      </c>
      <c r="C215" s="9" t="s">
        <v>398</v>
      </c>
      <c r="D215" s="9" t="s">
        <v>198</v>
      </c>
      <c r="E215" s="9" t="s">
        <v>33</v>
      </c>
      <c r="F215" s="7" t="s">
        <v>50</v>
      </c>
      <c r="G215" s="7" t="s">
        <v>35</v>
      </c>
      <c r="H215" s="7" t="s">
        <v>36</v>
      </c>
      <c r="I215" s="9">
        <v>152</v>
      </c>
      <c r="J215" s="9" t="s">
        <v>151</v>
      </c>
      <c r="K215" s="9" t="s">
        <v>53</v>
      </c>
      <c r="L215" s="11">
        <v>2</v>
      </c>
      <c r="M215" s="14">
        <v>7000.0</v>
      </c>
      <c r="N215" s="14"/>
      <c r="O215" s="16">
        <f>IF(M215&gt;0, N215/M215, 0)</f>
        <v>0</v>
      </c>
      <c r="P215" s="14">
        <f>M215-N215</f>
        <v>7000</v>
      </c>
      <c r="Q215" s="14">
        <f>L215*M215</f>
        <v>14000</v>
      </c>
      <c r="R215" s="14">
        <f>L215*N215</f>
        <v>0</v>
      </c>
      <c r="S215" s="14">
        <f>L215*P215</f>
        <v>14000</v>
      </c>
      <c r="T215" s="14"/>
      <c r="U215" s="14">
        <f>L215*T215</f>
        <v>0</v>
      </c>
      <c r="V215" s="14">
        <f>S215-U215</f>
        <v>14000</v>
      </c>
      <c r="W215" s="16">
        <f>IF(S215&gt;0, V215/S215, 0)</f>
        <v>1</v>
      </c>
      <c r="X215" s="7" t="s">
        <v>39</v>
      </c>
      <c r="Y215" s="9" t="s">
        <v>40</v>
      </c>
      <c r="Z215" s="9" t="s">
        <v>41</v>
      </c>
      <c r="AA215" s="9" t="s">
        <v>42</v>
      </c>
      <c r="AB215" s="7" t="s">
        <v>42</v>
      </c>
    </row>
    <row r="216" spans="1:28">
      <c r="A216" s="8">
        <v>209</v>
      </c>
      <c r="B216" s="8" t="s">
        <v>406</v>
      </c>
      <c r="C216" s="8" t="s">
        <v>398</v>
      </c>
      <c r="D216" s="8" t="s">
        <v>198</v>
      </c>
      <c r="E216" s="8" t="s">
        <v>33</v>
      </c>
      <c r="F216" s="6" t="s">
        <v>50</v>
      </c>
      <c r="G216" s="6" t="s">
        <v>35</v>
      </c>
      <c r="H216" s="6" t="s">
        <v>36</v>
      </c>
      <c r="I216" s="8">
        <v>164</v>
      </c>
      <c r="J216" s="8" t="s">
        <v>407</v>
      </c>
      <c r="K216" s="8" t="s">
        <v>53</v>
      </c>
      <c r="L216" s="10">
        <v>2</v>
      </c>
      <c r="M216" s="13">
        <v>7000.0</v>
      </c>
      <c r="N216" s="13"/>
      <c r="O216" s="15">
        <f>IF(M216&gt;0, N216/M216, 0)</f>
        <v>0</v>
      </c>
      <c r="P216" s="13">
        <f>M216-N216</f>
        <v>7000</v>
      </c>
      <c r="Q216" s="13">
        <f>L216*M216</f>
        <v>14000</v>
      </c>
      <c r="R216" s="13">
        <f>L216*N216</f>
        <v>0</v>
      </c>
      <c r="S216" s="13">
        <f>L216*P216</f>
        <v>14000</v>
      </c>
      <c r="T216" s="13"/>
      <c r="U216" s="13">
        <f>L216*T216</f>
        <v>0</v>
      </c>
      <c r="V216" s="13">
        <f>S216-U216</f>
        <v>14000</v>
      </c>
      <c r="W216" s="15">
        <f>IF(S216&gt;0, V216/S216, 0)</f>
        <v>1</v>
      </c>
      <c r="X216" s="6" t="s">
        <v>39</v>
      </c>
      <c r="Y216" s="8" t="s">
        <v>40</v>
      </c>
      <c r="Z216" s="8" t="s">
        <v>41</v>
      </c>
      <c r="AA216" s="8" t="s">
        <v>42</v>
      </c>
      <c r="AB216" s="6" t="s">
        <v>42</v>
      </c>
    </row>
    <row r="217" spans="1:28">
      <c r="A217" s="9">
        <v>210</v>
      </c>
      <c r="B217" s="9" t="s">
        <v>408</v>
      </c>
      <c r="C217" s="9" t="s">
        <v>398</v>
      </c>
      <c r="D217" s="9" t="s">
        <v>198</v>
      </c>
      <c r="E217" s="9" t="s">
        <v>33</v>
      </c>
      <c r="F217" s="7" t="s">
        <v>50</v>
      </c>
      <c r="G217" s="7" t="s">
        <v>56</v>
      </c>
      <c r="H217" s="7" t="s">
        <v>56</v>
      </c>
      <c r="I217" s="9">
        <v>164</v>
      </c>
      <c r="J217" s="9" t="s">
        <v>409</v>
      </c>
      <c r="K217" s="9" t="s">
        <v>38</v>
      </c>
      <c r="L217" s="11">
        <v>1</v>
      </c>
      <c r="M217" s="14">
        <v>7000.0</v>
      </c>
      <c r="N217" s="14"/>
      <c r="O217" s="16">
        <f>IF(M217&gt;0, N217/M217, 0)</f>
        <v>0</v>
      </c>
      <c r="P217" s="14">
        <f>M217-N217</f>
        <v>7000</v>
      </c>
      <c r="Q217" s="14">
        <f>L217*M217</f>
        <v>7000</v>
      </c>
      <c r="R217" s="14">
        <f>L217*N217</f>
        <v>0</v>
      </c>
      <c r="S217" s="14">
        <f>L217*P217</f>
        <v>7000</v>
      </c>
      <c r="T217" s="14"/>
      <c r="U217" s="14">
        <f>L217*T217</f>
        <v>0</v>
      </c>
      <c r="V217" s="14">
        <f>S217-U217</f>
        <v>7000</v>
      </c>
      <c r="W217" s="16">
        <f>IF(S217&gt;0, V217/S217, 0)</f>
        <v>1</v>
      </c>
      <c r="X217" s="7" t="s">
        <v>39</v>
      </c>
      <c r="Y217" s="9" t="s">
        <v>40</v>
      </c>
      <c r="Z217" s="9" t="s">
        <v>41</v>
      </c>
      <c r="AA217" s="9" t="s">
        <v>42</v>
      </c>
      <c r="AB217" s="7" t="s">
        <v>42</v>
      </c>
    </row>
    <row r="218" spans="1:28">
      <c r="A218" s="8">
        <v>211</v>
      </c>
      <c r="B218" s="8" t="s">
        <v>410</v>
      </c>
      <c r="C218" s="8" t="s">
        <v>398</v>
      </c>
      <c r="D218" s="8" t="s">
        <v>198</v>
      </c>
      <c r="E218" s="8" t="s">
        <v>33</v>
      </c>
      <c r="F218" s="6" t="s">
        <v>50</v>
      </c>
      <c r="G218" s="6" t="s">
        <v>45</v>
      </c>
      <c r="H218" s="6" t="s">
        <v>46</v>
      </c>
      <c r="I218" s="8">
        <v>152</v>
      </c>
      <c r="J218" s="8" t="s">
        <v>411</v>
      </c>
      <c r="K218" s="8" t="s">
        <v>38</v>
      </c>
      <c r="L218" s="10">
        <v>1</v>
      </c>
      <c r="M218" s="13">
        <v>18000.0</v>
      </c>
      <c r="N218" s="13"/>
      <c r="O218" s="15">
        <f>IF(M218&gt;0, N218/M218, 0)</f>
        <v>0</v>
      </c>
      <c r="P218" s="13">
        <f>M218-N218</f>
        <v>18000</v>
      </c>
      <c r="Q218" s="13">
        <f>L218*M218</f>
        <v>18000</v>
      </c>
      <c r="R218" s="13">
        <f>L218*N218</f>
        <v>0</v>
      </c>
      <c r="S218" s="13">
        <f>L218*P218</f>
        <v>18000</v>
      </c>
      <c r="T218" s="13"/>
      <c r="U218" s="13">
        <f>L218*T218</f>
        <v>0</v>
      </c>
      <c r="V218" s="13">
        <f>S218-U218</f>
        <v>18000</v>
      </c>
      <c r="W218" s="15">
        <f>IF(S218&gt;0, V218/S218, 0)</f>
        <v>1</v>
      </c>
      <c r="X218" s="6" t="s">
        <v>39</v>
      </c>
      <c r="Y218" s="8" t="s">
        <v>40</v>
      </c>
      <c r="Z218" s="8" t="s">
        <v>41</v>
      </c>
      <c r="AA218" s="8" t="s">
        <v>42</v>
      </c>
      <c r="AB218" s="6" t="s">
        <v>42</v>
      </c>
    </row>
    <row r="219" spans="1:28">
      <c r="A219" s="9">
        <v>212</v>
      </c>
      <c r="B219" s="9" t="s">
        <v>412</v>
      </c>
      <c r="C219" s="9" t="s">
        <v>398</v>
      </c>
      <c r="D219" s="9" t="s">
        <v>198</v>
      </c>
      <c r="E219" s="9" t="s">
        <v>33</v>
      </c>
      <c r="F219" s="7" t="s">
        <v>34</v>
      </c>
      <c r="G219" s="7" t="s">
        <v>45</v>
      </c>
      <c r="H219" s="7" t="s">
        <v>46</v>
      </c>
      <c r="I219" s="9">
        <v>164</v>
      </c>
      <c r="J219" s="9" t="s">
        <v>318</v>
      </c>
      <c r="K219" s="9" t="s">
        <v>38</v>
      </c>
      <c r="L219" s="11">
        <v>1</v>
      </c>
      <c r="M219" s="14">
        <v>18000.0</v>
      </c>
      <c r="N219" s="14"/>
      <c r="O219" s="16">
        <f>IF(M219&gt;0, N219/M219, 0)</f>
        <v>0</v>
      </c>
      <c r="P219" s="14">
        <f>M219-N219</f>
        <v>18000</v>
      </c>
      <c r="Q219" s="14">
        <f>L219*M219</f>
        <v>18000</v>
      </c>
      <c r="R219" s="14">
        <f>L219*N219</f>
        <v>0</v>
      </c>
      <c r="S219" s="14">
        <f>L219*P219</f>
        <v>18000</v>
      </c>
      <c r="T219" s="14"/>
      <c r="U219" s="14">
        <f>L219*T219</f>
        <v>0</v>
      </c>
      <c r="V219" s="14">
        <f>S219-U219</f>
        <v>18000</v>
      </c>
      <c r="W219" s="16">
        <f>IF(S219&gt;0, V219/S219, 0)</f>
        <v>1</v>
      </c>
      <c r="X219" s="7" t="s">
        <v>39</v>
      </c>
      <c r="Y219" s="9" t="s">
        <v>40</v>
      </c>
      <c r="Z219" s="9" t="s">
        <v>41</v>
      </c>
      <c r="AA219" s="9" t="s">
        <v>42</v>
      </c>
      <c r="AB219" s="7" t="s">
        <v>42</v>
      </c>
    </row>
    <row r="220" spans="1:28">
      <c r="A220" s="8">
        <v>213</v>
      </c>
      <c r="B220" s="8" t="s">
        <v>413</v>
      </c>
      <c r="C220" s="8" t="s">
        <v>398</v>
      </c>
      <c r="D220" s="8" t="s">
        <v>198</v>
      </c>
      <c r="E220" s="8" t="s">
        <v>33</v>
      </c>
      <c r="F220" s="6" t="s">
        <v>50</v>
      </c>
      <c r="G220" s="6" t="s">
        <v>45</v>
      </c>
      <c r="H220" s="6" t="s">
        <v>46</v>
      </c>
      <c r="I220" s="8">
        <v>140</v>
      </c>
      <c r="J220" s="8" t="s">
        <v>414</v>
      </c>
      <c r="K220" s="8" t="s">
        <v>38</v>
      </c>
      <c r="L220" s="10">
        <v>1</v>
      </c>
      <c r="M220" s="13">
        <v>18000.0</v>
      </c>
      <c r="N220" s="13"/>
      <c r="O220" s="15">
        <f>IF(M220&gt;0, N220/M220, 0)</f>
        <v>0</v>
      </c>
      <c r="P220" s="13">
        <f>M220-N220</f>
        <v>18000</v>
      </c>
      <c r="Q220" s="13">
        <f>L220*M220</f>
        <v>18000</v>
      </c>
      <c r="R220" s="13">
        <f>L220*N220</f>
        <v>0</v>
      </c>
      <c r="S220" s="13">
        <f>L220*P220</f>
        <v>18000</v>
      </c>
      <c r="T220" s="13"/>
      <c r="U220" s="13">
        <f>L220*T220</f>
        <v>0</v>
      </c>
      <c r="V220" s="13">
        <f>S220-U220</f>
        <v>18000</v>
      </c>
      <c r="W220" s="15">
        <f>IF(S220&gt;0, V220/S220, 0)</f>
        <v>1</v>
      </c>
      <c r="X220" s="6" t="s">
        <v>39</v>
      </c>
      <c r="Y220" s="8" t="s">
        <v>40</v>
      </c>
      <c r="Z220" s="8" t="s">
        <v>41</v>
      </c>
      <c r="AA220" s="8" t="s">
        <v>42</v>
      </c>
      <c r="AB220" s="6" t="s">
        <v>42</v>
      </c>
    </row>
    <row r="221" spans="1:28">
      <c r="A221" s="9">
        <v>214</v>
      </c>
      <c r="B221" s="9" t="s">
        <v>415</v>
      </c>
      <c r="C221" s="9" t="s">
        <v>398</v>
      </c>
      <c r="D221" s="9" t="s">
        <v>198</v>
      </c>
      <c r="E221" s="9" t="s">
        <v>33</v>
      </c>
      <c r="F221" s="7" t="s">
        <v>50</v>
      </c>
      <c r="G221" s="7" t="s">
        <v>51</v>
      </c>
      <c r="H221" s="7" t="s">
        <v>51</v>
      </c>
      <c r="I221" s="9">
        <v>134</v>
      </c>
      <c r="J221" s="9" t="s">
        <v>175</v>
      </c>
      <c r="K221" s="9" t="s">
        <v>53</v>
      </c>
      <c r="L221" s="11">
        <v>1</v>
      </c>
      <c r="M221" s="14">
        <v>8000.0</v>
      </c>
      <c r="N221" s="14"/>
      <c r="O221" s="16">
        <f>IF(M221&gt;0, N221/M221, 0)</f>
        <v>0</v>
      </c>
      <c r="P221" s="14">
        <f>M221-N221</f>
        <v>8000</v>
      </c>
      <c r="Q221" s="14">
        <f>L221*M221</f>
        <v>8000</v>
      </c>
      <c r="R221" s="14">
        <f>L221*N221</f>
        <v>0</v>
      </c>
      <c r="S221" s="14">
        <f>L221*P221</f>
        <v>8000</v>
      </c>
      <c r="T221" s="14"/>
      <c r="U221" s="14">
        <f>L221*T221</f>
        <v>0</v>
      </c>
      <c r="V221" s="14">
        <f>S221-U221</f>
        <v>8000</v>
      </c>
      <c r="W221" s="16">
        <f>IF(S221&gt;0, V221/S221, 0)</f>
        <v>1</v>
      </c>
      <c r="X221" s="7" t="s">
        <v>39</v>
      </c>
      <c r="Y221" s="9" t="s">
        <v>40</v>
      </c>
      <c r="Z221" s="9" t="s">
        <v>41</v>
      </c>
      <c r="AA221" s="9" t="s">
        <v>42</v>
      </c>
      <c r="AB221" s="7" t="s">
        <v>42</v>
      </c>
    </row>
    <row r="222" spans="1:28">
      <c r="A222" s="8">
        <v>215</v>
      </c>
      <c r="B222" s="8" t="s">
        <v>416</v>
      </c>
      <c r="C222" s="8" t="s">
        <v>398</v>
      </c>
      <c r="D222" s="8" t="s">
        <v>198</v>
      </c>
      <c r="E222" s="8" t="s">
        <v>33</v>
      </c>
      <c r="F222" s="6" t="s">
        <v>50</v>
      </c>
      <c r="G222" s="6" t="s">
        <v>35</v>
      </c>
      <c r="H222" s="6" t="s">
        <v>36</v>
      </c>
      <c r="I222" s="8">
        <v>140</v>
      </c>
      <c r="J222" s="8" t="s">
        <v>223</v>
      </c>
      <c r="K222" s="8" t="s">
        <v>53</v>
      </c>
      <c r="L222" s="10">
        <v>1</v>
      </c>
      <c r="M222" s="13">
        <v>7000.0</v>
      </c>
      <c r="N222" s="13"/>
      <c r="O222" s="15">
        <f>IF(M222&gt;0, N222/M222, 0)</f>
        <v>0</v>
      </c>
      <c r="P222" s="13">
        <f>M222-N222</f>
        <v>7000</v>
      </c>
      <c r="Q222" s="13">
        <f>L222*M222</f>
        <v>7000</v>
      </c>
      <c r="R222" s="13">
        <f>L222*N222</f>
        <v>0</v>
      </c>
      <c r="S222" s="13">
        <f>L222*P222</f>
        <v>7000</v>
      </c>
      <c r="T222" s="13"/>
      <c r="U222" s="13">
        <f>L222*T222</f>
        <v>0</v>
      </c>
      <c r="V222" s="13">
        <f>S222-U222</f>
        <v>7000</v>
      </c>
      <c r="W222" s="15">
        <f>IF(S222&gt;0, V222/S222, 0)</f>
        <v>1</v>
      </c>
      <c r="X222" s="6" t="s">
        <v>39</v>
      </c>
      <c r="Y222" s="8" t="s">
        <v>40</v>
      </c>
      <c r="Z222" s="8" t="s">
        <v>41</v>
      </c>
      <c r="AA222" s="8" t="s">
        <v>42</v>
      </c>
      <c r="AB222" s="6" t="s">
        <v>42</v>
      </c>
    </row>
    <row r="223" spans="1:28">
      <c r="A223" s="9">
        <v>216</v>
      </c>
      <c r="B223" s="9" t="s">
        <v>417</v>
      </c>
      <c r="C223" s="9" t="s">
        <v>398</v>
      </c>
      <c r="D223" s="9" t="s">
        <v>198</v>
      </c>
      <c r="E223" s="9" t="s">
        <v>33</v>
      </c>
      <c r="F223" s="7" t="s">
        <v>34</v>
      </c>
      <c r="G223" s="7" t="s">
        <v>51</v>
      </c>
      <c r="H223" s="7" t="s">
        <v>51</v>
      </c>
      <c r="I223" s="9">
        <v>176</v>
      </c>
      <c r="J223" s="9" t="s">
        <v>418</v>
      </c>
      <c r="K223" s="9" t="s">
        <v>38</v>
      </c>
      <c r="L223" s="11">
        <v>1</v>
      </c>
      <c r="M223" s="14">
        <v>8500.0</v>
      </c>
      <c r="N223" s="14"/>
      <c r="O223" s="16">
        <f>IF(M223&gt;0, N223/M223, 0)</f>
        <v>0</v>
      </c>
      <c r="P223" s="14">
        <f>M223-N223</f>
        <v>8500</v>
      </c>
      <c r="Q223" s="14">
        <f>L223*M223</f>
        <v>8500</v>
      </c>
      <c r="R223" s="14">
        <f>L223*N223</f>
        <v>0</v>
      </c>
      <c r="S223" s="14">
        <f>L223*P223</f>
        <v>8500</v>
      </c>
      <c r="T223" s="14"/>
      <c r="U223" s="14">
        <f>L223*T223</f>
        <v>0</v>
      </c>
      <c r="V223" s="14">
        <f>S223-U223</f>
        <v>8500</v>
      </c>
      <c r="W223" s="16">
        <f>IF(S223&gt;0, V223/S223, 0)</f>
        <v>1</v>
      </c>
      <c r="X223" s="7" t="s">
        <v>39</v>
      </c>
      <c r="Y223" s="9" t="s">
        <v>40</v>
      </c>
      <c r="Z223" s="9" t="s">
        <v>41</v>
      </c>
      <c r="AA223" s="9" t="s">
        <v>42</v>
      </c>
      <c r="AB223" s="7" t="s">
        <v>42</v>
      </c>
    </row>
    <row r="224" spans="1:28">
      <c r="A224" s="8">
        <v>217</v>
      </c>
      <c r="B224" s="8" t="s">
        <v>419</v>
      </c>
      <c r="C224" s="8" t="s">
        <v>398</v>
      </c>
      <c r="D224" s="8" t="s">
        <v>198</v>
      </c>
      <c r="E224" s="8" t="s">
        <v>33</v>
      </c>
      <c r="F224" s="6" t="s">
        <v>34</v>
      </c>
      <c r="G224" s="6" t="s">
        <v>35</v>
      </c>
      <c r="H224" s="6" t="s">
        <v>73</v>
      </c>
      <c r="I224" s="8">
        <v>176</v>
      </c>
      <c r="J224" s="8" t="s">
        <v>420</v>
      </c>
      <c r="K224" s="8" t="s">
        <v>38</v>
      </c>
      <c r="L224" s="10">
        <v>1</v>
      </c>
      <c r="M224" s="13">
        <v>9000.0</v>
      </c>
      <c r="N224" s="13"/>
      <c r="O224" s="15">
        <f>IF(M224&gt;0, N224/M224, 0)</f>
        <v>0</v>
      </c>
      <c r="P224" s="13">
        <f>M224-N224</f>
        <v>9000</v>
      </c>
      <c r="Q224" s="13">
        <f>L224*M224</f>
        <v>9000</v>
      </c>
      <c r="R224" s="13">
        <f>L224*N224</f>
        <v>0</v>
      </c>
      <c r="S224" s="13">
        <f>L224*P224</f>
        <v>9000</v>
      </c>
      <c r="T224" s="13"/>
      <c r="U224" s="13">
        <f>L224*T224</f>
        <v>0</v>
      </c>
      <c r="V224" s="13">
        <f>S224-U224</f>
        <v>9000</v>
      </c>
      <c r="W224" s="15">
        <f>IF(S224&gt;0, V224/S224, 0)</f>
        <v>1</v>
      </c>
      <c r="X224" s="6" t="s">
        <v>39</v>
      </c>
      <c r="Y224" s="8" t="s">
        <v>40</v>
      </c>
      <c r="Z224" s="8" t="s">
        <v>41</v>
      </c>
      <c r="AA224" s="8" t="s">
        <v>42</v>
      </c>
      <c r="AB224" s="6" t="s">
        <v>42</v>
      </c>
    </row>
    <row r="225" spans="1:28">
      <c r="A225" s="9">
        <v>218</v>
      </c>
      <c r="B225" s="9" t="s">
        <v>421</v>
      </c>
      <c r="C225" s="9" t="s">
        <v>398</v>
      </c>
      <c r="D225" s="9" t="s">
        <v>198</v>
      </c>
      <c r="E225" s="9" t="s">
        <v>33</v>
      </c>
      <c r="F225" s="7" t="s">
        <v>34</v>
      </c>
      <c r="G225" s="7" t="s">
        <v>69</v>
      </c>
      <c r="H225" s="7" t="s">
        <v>69</v>
      </c>
      <c r="I225" s="9">
        <v>182</v>
      </c>
      <c r="J225" s="9" t="s">
        <v>422</v>
      </c>
      <c r="K225" s="9" t="s">
        <v>38</v>
      </c>
      <c r="L225" s="11">
        <v>1</v>
      </c>
      <c r="M225" s="14">
        <v>16500.0</v>
      </c>
      <c r="N225" s="14"/>
      <c r="O225" s="16">
        <f>IF(M225&gt;0, N225/M225, 0)</f>
        <v>0</v>
      </c>
      <c r="P225" s="14">
        <f>M225-N225</f>
        <v>16500</v>
      </c>
      <c r="Q225" s="14">
        <f>L225*M225</f>
        <v>16500</v>
      </c>
      <c r="R225" s="14">
        <f>L225*N225</f>
        <v>0</v>
      </c>
      <c r="S225" s="14">
        <f>L225*P225</f>
        <v>16500</v>
      </c>
      <c r="T225" s="14"/>
      <c r="U225" s="14">
        <f>L225*T225</f>
        <v>0</v>
      </c>
      <c r="V225" s="14">
        <f>S225-U225</f>
        <v>16500</v>
      </c>
      <c r="W225" s="16">
        <f>IF(S225&gt;0, V225/S225, 0)</f>
        <v>1</v>
      </c>
      <c r="X225" s="7" t="s">
        <v>39</v>
      </c>
      <c r="Y225" s="9" t="s">
        <v>40</v>
      </c>
      <c r="Z225" s="9" t="s">
        <v>41</v>
      </c>
      <c r="AA225" s="9" t="s">
        <v>42</v>
      </c>
      <c r="AB225" s="7" t="s">
        <v>42</v>
      </c>
    </row>
    <row r="226" spans="1:28">
      <c r="A226" s="8">
        <v>219</v>
      </c>
      <c r="B226" s="8" t="s">
        <v>423</v>
      </c>
      <c r="C226" s="8" t="s">
        <v>398</v>
      </c>
      <c r="D226" s="8" t="s">
        <v>198</v>
      </c>
      <c r="E226" s="8" t="s">
        <v>33</v>
      </c>
      <c r="F226" s="6" t="s">
        <v>34</v>
      </c>
      <c r="G226" s="6" t="s">
        <v>45</v>
      </c>
      <c r="H226" s="6" t="s">
        <v>46</v>
      </c>
      <c r="I226" s="8">
        <v>176</v>
      </c>
      <c r="J226" s="8" t="s">
        <v>424</v>
      </c>
      <c r="K226" s="8" t="s">
        <v>38</v>
      </c>
      <c r="L226" s="10">
        <v>1</v>
      </c>
      <c r="M226" s="13">
        <v>18000.0</v>
      </c>
      <c r="N226" s="13"/>
      <c r="O226" s="15">
        <f>IF(M226&gt;0, N226/M226, 0)</f>
        <v>0</v>
      </c>
      <c r="P226" s="13">
        <f>M226-N226</f>
        <v>18000</v>
      </c>
      <c r="Q226" s="13">
        <f>L226*M226</f>
        <v>18000</v>
      </c>
      <c r="R226" s="13">
        <f>L226*N226</f>
        <v>0</v>
      </c>
      <c r="S226" s="13">
        <f>L226*P226</f>
        <v>18000</v>
      </c>
      <c r="T226" s="13"/>
      <c r="U226" s="13">
        <f>L226*T226</f>
        <v>0</v>
      </c>
      <c r="V226" s="13">
        <f>S226-U226</f>
        <v>18000</v>
      </c>
      <c r="W226" s="15">
        <f>IF(S226&gt;0, V226/S226, 0)</f>
        <v>1</v>
      </c>
      <c r="X226" s="6" t="s">
        <v>39</v>
      </c>
      <c r="Y226" s="8" t="s">
        <v>40</v>
      </c>
      <c r="Z226" s="8" t="s">
        <v>41</v>
      </c>
      <c r="AA226" s="8" t="s">
        <v>42</v>
      </c>
      <c r="AB226" s="6" t="s">
        <v>42</v>
      </c>
    </row>
    <row r="227" spans="1:28">
      <c r="A227" s="9">
        <v>220</v>
      </c>
      <c r="B227" s="9" t="s">
        <v>425</v>
      </c>
      <c r="C227" s="9" t="s">
        <v>426</v>
      </c>
      <c r="D227" s="9" t="s">
        <v>198</v>
      </c>
      <c r="E227" s="9" t="s">
        <v>33</v>
      </c>
      <c r="F227" s="7" t="s">
        <v>50</v>
      </c>
      <c r="G227" s="7" t="s">
        <v>35</v>
      </c>
      <c r="H227" s="7" t="s">
        <v>36</v>
      </c>
      <c r="I227" s="9">
        <v>140</v>
      </c>
      <c r="J227" s="9" t="s">
        <v>223</v>
      </c>
      <c r="K227" s="9" t="s">
        <v>53</v>
      </c>
      <c r="L227" s="11">
        <v>1</v>
      </c>
      <c r="M227" s="14">
        <v>7000.0</v>
      </c>
      <c r="N227" s="14"/>
      <c r="O227" s="16">
        <f>IF(M227&gt;0, N227/M227, 0)</f>
        <v>0</v>
      </c>
      <c r="P227" s="14">
        <f>M227-N227</f>
        <v>7000</v>
      </c>
      <c r="Q227" s="14">
        <f>L227*M227</f>
        <v>7000</v>
      </c>
      <c r="R227" s="14">
        <f>L227*N227</f>
        <v>0</v>
      </c>
      <c r="S227" s="14">
        <f>L227*P227</f>
        <v>7000</v>
      </c>
      <c r="T227" s="14"/>
      <c r="U227" s="14">
        <f>L227*T227</f>
        <v>0</v>
      </c>
      <c r="V227" s="14">
        <f>S227-U227</f>
        <v>7000</v>
      </c>
      <c r="W227" s="16">
        <f>IF(S227&gt;0, V227/S227, 0)</f>
        <v>1</v>
      </c>
      <c r="X227" s="7" t="s">
        <v>39</v>
      </c>
      <c r="Y227" s="9" t="s">
        <v>40</v>
      </c>
      <c r="Z227" s="9" t="s">
        <v>41</v>
      </c>
      <c r="AA227" s="9" t="s">
        <v>42</v>
      </c>
      <c r="AB227" s="7" t="s">
        <v>42</v>
      </c>
    </row>
    <row r="228" spans="1:28">
      <c r="A228" s="8">
        <v>221</v>
      </c>
      <c r="B228" s="8" t="s">
        <v>427</v>
      </c>
      <c r="C228" s="8" t="s">
        <v>428</v>
      </c>
      <c r="D228" s="8" t="s">
        <v>198</v>
      </c>
      <c r="E228" s="8" t="s">
        <v>68</v>
      </c>
      <c r="F228" s="6" t="s">
        <v>50</v>
      </c>
      <c r="G228" s="6" t="s">
        <v>63</v>
      </c>
      <c r="H228" s="6" t="s">
        <v>148</v>
      </c>
      <c r="I228" s="8">
        <v>152</v>
      </c>
      <c r="J228" s="8" t="s">
        <v>251</v>
      </c>
      <c r="K228" s="8" t="s">
        <v>38</v>
      </c>
      <c r="L228" s="10">
        <v>1</v>
      </c>
      <c r="M228" s="13">
        <v>10000.0</v>
      </c>
      <c r="N228" s="13"/>
      <c r="O228" s="15">
        <f>IF(M228&gt;0, N228/M228, 0)</f>
        <v>0</v>
      </c>
      <c r="P228" s="13">
        <f>M228-N228</f>
        <v>10000</v>
      </c>
      <c r="Q228" s="13">
        <f>L228*M228</f>
        <v>10000</v>
      </c>
      <c r="R228" s="13">
        <f>L228*N228</f>
        <v>0</v>
      </c>
      <c r="S228" s="13">
        <f>L228*P228</f>
        <v>10000</v>
      </c>
      <c r="T228" s="13"/>
      <c r="U228" s="13">
        <f>L228*T228</f>
        <v>0</v>
      </c>
      <c r="V228" s="13">
        <f>S228-U228</f>
        <v>10000</v>
      </c>
      <c r="W228" s="15">
        <f>IF(S228&gt;0, V228/S228, 0)</f>
        <v>1</v>
      </c>
      <c r="X228" s="6" t="s">
        <v>39</v>
      </c>
      <c r="Y228" s="8" t="s">
        <v>40</v>
      </c>
      <c r="Z228" s="8" t="s">
        <v>71</v>
      </c>
      <c r="AA228" s="8" t="s">
        <v>42</v>
      </c>
      <c r="AB228" s="6" t="s">
        <v>42</v>
      </c>
    </row>
    <row r="229" spans="1:28">
      <c r="A229" s="9">
        <v>222</v>
      </c>
      <c r="B229" s="9" t="s">
        <v>429</v>
      </c>
      <c r="C229" s="9" t="s">
        <v>428</v>
      </c>
      <c r="D229" s="9" t="s">
        <v>198</v>
      </c>
      <c r="E229" s="9" t="s">
        <v>68</v>
      </c>
      <c r="F229" s="7" t="s">
        <v>50</v>
      </c>
      <c r="G229" s="7" t="s">
        <v>158</v>
      </c>
      <c r="H229" s="7" t="s">
        <v>159</v>
      </c>
      <c r="I229" s="9" t="s">
        <v>42</v>
      </c>
      <c r="J229" s="9" t="s">
        <v>358</v>
      </c>
      <c r="K229" s="9" t="s">
        <v>38</v>
      </c>
      <c r="L229" s="11">
        <v>1</v>
      </c>
      <c r="M229" s="14">
        <v>5000.0</v>
      </c>
      <c r="N229" s="14"/>
      <c r="O229" s="16">
        <f>IF(M229&gt;0, N229/M229, 0)</f>
        <v>0</v>
      </c>
      <c r="P229" s="14">
        <f>M229-N229</f>
        <v>5000</v>
      </c>
      <c r="Q229" s="14">
        <f>L229*M229</f>
        <v>5000</v>
      </c>
      <c r="R229" s="14">
        <f>L229*N229</f>
        <v>0</v>
      </c>
      <c r="S229" s="14">
        <f>L229*P229</f>
        <v>5000</v>
      </c>
      <c r="T229" s="14"/>
      <c r="U229" s="14">
        <f>L229*T229</f>
        <v>0</v>
      </c>
      <c r="V229" s="14">
        <f>S229-U229</f>
        <v>5000</v>
      </c>
      <c r="W229" s="16">
        <f>IF(S229&gt;0, V229/S229, 0)</f>
        <v>1</v>
      </c>
      <c r="X229" s="7" t="s">
        <v>39</v>
      </c>
      <c r="Y229" s="9" t="s">
        <v>40</v>
      </c>
      <c r="Z229" s="9" t="s">
        <v>71</v>
      </c>
      <c r="AA229" s="9" t="s">
        <v>42</v>
      </c>
      <c r="AB229" s="7" t="s">
        <v>42</v>
      </c>
    </row>
    <row r="230" spans="1:28">
      <c r="A230" s="8">
        <v>223</v>
      </c>
      <c r="B230" s="8" t="s">
        <v>430</v>
      </c>
      <c r="C230" s="8" t="s">
        <v>428</v>
      </c>
      <c r="D230" s="8" t="s">
        <v>198</v>
      </c>
      <c r="E230" s="8" t="s">
        <v>68</v>
      </c>
      <c r="F230" s="6" t="s">
        <v>50</v>
      </c>
      <c r="G230" s="6" t="s">
        <v>431</v>
      </c>
      <c r="H230" s="6" t="s">
        <v>431</v>
      </c>
      <c r="I230" s="8">
        <v>152</v>
      </c>
      <c r="J230" s="8" t="s">
        <v>432</v>
      </c>
      <c r="K230" s="8" t="s">
        <v>38</v>
      </c>
      <c r="L230" s="10">
        <v>1</v>
      </c>
      <c r="M230" s="13">
        <v>15000.0</v>
      </c>
      <c r="N230" s="13"/>
      <c r="O230" s="15">
        <f>IF(M230&gt;0, N230/M230, 0)</f>
        <v>0</v>
      </c>
      <c r="P230" s="13">
        <f>M230-N230</f>
        <v>15000</v>
      </c>
      <c r="Q230" s="13">
        <f>L230*M230</f>
        <v>15000</v>
      </c>
      <c r="R230" s="13">
        <f>L230*N230</f>
        <v>0</v>
      </c>
      <c r="S230" s="13">
        <f>L230*P230</f>
        <v>15000</v>
      </c>
      <c r="T230" s="13"/>
      <c r="U230" s="13">
        <f>L230*T230</f>
        <v>0</v>
      </c>
      <c r="V230" s="13">
        <f>S230-U230</f>
        <v>15000</v>
      </c>
      <c r="W230" s="15">
        <f>IF(S230&gt;0, V230/S230, 0)</f>
        <v>1</v>
      </c>
      <c r="X230" s="6" t="s">
        <v>39</v>
      </c>
      <c r="Y230" s="8" t="s">
        <v>40</v>
      </c>
      <c r="Z230" s="8" t="s">
        <v>71</v>
      </c>
      <c r="AA230" s="8" t="s">
        <v>42</v>
      </c>
      <c r="AB230" s="6" t="s">
        <v>42</v>
      </c>
    </row>
    <row r="231" spans="1:28">
      <c r="A231" s="9">
        <v>224</v>
      </c>
      <c r="B231" s="9" t="s">
        <v>433</v>
      </c>
      <c r="C231" s="9" t="s">
        <v>428</v>
      </c>
      <c r="D231" s="9" t="s">
        <v>198</v>
      </c>
      <c r="E231" s="9" t="s">
        <v>68</v>
      </c>
      <c r="F231" s="7" t="s">
        <v>50</v>
      </c>
      <c r="G231" s="7" t="s">
        <v>63</v>
      </c>
      <c r="H231" s="7" t="s">
        <v>148</v>
      </c>
      <c r="I231" s="9">
        <v>158</v>
      </c>
      <c r="J231" s="9" t="s">
        <v>434</v>
      </c>
      <c r="K231" s="9" t="s">
        <v>38</v>
      </c>
      <c r="L231" s="11">
        <v>2</v>
      </c>
      <c r="M231" s="14">
        <v>10000.0</v>
      </c>
      <c r="N231" s="14"/>
      <c r="O231" s="16">
        <f>IF(M231&gt;0, N231/M231, 0)</f>
        <v>0</v>
      </c>
      <c r="P231" s="14">
        <f>M231-N231</f>
        <v>10000</v>
      </c>
      <c r="Q231" s="14">
        <f>L231*M231</f>
        <v>20000</v>
      </c>
      <c r="R231" s="14">
        <f>L231*N231</f>
        <v>0</v>
      </c>
      <c r="S231" s="14">
        <f>L231*P231</f>
        <v>20000</v>
      </c>
      <c r="T231" s="14"/>
      <c r="U231" s="14">
        <f>L231*T231</f>
        <v>0</v>
      </c>
      <c r="V231" s="14">
        <f>S231-U231</f>
        <v>20000</v>
      </c>
      <c r="W231" s="16">
        <f>IF(S231&gt;0, V231/S231, 0)</f>
        <v>1</v>
      </c>
      <c r="X231" s="7" t="s">
        <v>39</v>
      </c>
      <c r="Y231" s="9" t="s">
        <v>40</v>
      </c>
      <c r="Z231" s="9" t="s">
        <v>71</v>
      </c>
      <c r="AA231" s="9" t="s">
        <v>42</v>
      </c>
      <c r="AB231" s="7" t="s">
        <v>42</v>
      </c>
    </row>
    <row r="232" spans="1:28">
      <c r="A232" s="8">
        <v>225</v>
      </c>
      <c r="B232" s="8" t="s">
        <v>435</v>
      </c>
      <c r="C232" s="8" t="s">
        <v>428</v>
      </c>
      <c r="D232" s="8" t="s">
        <v>198</v>
      </c>
      <c r="E232" s="8" t="s">
        <v>68</v>
      </c>
      <c r="F232" s="6" t="s">
        <v>50</v>
      </c>
      <c r="G232" s="6" t="s">
        <v>63</v>
      </c>
      <c r="H232" s="6" t="s">
        <v>148</v>
      </c>
      <c r="I232" s="8">
        <v>146</v>
      </c>
      <c r="J232" s="8" t="s">
        <v>167</v>
      </c>
      <c r="K232" s="8" t="s">
        <v>38</v>
      </c>
      <c r="L232" s="10">
        <v>1</v>
      </c>
      <c r="M232" s="13">
        <v>10000.0</v>
      </c>
      <c r="N232" s="13"/>
      <c r="O232" s="15">
        <f>IF(M232&gt;0, N232/M232, 0)</f>
        <v>0</v>
      </c>
      <c r="P232" s="13">
        <f>M232-N232</f>
        <v>10000</v>
      </c>
      <c r="Q232" s="13">
        <f>L232*M232</f>
        <v>10000</v>
      </c>
      <c r="R232" s="13">
        <f>L232*N232</f>
        <v>0</v>
      </c>
      <c r="S232" s="13">
        <f>L232*P232</f>
        <v>10000</v>
      </c>
      <c r="T232" s="13"/>
      <c r="U232" s="13">
        <f>L232*T232</f>
        <v>0</v>
      </c>
      <c r="V232" s="13">
        <f>S232-U232</f>
        <v>10000</v>
      </c>
      <c r="W232" s="15">
        <f>IF(S232&gt;0, V232/S232, 0)</f>
        <v>1</v>
      </c>
      <c r="X232" s="6" t="s">
        <v>39</v>
      </c>
      <c r="Y232" s="8" t="s">
        <v>40</v>
      </c>
      <c r="Z232" s="8" t="s">
        <v>71</v>
      </c>
      <c r="AA232" s="8" t="s">
        <v>42</v>
      </c>
      <c r="AB232" s="6" t="s">
        <v>42</v>
      </c>
    </row>
    <row r="233" spans="1:28">
      <c r="A233" s="9">
        <v>226</v>
      </c>
      <c r="B233" s="9" t="s">
        <v>436</v>
      </c>
      <c r="C233" s="9" t="s">
        <v>428</v>
      </c>
      <c r="D233" s="9" t="s">
        <v>198</v>
      </c>
      <c r="E233" s="9" t="s">
        <v>68</v>
      </c>
      <c r="F233" s="7" t="s">
        <v>50</v>
      </c>
      <c r="G233" s="7" t="s">
        <v>63</v>
      </c>
      <c r="H233" s="7" t="s">
        <v>148</v>
      </c>
      <c r="I233" s="9">
        <v>140</v>
      </c>
      <c r="J233" s="9" t="s">
        <v>221</v>
      </c>
      <c r="K233" s="9" t="s">
        <v>38</v>
      </c>
      <c r="L233" s="11">
        <v>2</v>
      </c>
      <c r="M233" s="14">
        <v>10000.0</v>
      </c>
      <c r="N233" s="14"/>
      <c r="O233" s="16">
        <f>IF(M233&gt;0, N233/M233, 0)</f>
        <v>0</v>
      </c>
      <c r="P233" s="14">
        <f>M233-N233</f>
        <v>10000</v>
      </c>
      <c r="Q233" s="14">
        <f>L233*M233</f>
        <v>20000</v>
      </c>
      <c r="R233" s="14">
        <f>L233*N233</f>
        <v>0</v>
      </c>
      <c r="S233" s="14">
        <f>L233*P233</f>
        <v>20000</v>
      </c>
      <c r="T233" s="14"/>
      <c r="U233" s="14">
        <f>L233*T233</f>
        <v>0</v>
      </c>
      <c r="V233" s="14">
        <f>S233-U233</f>
        <v>20000</v>
      </c>
      <c r="W233" s="16">
        <f>IF(S233&gt;0, V233/S233, 0)</f>
        <v>1</v>
      </c>
      <c r="X233" s="7" t="s">
        <v>39</v>
      </c>
      <c r="Y233" s="9" t="s">
        <v>40</v>
      </c>
      <c r="Z233" s="9" t="s">
        <v>71</v>
      </c>
      <c r="AA233" s="9" t="s">
        <v>42</v>
      </c>
      <c r="AB233" s="7" t="s">
        <v>42</v>
      </c>
    </row>
    <row r="234" spans="1:28">
      <c r="A234" s="8">
        <v>227</v>
      </c>
      <c r="B234" s="8" t="s">
        <v>437</v>
      </c>
      <c r="C234" s="8" t="s">
        <v>428</v>
      </c>
      <c r="D234" s="8" t="s">
        <v>198</v>
      </c>
      <c r="E234" s="8" t="s">
        <v>68</v>
      </c>
      <c r="F234" s="6" t="s">
        <v>50</v>
      </c>
      <c r="G234" s="6" t="s">
        <v>158</v>
      </c>
      <c r="H234" s="6" t="s">
        <v>159</v>
      </c>
      <c r="I234" s="8" t="s">
        <v>42</v>
      </c>
      <c r="J234" s="8" t="s">
        <v>358</v>
      </c>
      <c r="K234" s="8" t="s">
        <v>38</v>
      </c>
      <c r="L234" s="10">
        <v>1</v>
      </c>
      <c r="M234" s="13">
        <v>5000.0</v>
      </c>
      <c r="N234" s="13"/>
      <c r="O234" s="15">
        <f>IF(M234&gt;0, N234/M234, 0)</f>
        <v>0</v>
      </c>
      <c r="P234" s="13">
        <f>M234-N234</f>
        <v>5000</v>
      </c>
      <c r="Q234" s="13">
        <f>L234*M234</f>
        <v>5000</v>
      </c>
      <c r="R234" s="13">
        <f>L234*N234</f>
        <v>0</v>
      </c>
      <c r="S234" s="13">
        <f>L234*P234</f>
        <v>5000</v>
      </c>
      <c r="T234" s="13"/>
      <c r="U234" s="13">
        <f>L234*T234</f>
        <v>0</v>
      </c>
      <c r="V234" s="13">
        <f>S234-U234</f>
        <v>5000</v>
      </c>
      <c r="W234" s="15">
        <f>IF(S234&gt;0, V234/S234, 0)</f>
        <v>1</v>
      </c>
      <c r="X234" s="6" t="s">
        <v>39</v>
      </c>
      <c r="Y234" s="8" t="s">
        <v>40</v>
      </c>
      <c r="Z234" s="8" t="s">
        <v>71</v>
      </c>
      <c r="AA234" s="8" t="s">
        <v>42</v>
      </c>
      <c r="AB234" s="6" t="s">
        <v>42</v>
      </c>
    </row>
    <row r="235" spans="1:28">
      <c r="A235" s="9">
        <v>228</v>
      </c>
      <c r="B235" s="9" t="s">
        <v>438</v>
      </c>
      <c r="C235" s="9" t="s">
        <v>428</v>
      </c>
      <c r="D235" s="9" t="s">
        <v>198</v>
      </c>
      <c r="E235" s="9" t="s">
        <v>33</v>
      </c>
      <c r="F235" s="7" t="s">
        <v>50</v>
      </c>
      <c r="G235" s="7" t="s">
        <v>158</v>
      </c>
      <c r="H235" s="7" t="s">
        <v>159</v>
      </c>
      <c r="I235" s="9" t="s">
        <v>42</v>
      </c>
      <c r="J235" s="9" t="s">
        <v>358</v>
      </c>
      <c r="K235" s="9" t="s">
        <v>38</v>
      </c>
      <c r="L235" s="11">
        <v>1</v>
      </c>
      <c r="M235" s="14">
        <v>5000.0</v>
      </c>
      <c r="N235" s="14"/>
      <c r="O235" s="16">
        <f>IF(M235&gt;0, N235/M235, 0)</f>
        <v>0</v>
      </c>
      <c r="P235" s="14">
        <f>M235-N235</f>
        <v>5000</v>
      </c>
      <c r="Q235" s="14">
        <f>L235*M235</f>
        <v>5000</v>
      </c>
      <c r="R235" s="14">
        <f>L235*N235</f>
        <v>0</v>
      </c>
      <c r="S235" s="14">
        <f>L235*P235</f>
        <v>5000</v>
      </c>
      <c r="T235" s="14"/>
      <c r="U235" s="14">
        <f>L235*T235</f>
        <v>0</v>
      </c>
      <c r="V235" s="14">
        <f>S235-U235</f>
        <v>5000</v>
      </c>
      <c r="W235" s="16">
        <f>IF(S235&gt;0, V235/S235, 0)</f>
        <v>1</v>
      </c>
      <c r="X235" s="7" t="s">
        <v>39</v>
      </c>
      <c r="Y235" s="9" t="s">
        <v>40</v>
      </c>
      <c r="Z235" s="9" t="s">
        <v>41</v>
      </c>
      <c r="AA235" s="9" t="s">
        <v>42</v>
      </c>
      <c r="AB235" s="7" t="s">
        <v>42</v>
      </c>
    </row>
    <row r="236" spans="1:28">
      <c r="A236" s="8">
        <v>229</v>
      </c>
      <c r="B236" s="8" t="s">
        <v>439</v>
      </c>
      <c r="C236" s="8" t="s">
        <v>440</v>
      </c>
      <c r="D236" s="8" t="s">
        <v>198</v>
      </c>
      <c r="E236" s="8" t="s">
        <v>33</v>
      </c>
      <c r="F236" s="6" t="s">
        <v>50</v>
      </c>
      <c r="G236" s="6" t="s">
        <v>45</v>
      </c>
      <c r="H236" s="6" t="s">
        <v>46</v>
      </c>
      <c r="I236" s="8">
        <v>158</v>
      </c>
      <c r="J236" s="8" t="s">
        <v>441</v>
      </c>
      <c r="K236" s="8" t="s">
        <v>38</v>
      </c>
      <c r="L236" s="10">
        <v>1</v>
      </c>
      <c r="M236" s="13">
        <v>18000.0</v>
      </c>
      <c r="N236" s="13"/>
      <c r="O236" s="15">
        <f>IF(M236&gt;0, N236/M236, 0)</f>
        <v>0</v>
      </c>
      <c r="P236" s="13">
        <f>M236-N236</f>
        <v>18000</v>
      </c>
      <c r="Q236" s="13">
        <f>L236*M236</f>
        <v>18000</v>
      </c>
      <c r="R236" s="13">
        <f>L236*N236</f>
        <v>0</v>
      </c>
      <c r="S236" s="13">
        <f>L236*P236</f>
        <v>18000</v>
      </c>
      <c r="T236" s="13"/>
      <c r="U236" s="13">
        <f>L236*T236</f>
        <v>0</v>
      </c>
      <c r="V236" s="13">
        <f>S236-U236</f>
        <v>18000</v>
      </c>
      <c r="W236" s="15">
        <f>IF(S236&gt;0, V236/S236, 0)</f>
        <v>1</v>
      </c>
      <c r="X236" s="6" t="s">
        <v>39</v>
      </c>
      <c r="Y236" s="8" t="s">
        <v>40</v>
      </c>
      <c r="Z236" s="8" t="s">
        <v>41</v>
      </c>
      <c r="AA236" s="8" t="s">
        <v>42</v>
      </c>
      <c r="AB236" s="6" t="s">
        <v>42</v>
      </c>
    </row>
    <row r="237" spans="1:28">
      <c r="A237" s="9">
        <v>230</v>
      </c>
      <c r="B237" s="9" t="s">
        <v>442</v>
      </c>
      <c r="C237" s="9" t="s">
        <v>440</v>
      </c>
      <c r="D237" s="9" t="s">
        <v>198</v>
      </c>
      <c r="E237" s="9" t="s">
        <v>33</v>
      </c>
      <c r="F237" s="7" t="s">
        <v>50</v>
      </c>
      <c r="G237" s="7" t="s">
        <v>45</v>
      </c>
      <c r="H237" s="7" t="s">
        <v>46</v>
      </c>
      <c r="I237" s="9">
        <v>140</v>
      </c>
      <c r="J237" s="9" t="s">
        <v>414</v>
      </c>
      <c r="K237" s="9" t="s">
        <v>38</v>
      </c>
      <c r="L237" s="11">
        <v>1</v>
      </c>
      <c r="M237" s="14">
        <v>18000.0</v>
      </c>
      <c r="N237" s="14"/>
      <c r="O237" s="16">
        <f>IF(M237&gt;0, N237/M237, 0)</f>
        <v>0</v>
      </c>
      <c r="P237" s="14">
        <f>M237-N237</f>
        <v>18000</v>
      </c>
      <c r="Q237" s="14">
        <f>L237*M237</f>
        <v>18000</v>
      </c>
      <c r="R237" s="14">
        <f>L237*N237</f>
        <v>0</v>
      </c>
      <c r="S237" s="14">
        <f>L237*P237</f>
        <v>18000</v>
      </c>
      <c r="T237" s="14"/>
      <c r="U237" s="14">
        <f>L237*T237</f>
        <v>0</v>
      </c>
      <c r="V237" s="14">
        <f>S237-U237</f>
        <v>18000</v>
      </c>
      <c r="W237" s="16">
        <f>IF(S237&gt;0, V237/S237, 0)</f>
        <v>1</v>
      </c>
      <c r="X237" s="7" t="s">
        <v>39</v>
      </c>
      <c r="Y237" s="9" t="s">
        <v>40</v>
      </c>
      <c r="Z237" s="9" t="s">
        <v>41</v>
      </c>
      <c r="AA237" s="9" t="s">
        <v>42</v>
      </c>
      <c r="AB237" s="7" t="s">
        <v>42</v>
      </c>
    </row>
    <row r="238" spans="1:28">
      <c r="A238" s="8">
        <v>231</v>
      </c>
      <c r="B238" s="8" t="s">
        <v>443</v>
      </c>
      <c r="C238" s="8" t="s">
        <v>440</v>
      </c>
      <c r="D238" s="8" t="s">
        <v>198</v>
      </c>
      <c r="E238" s="8" t="s">
        <v>33</v>
      </c>
      <c r="F238" s="6" t="s">
        <v>50</v>
      </c>
      <c r="G238" s="6" t="s">
        <v>431</v>
      </c>
      <c r="H238" s="6" t="s">
        <v>444</v>
      </c>
      <c r="I238" s="8">
        <v>140</v>
      </c>
      <c r="J238" s="8" t="s">
        <v>445</v>
      </c>
      <c r="K238" s="8" t="s">
        <v>38</v>
      </c>
      <c r="L238" s="10">
        <v>1</v>
      </c>
      <c r="M238" s="13">
        <v>15000.0</v>
      </c>
      <c r="N238" s="13"/>
      <c r="O238" s="15">
        <f>IF(M238&gt;0, N238/M238, 0)</f>
        <v>0</v>
      </c>
      <c r="P238" s="13">
        <f>M238-N238</f>
        <v>15000</v>
      </c>
      <c r="Q238" s="13">
        <f>L238*M238</f>
        <v>15000</v>
      </c>
      <c r="R238" s="13">
        <f>L238*N238</f>
        <v>0</v>
      </c>
      <c r="S238" s="13">
        <f>L238*P238</f>
        <v>15000</v>
      </c>
      <c r="T238" s="13"/>
      <c r="U238" s="13">
        <f>L238*T238</f>
        <v>0</v>
      </c>
      <c r="V238" s="13">
        <f>S238-U238</f>
        <v>15000</v>
      </c>
      <c r="W238" s="15">
        <f>IF(S238&gt;0, V238/S238, 0)</f>
        <v>1</v>
      </c>
      <c r="X238" s="6" t="s">
        <v>39</v>
      </c>
      <c r="Y238" s="8" t="s">
        <v>40</v>
      </c>
      <c r="Z238" s="8" t="s">
        <v>41</v>
      </c>
      <c r="AA238" s="8" t="s">
        <v>42</v>
      </c>
      <c r="AB238" s="6" t="s">
        <v>446</v>
      </c>
    </row>
    <row r="239" spans="1:28">
      <c r="A239" s="9">
        <v>232</v>
      </c>
      <c r="B239" s="9" t="s">
        <v>447</v>
      </c>
      <c r="C239" s="9" t="s">
        <v>440</v>
      </c>
      <c r="D239" s="9" t="s">
        <v>198</v>
      </c>
      <c r="E239" s="9" t="s">
        <v>33</v>
      </c>
      <c r="F239" s="7" t="s">
        <v>50</v>
      </c>
      <c r="G239" s="7" t="s">
        <v>69</v>
      </c>
      <c r="H239" s="7" t="s">
        <v>69</v>
      </c>
      <c r="I239" s="9">
        <v>146</v>
      </c>
      <c r="J239" s="9" t="s">
        <v>382</v>
      </c>
      <c r="K239" s="9" t="s">
        <v>38</v>
      </c>
      <c r="L239" s="11">
        <v>1</v>
      </c>
      <c r="M239" s="14">
        <v>18000.0</v>
      </c>
      <c r="N239" s="14"/>
      <c r="O239" s="16">
        <f>IF(M239&gt;0, N239/M239, 0)</f>
        <v>0</v>
      </c>
      <c r="P239" s="14">
        <f>M239-N239</f>
        <v>18000</v>
      </c>
      <c r="Q239" s="14">
        <f>L239*M239</f>
        <v>18000</v>
      </c>
      <c r="R239" s="14">
        <f>L239*N239</f>
        <v>0</v>
      </c>
      <c r="S239" s="14">
        <f>L239*P239</f>
        <v>18000</v>
      </c>
      <c r="T239" s="14"/>
      <c r="U239" s="14">
        <f>L239*T239</f>
        <v>0</v>
      </c>
      <c r="V239" s="14">
        <f>S239-U239</f>
        <v>18000</v>
      </c>
      <c r="W239" s="16">
        <f>IF(S239&gt;0, V239/S239, 0)</f>
        <v>1</v>
      </c>
      <c r="X239" s="7" t="s">
        <v>39</v>
      </c>
      <c r="Y239" s="9" t="s">
        <v>40</v>
      </c>
      <c r="Z239" s="9" t="s">
        <v>41</v>
      </c>
      <c r="AA239" s="9" t="s">
        <v>42</v>
      </c>
      <c r="AB239" s="7" t="s">
        <v>42</v>
      </c>
    </row>
    <row r="240" spans="1:28">
      <c r="A240" s="8">
        <v>233</v>
      </c>
      <c r="B240" s="8" t="s">
        <v>448</v>
      </c>
      <c r="C240" s="8" t="s">
        <v>440</v>
      </c>
      <c r="D240" s="8" t="s">
        <v>198</v>
      </c>
      <c r="E240" s="8" t="s">
        <v>33</v>
      </c>
      <c r="F240" s="6" t="s">
        <v>50</v>
      </c>
      <c r="G240" s="6" t="s">
        <v>35</v>
      </c>
      <c r="H240" s="6" t="s">
        <v>73</v>
      </c>
      <c r="I240" s="8">
        <v>146</v>
      </c>
      <c r="J240" s="8" t="s">
        <v>340</v>
      </c>
      <c r="K240" s="8" t="s">
        <v>53</v>
      </c>
      <c r="L240" s="10">
        <v>1</v>
      </c>
      <c r="M240" s="13">
        <v>8000.0</v>
      </c>
      <c r="N240" s="13"/>
      <c r="O240" s="15">
        <f>IF(M240&gt;0, N240/M240, 0)</f>
        <v>0</v>
      </c>
      <c r="P240" s="13">
        <f>M240-N240</f>
        <v>8000</v>
      </c>
      <c r="Q240" s="13">
        <f>L240*M240</f>
        <v>8000</v>
      </c>
      <c r="R240" s="13">
        <f>L240*N240</f>
        <v>0</v>
      </c>
      <c r="S240" s="13">
        <f>L240*P240</f>
        <v>8000</v>
      </c>
      <c r="T240" s="13"/>
      <c r="U240" s="13">
        <f>L240*T240</f>
        <v>0</v>
      </c>
      <c r="V240" s="13">
        <f>S240-U240</f>
        <v>8000</v>
      </c>
      <c r="W240" s="15">
        <f>IF(S240&gt;0, V240/S240, 0)</f>
        <v>1</v>
      </c>
      <c r="X240" s="6" t="s">
        <v>39</v>
      </c>
      <c r="Y240" s="8" t="s">
        <v>40</v>
      </c>
      <c r="Z240" s="8" t="s">
        <v>41</v>
      </c>
      <c r="AA240" s="8" t="s">
        <v>42</v>
      </c>
      <c r="AB240" s="6" t="s">
        <v>42</v>
      </c>
    </row>
    <row r="241" spans="1:28">
      <c r="A241" s="9">
        <v>234</v>
      </c>
      <c r="B241" s="9" t="s">
        <v>449</v>
      </c>
      <c r="C241" s="9" t="s">
        <v>440</v>
      </c>
      <c r="D241" s="9" t="s">
        <v>198</v>
      </c>
      <c r="E241" s="9" t="s">
        <v>33</v>
      </c>
      <c r="F241" s="7" t="s">
        <v>50</v>
      </c>
      <c r="G241" s="7" t="s">
        <v>35</v>
      </c>
      <c r="H241" s="7" t="s">
        <v>36</v>
      </c>
      <c r="I241" s="9">
        <v>146</v>
      </c>
      <c r="J241" s="9" t="s">
        <v>257</v>
      </c>
      <c r="K241" s="9" t="s">
        <v>53</v>
      </c>
      <c r="L241" s="11">
        <v>1</v>
      </c>
      <c r="M241" s="14">
        <v>7000.0</v>
      </c>
      <c r="N241" s="14"/>
      <c r="O241" s="16">
        <f>IF(M241&gt;0, N241/M241, 0)</f>
        <v>0</v>
      </c>
      <c r="P241" s="14">
        <f>M241-N241</f>
        <v>7000</v>
      </c>
      <c r="Q241" s="14">
        <f>L241*M241</f>
        <v>7000</v>
      </c>
      <c r="R241" s="14">
        <f>L241*N241</f>
        <v>0</v>
      </c>
      <c r="S241" s="14">
        <f>L241*P241</f>
        <v>7000</v>
      </c>
      <c r="T241" s="14"/>
      <c r="U241" s="14">
        <f>L241*T241</f>
        <v>0</v>
      </c>
      <c r="V241" s="14">
        <f>S241-U241</f>
        <v>7000</v>
      </c>
      <c r="W241" s="16">
        <f>IF(S241&gt;0, V241/S241, 0)</f>
        <v>1</v>
      </c>
      <c r="X241" s="7" t="s">
        <v>39</v>
      </c>
      <c r="Y241" s="9" t="s">
        <v>40</v>
      </c>
      <c r="Z241" s="9" t="s">
        <v>41</v>
      </c>
      <c r="AA241" s="9" t="s">
        <v>42</v>
      </c>
      <c r="AB241" s="7" t="s">
        <v>42</v>
      </c>
    </row>
    <row r="242" spans="1:28">
      <c r="A242" s="8">
        <v>235</v>
      </c>
      <c r="B242" s="8" t="s">
        <v>450</v>
      </c>
      <c r="C242" s="8" t="s">
        <v>440</v>
      </c>
      <c r="D242" s="8" t="s">
        <v>198</v>
      </c>
      <c r="E242" s="8" t="s">
        <v>33</v>
      </c>
      <c r="F242" s="6" t="s">
        <v>50</v>
      </c>
      <c r="G242" s="6" t="s">
        <v>35</v>
      </c>
      <c r="H242" s="6" t="s">
        <v>36</v>
      </c>
      <c r="I242" s="8">
        <v>134</v>
      </c>
      <c r="J242" s="8" t="s">
        <v>177</v>
      </c>
      <c r="K242" s="8" t="s">
        <v>53</v>
      </c>
      <c r="L242" s="10">
        <v>1</v>
      </c>
      <c r="M242" s="13">
        <v>7000.0</v>
      </c>
      <c r="N242" s="13"/>
      <c r="O242" s="15">
        <f>IF(M242&gt;0, N242/M242, 0)</f>
        <v>0</v>
      </c>
      <c r="P242" s="13">
        <f>M242-N242</f>
        <v>7000</v>
      </c>
      <c r="Q242" s="13">
        <f>L242*M242</f>
        <v>7000</v>
      </c>
      <c r="R242" s="13">
        <f>L242*N242</f>
        <v>0</v>
      </c>
      <c r="S242" s="13">
        <f>L242*P242</f>
        <v>7000</v>
      </c>
      <c r="T242" s="13"/>
      <c r="U242" s="13">
        <f>L242*T242</f>
        <v>0</v>
      </c>
      <c r="V242" s="13">
        <f>S242-U242</f>
        <v>7000</v>
      </c>
      <c r="W242" s="15">
        <f>IF(S242&gt;0, V242/S242, 0)</f>
        <v>1</v>
      </c>
      <c r="X242" s="6" t="s">
        <v>39</v>
      </c>
      <c r="Y242" s="8" t="s">
        <v>40</v>
      </c>
      <c r="Z242" s="8" t="s">
        <v>41</v>
      </c>
      <c r="AA242" s="8" t="s">
        <v>42</v>
      </c>
      <c r="AB242" s="6" t="s">
        <v>42</v>
      </c>
    </row>
    <row r="243" spans="1:28">
      <c r="A243" s="9">
        <v>236</v>
      </c>
      <c r="B243" s="9" t="s">
        <v>451</v>
      </c>
      <c r="C243" s="9" t="s">
        <v>440</v>
      </c>
      <c r="D243" s="9" t="s">
        <v>198</v>
      </c>
      <c r="E243" s="9" t="s">
        <v>33</v>
      </c>
      <c r="F243" s="7" t="s">
        <v>50</v>
      </c>
      <c r="G243" s="7" t="s">
        <v>35</v>
      </c>
      <c r="H243" s="7" t="s">
        <v>36</v>
      </c>
      <c r="I243" s="9">
        <v>140</v>
      </c>
      <c r="J243" s="9" t="s">
        <v>223</v>
      </c>
      <c r="K243" s="9" t="s">
        <v>53</v>
      </c>
      <c r="L243" s="11">
        <v>1</v>
      </c>
      <c r="M243" s="14">
        <v>7000.0</v>
      </c>
      <c r="N243" s="14"/>
      <c r="O243" s="16">
        <f>IF(M243&gt;0, N243/M243, 0)</f>
        <v>0</v>
      </c>
      <c r="P243" s="14">
        <f>M243-N243</f>
        <v>7000</v>
      </c>
      <c r="Q243" s="14">
        <f>L243*M243</f>
        <v>7000</v>
      </c>
      <c r="R243" s="14">
        <f>L243*N243</f>
        <v>0</v>
      </c>
      <c r="S243" s="14">
        <f>L243*P243</f>
        <v>7000</v>
      </c>
      <c r="T243" s="14"/>
      <c r="U243" s="14">
        <f>L243*T243</f>
        <v>0</v>
      </c>
      <c r="V243" s="14">
        <f>S243-U243</f>
        <v>7000</v>
      </c>
      <c r="W243" s="16">
        <f>IF(S243&gt;0, V243/S243, 0)</f>
        <v>1</v>
      </c>
      <c r="X243" s="7" t="s">
        <v>39</v>
      </c>
      <c r="Y243" s="9" t="s">
        <v>40</v>
      </c>
      <c r="Z243" s="9" t="s">
        <v>41</v>
      </c>
      <c r="AA243" s="9" t="s">
        <v>42</v>
      </c>
      <c r="AB243" s="7" t="s">
        <v>42</v>
      </c>
    </row>
    <row r="244" spans="1:28">
      <c r="A244" s="8">
        <v>237</v>
      </c>
      <c r="B244" s="8" t="s">
        <v>452</v>
      </c>
      <c r="C244" s="8" t="s">
        <v>440</v>
      </c>
      <c r="D244" s="8" t="s">
        <v>198</v>
      </c>
      <c r="E244" s="8" t="s">
        <v>33</v>
      </c>
      <c r="F244" s="6" t="s">
        <v>50</v>
      </c>
      <c r="G244" s="6" t="s">
        <v>69</v>
      </c>
      <c r="H244" s="6" t="s">
        <v>69</v>
      </c>
      <c r="I244" s="8">
        <v>128</v>
      </c>
      <c r="J244" s="8" t="s">
        <v>110</v>
      </c>
      <c r="K244" s="8" t="s">
        <v>38</v>
      </c>
      <c r="L244" s="10">
        <v>1</v>
      </c>
      <c r="M244" s="13">
        <v>18000.0</v>
      </c>
      <c r="N244" s="13"/>
      <c r="O244" s="15">
        <f>IF(M244&gt;0, N244/M244, 0)</f>
        <v>0</v>
      </c>
      <c r="P244" s="13">
        <f>M244-N244</f>
        <v>18000</v>
      </c>
      <c r="Q244" s="13">
        <f>L244*M244</f>
        <v>18000</v>
      </c>
      <c r="R244" s="13">
        <f>L244*N244</f>
        <v>0</v>
      </c>
      <c r="S244" s="13">
        <f>L244*P244</f>
        <v>18000</v>
      </c>
      <c r="T244" s="13"/>
      <c r="U244" s="13">
        <f>L244*T244</f>
        <v>0</v>
      </c>
      <c r="V244" s="13">
        <f>S244-U244</f>
        <v>18000</v>
      </c>
      <c r="W244" s="15">
        <f>IF(S244&gt;0, V244/S244, 0)</f>
        <v>1</v>
      </c>
      <c r="X244" s="6" t="s">
        <v>39</v>
      </c>
      <c r="Y244" s="8" t="s">
        <v>40</v>
      </c>
      <c r="Z244" s="8" t="s">
        <v>41</v>
      </c>
      <c r="AA244" s="8" t="s">
        <v>42</v>
      </c>
      <c r="AB244" s="6" t="s">
        <v>42</v>
      </c>
    </row>
    <row r="245" spans="1:28">
      <c r="A245" s="9">
        <v>238</v>
      </c>
      <c r="B245" s="9" t="s">
        <v>453</v>
      </c>
      <c r="C245" s="9" t="s">
        <v>440</v>
      </c>
      <c r="D245" s="9" t="s">
        <v>198</v>
      </c>
      <c r="E245" s="9" t="s">
        <v>33</v>
      </c>
      <c r="F245" s="7" t="s">
        <v>50</v>
      </c>
      <c r="G245" s="7" t="s">
        <v>35</v>
      </c>
      <c r="H245" s="7" t="s">
        <v>36</v>
      </c>
      <c r="I245" s="9">
        <v>128</v>
      </c>
      <c r="J245" s="9" t="s">
        <v>156</v>
      </c>
      <c r="K245" s="9" t="s">
        <v>53</v>
      </c>
      <c r="L245" s="11">
        <v>1</v>
      </c>
      <c r="M245" s="14">
        <v>7000.0</v>
      </c>
      <c r="N245" s="14"/>
      <c r="O245" s="16">
        <f>IF(M245&gt;0, N245/M245, 0)</f>
        <v>0</v>
      </c>
      <c r="P245" s="14">
        <f>M245-N245</f>
        <v>7000</v>
      </c>
      <c r="Q245" s="14">
        <f>L245*M245</f>
        <v>7000</v>
      </c>
      <c r="R245" s="14">
        <f>L245*N245</f>
        <v>0</v>
      </c>
      <c r="S245" s="14">
        <f>L245*P245</f>
        <v>7000</v>
      </c>
      <c r="T245" s="14"/>
      <c r="U245" s="14">
        <f>L245*T245</f>
        <v>0</v>
      </c>
      <c r="V245" s="14">
        <f>S245-U245</f>
        <v>7000</v>
      </c>
      <c r="W245" s="16">
        <f>IF(S245&gt;0, V245/S245, 0)</f>
        <v>1</v>
      </c>
      <c r="X245" s="7" t="s">
        <v>39</v>
      </c>
      <c r="Y245" s="9" t="s">
        <v>40</v>
      </c>
      <c r="Z245" s="9" t="s">
        <v>41</v>
      </c>
      <c r="AA245" s="9" t="s">
        <v>42</v>
      </c>
      <c r="AB245" s="7" t="s">
        <v>42</v>
      </c>
    </row>
    <row r="246" spans="1:28">
      <c r="A246" s="8">
        <v>239</v>
      </c>
      <c r="B246" s="8" t="s">
        <v>454</v>
      </c>
      <c r="C246" s="8" t="s">
        <v>440</v>
      </c>
      <c r="D246" s="8" t="s">
        <v>198</v>
      </c>
      <c r="E246" s="8" t="s">
        <v>33</v>
      </c>
      <c r="F246" s="6" t="s">
        <v>50</v>
      </c>
      <c r="G246" s="6" t="s">
        <v>69</v>
      </c>
      <c r="H246" s="6" t="s">
        <v>69</v>
      </c>
      <c r="I246" s="8">
        <v>152</v>
      </c>
      <c r="J246" s="8" t="s">
        <v>350</v>
      </c>
      <c r="K246" s="8" t="s">
        <v>38</v>
      </c>
      <c r="L246" s="10">
        <v>1</v>
      </c>
      <c r="M246" s="13">
        <v>18000.0</v>
      </c>
      <c r="N246" s="13"/>
      <c r="O246" s="15">
        <f>IF(M246&gt;0, N246/M246, 0)</f>
        <v>0</v>
      </c>
      <c r="P246" s="13">
        <f>M246-N246</f>
        <v>18000</v>
      </c>
      <c r="Q246" s="13">
        <f>L246*M246</f>
        <v>18000</v>
      </c>
      <c r="R246" s="13">
        <f>L246*N246</f>
        <v>0</v>
      </c>
      <c r="S246" s="13">
        <f>L246*P246</f>
        <v>18000</v>
      </c>
      <c r="T246" s="13"/>
      <c r="U246" s="13">
        <f>L246*T246</f>
        <v>0</v>
      </c>
      <c r="V246" s="13">
        <f>S246-U246</f>
        <v>18000</v>
      </c>
      <c r="W246" s="15">
        <f>IF(S246&gt;0, V246/S246, 0)</f>
        <v>1</v>
      </c>
      <c r="X246" s="6" t="s">
        <v>39</v>
      </c>
      <c r="Y246" s="8" t="s">
        <v>40</v>
      </c>
      <c r="Z246" s="8" t="s">
        <v>41</v>
      </c>
      <c r="AA246" s="8" t="s">
        <v>42</v>
      </c>
      <c r="AB246" s="6" t="s">
        <v>42</v>
      </c>
    </row>
    <row r="247" spans="1:28">
      <c r="A247" s="9">
        <v>240</v>
      </c>
      <c r="B247" s="9" t="s">
        <v>455</v>
      </c>
      <c r="C247" s="9" t="s">
        <v>440</v>
      </c>
      <c r="D247" s="9" t="s">
        <v>198</v>
      </c>
      <c r="E247" s="9" t="s">
        <v>33</v>
      </c>
      <c r="F247" s="7" t="s">
        <v>50</v>
      </c>
      <c r="G247" s="7" t="s">
        <v>35</v>
      </c>
      <c r="H247" s="7" t="s">
        <v>36</v>
      </c>
      <c r="I247" s="9">
        <v>152</v>
      </c>
      <c r="J247" s="9" t="s">
        <v>151</v>
      </c>
      <c r="K247" s="9" t="s">
        <v>53</v>
      </c>
      <c r="L247" s="11">
        <v>1</v>
      </c>
      <c r="M247" s="14">
        <v>7000.0</v>
      </c>
      <c r="N247" s="14"/>
      <c r="O247" s="16">
        <f>IF(M247&gt;0, N247/M247, 0)</f>
        <v>0</v>
      </c>
      <c r="P247" s="14">
        <f>M247-N247</f>
        <v>7000</v>
      </c>
      <c r="Q247" s="14">
        <f>L247*M247</f>
        <v>7000</v>
      </c>
      <c r="R247" s="14">
        <f>L247*N247</f>
        <v>0</v>
      </c>
      <c r="S247" s="14">
        <f>L247*P247</f>
        <v>7000</v>
      </c>
      <c r="T247" s="14"/>
      <c r="U247" s="14">
        <f>L247*T247</f>
        <v>0</v>
      </c>
      <c r="V247" s="14">
        <f>S247-U247</f>
        <v>7000</v>
      </c>
      <c r="W247" s="16">
        <f>IF(S247&gt;0, V247/S247, 0)</f>
        <v>1</v>
      </c>
      <c r="X247" s="7" t="s">
        <v>39</v>
      </c>
      <c r="Y247" s="9" t="s">
        <v>40</v>
      </c>
      <c r="Z247" s="9" t="s">
        <v>41</v>
      </c>
      <c r="AA247" s="9" t="s">
        <v>42</v>
      </c>
      <c r="AB247" s="7" t="s">
        <v>42</v>
      </c>
    </row>
    <row r="248" spans="1:28">
      <c r="A248" s="8">
        <v>241</v>
      </c>
      <c r="B248" s="8" t="s">
        <v>456</v>
      </c>
      <c r="C248" s="8" t="s">
        <v>457</v>
      </c>
      <c r="D248" s="8" t="s">
        <v>198</v>
      </c>
      <c r="E248" s="8" t="s">
        <v>68</v>
      </c>
      <c r="F248" s="6" t="s">
        <v>50</v>
      </c>
      <c r="G248" s="6" t="s">
        <v>63</v>
      </c>
      <c r="H248" s="6" t="s">
        <v>148</v>
      </c>
      <c r="I248" s="8">
        <v>128</v>
      </c>
      <c r="J248" s="8" t="s">
        <v>165</v>
      </c>
      <c r="K248" s="8" t="s">
        <v>38</v>
      </c>
      <c r="L248" s="10">
        <v>1</v>
      </c>
      <c r="M248" s="13">
        <v>10000.0</v>
      </c>
      <c r="N248" s="13"/>
      <c r="O248" s="15">
        <f>IF(M248&gt;0, N248/M248, 0)</f>
        <v>0</v>
      </c>
      <c r="P248" s="13">
        <f>M248-N248</f>
        <v>10000</v>
      </c>
      <c r="Q248" s="13">
        <f>L248*M248</f>
        <v>10000</v>
      </c>
      <c r="R248" s="13">
        <f>L248*N248</f>
        <v>0</v>
      </c>
      <c r="S248" s="13">
        <f>L248*P248</f>
        <v>10000</v>
      </c>
      <c r="T248" s="13"/>
      <c r="U248" s="13">
        <f>L248*T248</f>
        <v>0</v>
      </c>
      <c r="V248" s="13">
        <f>S248-U248</f>
        <v>10000</v>
      </c>
      <c r="W248" s="15">
        <f>IF(S248&gt;0, V248/S248, 0)</f>
        <v>1</v>
      </c>
      <c r="X248" s="6" t="s">
        <v>39</v>
      </c>
      <c r="Y248" s="8" t="s">
        <v>40</v>
      </c>
      <c r="Z248" s="8" t="s">
        <v>71</v>
      </c>
      <c r="AA248" s="8" t="s">
        <v>42</v>
      </c>
      <c r="AB248" s="6" t="s">
        <v>42</v>
      </c>
    </row>
    <row r="249" spans="1:28">
      <c r="A249" s="9">
        <v>242</v>
      </c>
      <c r="B249" s="9" t="s">
        <v>458</v>
      </c>
      <c r="C249" s="9" t="s">
        <v>457</v>
      </c>
      <c r="D249" s="9" t="s">
        <v>198</v>
      </c>
      <c r="E249" s="9" t="s">
        <v>68</v>
      </c>
      <c r="F249" s="7" t="s">
        <v>34</v>
      </c>
      <c r="G249" s="7" t="s">
        <v>63</v>
      </c>
      <c r="H249" s="7" t="s">
        <v>148</v>
      </c>
      <c r="I249" s="9">
        <v>158</v>
      </c>
      <c r="J249" s="9" t="s">
        <v>217</v>
      </c>
      <c r="K249" s="9" t="s">
        <v>38</v>
      </c>
      <c r="L249" s="11">
        <v>2</v>
      </c>
      <c r="M249" s="14">
        <v>12000.0</v>
      </c>
      <c r="N249" s="14"/>
      <c r="O249" s="16">
        <f>IF(M249&gt;0, N249/M249, 0)</f>
        <v>0</v>
      </c>
      <c r="P249" s="14">
        <f>M249-N249</f>
        <v>12000</v>
      </c>
      <c r="Q249" s="14">
        <f>L249*M249</f>
        <v>24000</v>
      </c>
      <c r="R249" s="14">
        <f>L249*N249</f>
        <v>0</v>
      </c>
      <c r="S249" s="14">
        <f>L249*P249</f>
        <v>24000</v>
      </c>
      <c r="T249" s="14"/>
      <c r="U249" s="14">
        <f>L249*T249</f>
        <v>0</v>
      </c>
      <c r="V249" s="14">
        <f>S249-U249</f>
        <v>24000</v>
      </c>
      <c r="W249" s="16">
        <f>IF(S249&gt;0, V249/S249, 0)</f>
        <v>1</v>
      </c>
      <c r="X249" s="7" t="s">
        <v>39</v>
      </c>
      <c r="Y249" s="9" t="s">
        <v>40</v>
      </c>
      <c r="Z249" s="9" t="s">
        <v>71</v>
      </c>
      <c r="AA249" s="9" t="s">
        <v>42</v>
      </c>
      <c r="AB249" s="7" t="s">
        <v>42</v>
      </c>
    </row>
    <row r="250" spans="1:28">
      <c r="A250" s="8">
        <v>243</v>
      </c>
      <c r="B250" s="8" t="s">
        <v>459</v>
      </c>
      <c r="C250" s="8" t="s">
        <v>457</v>
      </c>
      <c r="D250" s="8" t="s">
        <v>198</v>
      </c>
      <c r="E250" s="8" t="s">
        <v>33</v>
      </c>
      <c r="F250" s="6" t="s">
        <v>50</v>
      </c>
      <c r="G250" s="6" t="s">
        <v>63</v>
      </c>
      <c r="H250" s="6" t="s">
        <v>148</v>
      </c>
      <c r="I250" s="8">
        <v>134</v>
      </c>
      <c r="J250" s="8" t="s">
        <v>246</v>
      </c>
      <c r="K250" s="8" t="s">
        <v>38</v>
      </c>
      <c r="L250" s="10">
        <v>1</v>
      </c>
      <c r="M250" s="13">
        <v>10000.0</v>
      </c>
      <c r="N250" s="13"/>
      <c r="O250" s="15">
        <f>IF(M250&gt;0, N250/M250, 0)</f>
        <v>0</v>
      </c>
      <c r="P250" s="13">
        <f>M250-N250</f>
        <v>10000</v>
      </c>
      <c r="Q250" s="13">
        <f>L250*M250</f>
        <v>10000</v>
      </c>
      <c r="R250" s="13">
        <f>L250*N250</f>
        <v>0</v>
      </c>
      <c r="S250" s="13">
        <f>L250*P250</f>
        <v>10000</v>
      </c>
      <c r="T250" s="13"/>
      <c r="U250" s="13">
        <f>L250*T250</f>
        <v>0</v>
      </c>
      <c r="V250" s="13">
        <f>S250-U250</f>
        <v>10000</v>
      </c>
      <c r="W250" s="15">
        <f>IF(S250&gt;0, V250/S250, 0)</f>
        <v>1</v>
      </c>
      <c r="X250" s="6" t="s">
        <v>39</v>
      </c>
      <c r="Y250" s="8" t="s">
        <v>40</v>
      </c>
      <c r="Z250" s="8" t="s">
        <v>41</v>
      </c>
      <c r="AA250" s="8" t="s">
        <v>42</v>
      </c>
      <c r="AB250" s="6" t="s">
        <v>143</v>
      </c>
    </row>
    <row r="251" spans="1:28">
      <c r="A251" s="9">
        <v>244</v>
      </c>
      <c r="B251" s="9" t="s">
        <v>460</v>
      </c>
      <c r="C251" s="9" t="s">
        <v>457</v>
      </c>
      <c r="D251" s="9" t="s">
        <v>198</v>
      </c>
      <c r="E251" s="9" t="s">
        <v>68</v>
      </c>
      <c r="F251" s="7" t="s">
        <v>50</v>
      </c>
      <c r="G251" s="7" t="s">
        <v>35</v>
      </c>
      <c r="H251" s="7" t="s">
        <v>73</v>
      </c>
      <c r="I251" s="9">
        <v>134</v>
      </c>
      <c r="J251" s="9" t="s">
        <v>146</v>
      </c>
      <c r="K251" s="9" t="s">
        <v>53</v>
      </c>
      <c r="L251" s="11">
        <v>1</v>
      </c>
      <c r="M251" s="14">
        <v>9000.0</v>
      </c>
      <c r="N251" s="14"/>
      <c r="O251" s="16">
        <f>IF(M251&gt;0, N251/M251, 0)</f>
        <v>0</v>
      </c>
      <c r="P251" s="14">
        <f>M251-N251</f>
        <v>9000</v>
      </c>
      <c r="Q251" s="14">
        <f>L251*M251</f>
        <v>9000</v>
      </c>
      <c r="R251" s="14">
        <f>L251*N251</f>
        <v>0</v>
      </c>
      <c r="S251" s="14">
        <f>L251*P251</f>
        <v>9000</v>
      </c>
      <c r="T251" s="14"/>
      <c r="U251" s="14">
        <f>L251*T251</f>
        <v>0</v>
      </c>
      <c r="V251" s="14">
        <f>S251-U251</f>
        <v>9000</v>
      </c>
      <c r="W251" s="16">
        <f>IF(S251&gt;0, V251/S251, 0)</f>
        <v>1</v>
      </c>
      <c r="X251" s="7" t="s">
        <v>39</v>
      </c>
      <c r="Y251" s="9" t="s">
        <v>40</v>
      </c>
      <c r="Z251" s="9" t="s">
        <v>71</v>
      </c>
      <c r="AA251" s="9" t="s">
        <v>42</v>
      </c>
      <c r="AB251" s="7" t="s">
        <v>42</v>
      </c>
    </row>
    <row r="252" spans="1:28">
      <c r="A252" s="8">
        <v>245</v>
      </c>
      <c r="B252" s="8" t="s">
        <v>461</v>
      </c>
      <c r="C252" s="8" t="s">
        <v>457</v>
      </c>
      <c r="D252" s="8" t="s">
        <v>198</v>
      </c>
      <c r="E252" s="8" t="s">
        <v>33</v>
      </c>
      <c r="F252" s="6" t="s">
        <v>50</v>
      </c>
      <c r="G252" s="6" t="s">
        <v>69</v>
      </c>
      <c r="H252" s="6" t="s">
        <v>69</v>
      </c>
      <c r="I252" s="8">
        <v>134</v>
      </c>
      <c r="J252" s="8" t="s">
        <v>209</v>
      </c>
      <c r="K252" s="8" t="s">
        <v>38</v>
      </c>
      <c r="L252" s="10">
        <v>1</v>
      </c>
      <c r="M252" s="13">
        <v>16000.0</v>
      </c>
      <c r="N252" s="13"/>
      <c r="O252" s="15">
        <f>IF(M252&gt;0, N252/M252, 0)</f>
        <v>0</v>
      </c>
      <c r="P252" s="13">
        <f>M252-N252</f>
        <v>16000</v>
      </c>
      <c r="Q252" s="13">
        <f>L252*M252</f>
        <v>16000</v>
      </c>
      <c r="R252" s="13">
        <f>L252*N252</f>
        <v>0</v>
      </c>
      <c r="S252" s="13">
        <f>L252*P252</f>
        <v>16000</v>
      </c>
      <c r="T252" s="13"/>
      <c r="U252" s="13">
        <f>L252*T252</f>
        <v>0</v>
      </c>
      <c r="V252" s="13">
        <f>S252-U252</f>
        <v>16000</v>
      </c>
      <c r="W252" s="15">
        <f>IF(S252&gt;0, V252/S252, 0)</f>
        <v>1</v>
      </c>
      <c r="X252" s="6" t="s">
        <v>39</v>
      </c>
      <c r="Y252" s="8" t="s">
        <v>40</v>
      </c>
      <c r="Z252" s="8" t="s">
        <v>41</v>
      </c>
      <c r="AA252" s="8" t="s">
        <v>42</v>
      </c>
      <c r="AB252" s="6" t="s">
        <v>42</v>
      </c>
    </row>
    <row r="253" spans="1:28">
      <c r="A253" s="9">
        <v>246</v>
      </c>
      <c r="B253" s="9" t="s">
        <v>462</v>
      </c>
      <c r="C253" s="9" t="s">
        <v>457</v>
      </c>
      <c r="D253" s="9" t="s">
        <v>198</v>
      </c>
      <c r="E253" s="9" t="s">
        <v>33</v>
      </c>
      <c r="F253" s="7" t="s">
        <v>50</v>
      </c>
      <c r="G253" s="7" t="s">
        <v>35</v>
      </c>
      <c r="H253" s="7" t="s">
        <v>36</v>
      </c>
      <c r="I253" s="9">
        <v>134</v>
      </c>
      <c r="J253" s="9" t="s">
        <v>177</v>
      </c>
      <c r="K253" s="9" t="s">
        <v>53</v>
      </c>
      <c r="L253" s="11">
        <v>1</v>
      </c>
      <c r="M253" s="14">
        <v>7000.0</v>
      </c>
      <c r="N253" s="14"/>
      <c r="O253" s="16">
        <f>IF(M253&gt;0, N253/M253, 0)</f>
        <v>0</v>
      </c>
      <c r="P253" s="14">
        <f>M253-N253</f>
        <v>7000</v>
      </c>
      <c r="Q253" s="14">
        <f>L253*M253</f>
        <v>7000</v>
      </c>
      <c r="R253" s="14">
        <f>L253*N253</f>
        <v>0</v>
      </c>
      <c r="S253" s="14">
        <f>L253*P253</f>
        <v>7000</v>
      </c>
      <c r="T253" s="14"/>
      <c r="U253" s="14">
        <f>L253*T253</f>
        <v>0</v>
      </c>
      <c r="V253" s="14">
        <f>S253-U253</f>
        <v>7000</v>
      </c>
      <c r="W253" s="16">
        <f>IF(S253&gt;0, V253/S253, 0)</f>
        <v>1</v>
      </c>
      <c r="X253" s="7" t="s">
        <v>39</v>
      </c>
      <c r="Y253" s="9" t="s">
        <v>40</v>
      </c>
      <c r="Z253" s="9" t="s">
        <v>41</v>
      </c>
      <c r="AA253" s="9" t="s">
        <v>42</v>
      </c>
      <c r="AB253" s="7" t="s">
        <v>42</v>
      </c>
    </row>
    <row r="254" spans="1:28">
      <c r="A254" s="8">
        <v>247</v>
      </c>
      <c r="B254" s="8" t="s">
        <v>463</v>
      </c>
      <c r="C254" s="8" t="s">
        <v>457</v>
      </c>
      <c r="D254" s="8" t="s">
        <v>198</v>
      </c>
      <c r="E254" s="8" t="s">
        <v>68</v>
      </c>
      <c r="F254" s="6" t="s">
        <v>50</v>
      </c>
      <c r="G254" s="6" t="s">
        <v>51</v>
      </c>
      <c r="H254" s="6" t="s">
        <v>51</v>
      </c>
      <c r="I254" s="8">
        <v>116</v>
      </c>
      <c r="J254" s="8" t="s">
        <v>464</v>
      </c>
      <c r="K254" s="8" t="s">
        <v>53</v>
      </c>
      <c r="L254" s="10">
        <v>1</v>
      </c>
      <c r="M254" s="13">
        <v>9000.0</v>
      </c>
      <c r="N254" s="13"/>
      <c r="O254" s="15">
        <f>IF(M254&gt;0, N254/M254, 0)</f>
        <v>0</v>
      </c>
      <c r="P254" s="13">
        <f>M254-N254</f>
        <v>9000</v>
      </c>
      <c r="Q254" s="13">
        <f>L254*M254</f>
        <v>9000</v>
      </c>
      <c r="R254" s="13">
        <f>L254*N254</f>
        <v>0</v>
      </c>
      <c r="S254" s="13">
        <f>L254*P254</f>
        <v>9000</v>
      </c>
      <c r="T254" s="13"/>
      <c r="U254" s="13">
        <f>L254*T254</f>
        <v>0</v>
      </c>
      <c r="V254" s="13">
        <f>S254-U254</f>
        <v>9000</v>
      </c>
      <c r="W254" s="15">
        <f>IF(S254&gt;0, V254/S254, 0)</f>
        <v>1</v>
      </c>
      <c r="X254" s="6" t="s">
        <v>39</v>
      </c>
      <c r="Y254" s="8" t="s">
        <v>40</v>
      </c>
      <c r="Z254" s="8" t="s">
        <v>71</v>
      </c>
      <c r="AA254" s="8" t="s">
        <v>42</v>
      </c>
      <c r="AB254" s="6" t="s">
        <v>42</v>
      </c>
    </row>
    <row r="255" spans="1:28">
      <c r="A255" s="9">
        <v>248</v>
      </c>
      <c r="B255" s="9" t="s">
        <v>465</v>
      </c>
      <c r="C255" s="9" t="s">
        <v>457</v>
      </c>
      <c r="D255" s="9" t="s">
        <v>198</v>
      </c>
      <c r="E255" s="9" t="s">
        <v>33</v>
      </c>
      <c r="F255" s="7" t="s">
        <v>50</v>
      </c>
      <c r="G255" s="7" t="s">
        <v>69</v>
      </c>
      <c r="H255" s="7" t="s">
        <v>69</v>
      </c>
      <c r="I255" s="9">
        <v>116</v>
      </c>
      <c r="J255" s="9" t="s">
        <v>87</v>
      </c>
      <c r="K255" s="9" t="s">
        <v>38</v>
      </c>
      <c r="L255" s="11">
        <v>1</v>
      </c>
      <c r="M255" s="14">
        <v>16000.0</v>
      </c>
      <c r="N255" s="14"/>
      <c r="O255" s="16">
        <f>IF(M255&gt;0, N255/M255, 0)</f>
        <v>0</v>
      </c>
      <c r="P255" s="14">
        <f>M255-N255</f>
        <v>16000</v>
      </c>
      <c r="Q255" s="14">
        <f>L255*M255</f>
        <v>16000</v>
      </c>
      <c r="R255" s="14">
        <f>L255*N255</f>
        <v>0</v>
      </c>
      <c r="S255" s="14">
        <f>L255*P255</f>
        <v>16000</v>
      </c>
      <c r="T255" s="14"/>
      <c r="U255" s="14">
        <f>L255*T255</f>
        <v>0</v>
      </c>
      <c r="V255" s="14">
        <f>S255-U255</f>
        <v>16000</v>
      </c>
      <c r="W255" s="16">
        <f>IF(S255&gt;0, V255/S255, 0)</f>
        <v>1</v>
      </c>
      <c r="X255" s="7" t="s">
        <v>39</v>
      </c>
      <c r="Y255" s="9" t="s">
        <v>40</v>
      </c>
      <c r="Z255" s="9" t="s">
        <v>41</v>
      </c>
      <c r="AA255" s="9" t="s">
        <v>42</v>
      </c>
      <c r="AB255" s="7" t="s">
        <v>42</v>
      </c>
    </row>
    <row r="256" spans="1:28">
      <c r="A256" s="8">
        <v>249</v>
      </c>
      <c r="B256" s="8" t="s">
        <v>466</v>
      </c>
      <c r="C256" s="8" t="s">
        <v>457</v>
      </c>
      <c r="D256" s="8" t="s">
        <v>198</v>
      </c>
      <c r="E256" s="8" t="s">
        <v>33</v>
      </c>
      <c r="F256" s="6" t="s">
        <v>50</v>
      </c>
      <c r="G256" s="6" t="s">
        <v>63</v>
      </c>
      <c r="H256" s="6" t="s">
        <v>148</v>
      </c>
      <c r="I256" s="8">
        <v>122</v>
      </c>
      <c r="J256" s="8" t="s">
        <v>241</v>
      </c>
      <c r="K256" s="8" t="s">
        <v>38</v>
      </c>
      <c r="L256" s="10">
        <v>1</v>
      </c>
      <c r="M256" s="13">
        <v>9000.0</v>
      </c>
      <c r="N256" s="13"/>
      <c r="O256" s="15">
        <f>IF(M256&gt;0, N256/M256, 0)</f>
        <v>0</v>
      </c>
      <c r="P256" s="13">
        <f>M256-N256</f>
        <v>9000</v>
      </c>
      <c r="Q256" s="13">
        <f>L256*M256</f>
        <v>9000</v>
      </c>
      <c r="R256" s="13">
        <f>L256*N256</f>
        <v>0</v>
      </c>
      <c r="S256" s="13">
        <f>L256*P256</f>
        <v>9000</v>
      </c>
      <c r="T256" s="13"/>
      <c r="U256" s="13">
        <f>L256*T256</f>
        <v>0</v>
      </c>
      <c r="V256" s="13">
        <f>S256-U256</f>
        <v>9000</v>
      </c>
      <c r="W256" s="15">
        <f>IF(S256&gt;0, V256/S256, 0)</f>
        <v>1</v>
      </c>
      <c r="X256" s="6" t="s">
        <v>39</v>
      </c>
      <c r="Y256" s="8" t="s">
        <v>40</v>
      </c>
      <c r="Z256" s="8" t="s">
        <v>41</v>
      </c>
      <c r="AA256" s="8" t="s">
        <v>42</v>
      </c>
      <c r="AB256" s="6" t="s">
        <v>42</v>
      </c>
    </row>
    <row r="257" spans="1:28">
      <c r="A257" s="9">
        <v>250</v>
      </c>
      <c r="B257" s="9" t="s">
        <v>467</v>
      </c>
      <c r="C257" s="9" t="s">
        <v>457</v>
      </c>
      <c r="D257" s="9" t="s">
        <v>198</v>
      </c>
      <c r="E257" s="9" t="s">
        <v>33</v>
      </c>
      <c r="F257" s="7" t="s">
        <v>50</v>
      </c>
      <c r="G257" s="7" t="s">
        <v>158</v>
      </c>
      <c r="H257" s="7" t="s">
        <v>159</v>
      </c>
      <c r="I257" s="9" t="s">
        <v>42</v>
      </c>
      <c r="J257" s="9" t="s">
        <v>468</v>
      </c>
      <c r="K257" s="9" t="s">
        <v>38</v>
      </c>
      <c r="L257" s="11">
        <v>1</v>
      </c>
      <c r="M257" s="14">
        <v>5000.0</v>
      </c>
      <c r="N257" s="14"/>
      <c r="O257" s="16">
        <f>IF(M257&gt;0, N257/M257, 0)</f>
        <v>0</v>
      </c>
      <c r="P257" s="14">
        <f>M257-N257</f>
        <v>5000</v>
      </c>
      <c r="Q257" s="14">
        <f>L257*M257</f>
        <v>5000</v>
      </c>
      <c r="R257" s="14">
        <f>L257*N257</f>
        <v>0</v>
      </c>
      <c r="S257" s="14">
        <f>L257*P257</f>
        <v>5000</v>
      </c>
      <c r="T257" s="14"/>
      <c r="U257" s="14">
        <f>L257*T257</f>
        <v>0</v>
      </c>
      <c r="V257" s="14">
        <f>S257-U257</f>
        <v>5000</v>
      </c>
      <c r="W257" s="16">
        <f>IF(S257&gt;0, V257/S257, 0)</f>
        <v>1</v>
      </c>
      <c r="X257" s="7" t="s">
        <v>39</v>
      </c>
      <c r="Y257" s="9" t="s">
        <v>40</v>
      </c>
      <c r="Z257" s="9" t="s">
        <v>41</v>
      </c>
      <c r="AA257" s="9" t="s">
        <v>42</v>
      </c>
      <c r="AB257" s="7" t="s">
        <v>42</v>
      </c>
    </row>
    <row r="258" spans="1:28">
      <c r="A258" s="8">
        <v>251</v>
      </c>
      <c r="B258" s="8" t="s">
        <v>469</v>
      </c>
      <c r="C258" s="8" t="s">
        <v>457</v>
      </c>
      <c r="D258" s="8" t="s">
        <v>198</v>
      </c>
      <c r="E258" s="8" t="s">
        <v>33</v>
      </c>
      <c r="F258" s="6" t="s">
        <v>50</v>
      </c>
      <c r="G258" s="6" t="s">
        <v>35</v>
      </c>
      <c r="H258" s="6" t="s">
        <v>73</v>
      </c>
      <c r="I258" s="8">
        <v>122</v>
      </c>
      <c r="J258" s="8" t="s">
        <v>102</v>
      </c>
      <c r="K258" s="8" t="s">
        <v>53</v>
      </c>
      <c r="L258" s="10">
        <v>1</v>
      </c>
      <c r="M258" s="13">
        <v>8000.0</v>
      </c>
      <c r="N258" s="13"/>
      <c r="O258" s="15">
        <f>IF(M258&gt;0, N258/M258, 0)</f>
        <v>0</v>
      </c>
      <c r="P258" s="13">
        <f>M258-N258</f>
        <v>8000</v>
      </c>
      <c r="Q258" s="13">
        <f>L258*M258</f>
        <v>8000</v>
      </c>
      <c r="R258" s="13">
        <f>L258*N258</f>
        <v>0</v>
      </c>
      <c r="S258" s="13">
        <f>L258*P258</f>
        <v>8000</v>
      </c>
      <c r="T258" s="13"/>
      <c r="U258" s="13">
        <f>L258*T258</f>
        <v>0</v>
      </c>
      <c r="V258" s="13">
        <f>S258-U258</f>
        <v>8000</v>
      </c>
      <c r="W258" s="15">
        <f>IF(S258&gt;0, V258/S258, 0)</f>
        <v>1</v>
      </c>
      <c r="X258" s="6" t="s">
        <v>39</v>
      </c>
      <c r="Y258" s="8" t="s">
        <v>40</v>
      </c>
      <c r="Z258" s="8" t="s">
        <v>41</v>
      </c>
      <c r="AA258" s="8" t="s">
        <v>42</v>
      </c>
      <c r="AB258" s="6" t="s">
        <v>42</v>
      </c>
    </row>
    <row r="259" spans="1:28">
      <c r="A259" s="9">
        <v>252</v>
      </c>
      <c r="B259" s="9" t="s">
        <v>470</v>
      </c>
      <c r="C259" s="9" t="s">
        <v>457</v>
      </c>
      <c r="D259" s="9" t="s">
        <v>198</v>
      </c>
      <c r="E259" s="9" t="s">
        <v>33</v>
      </c>
      <c r="F259" s="7" t="s">
        <v>50</v>
      </c>
      <c r="G259" s="7" t="s">
        <v>35</v>
      </c>
      <c r="H259" s="7" t="s">
        <v>36</v>
      </c>
      <c r="I259" s="9">
        <v>122</v>
      </c>
      <c r="J259" s="9" t="s">
        <v>105</v>
      </c>
      <c r="K259" s="9" t="s">
        <v>53</v>
      </c>
      <c r="L259" s="11">
        <v>1</v>
      </c>
      <c r="M259" s="14">
        <v>7000.0</v>
      </c>
      <c r="N259" s="14"/>
      <c r="O259" s="16">
        <f>IF(M259&gt;0, N259/M259, 0)</f>
        <v>0</v>
      </c>
      <c r="P259" s="14">
        <f>M259-N259</f>
        <v>7000</v>
      </c>
      <c r="Q259" s="14">
        <f>L259*M259</f>
        <v>7000</v>
      </c>
      <c r="R259" s="14">
        <f>L259*N259</f>
        <v>0</v>
      </c>
      <c r="S259" s="14">
        <f>L259*P259</f>
        <v>7000</v>
      </c>
      <c r="T259" s="14"/>
      <c r="U259" s="14">
        <f>L259*T259</f>
        <v>0</v>
      </c>
      <c r="V259" s="14">
        <f>S259-U259</f>
        <v>7000</v>
      </c>
      <c r="W259" s="16">
        <f>IF(S259&gt;0, V259/S259, 0)</f>
        <v>1</v>
      </c>
      <c r="X259" s="7" t="s">
        <v>39</v>
      </c>
      <c r="Y259" s="9" t="s">
        <v>40</v>
      </c>
      <c r="Z259" s="9" t="s">
        <v>41</v>
      </c>
      <c r="AA259" s="9" t="s">
        <v>42</v>
      </c>
      <c r="AB259" s="7" t="s">
        <v>42</v>
      </c>
    </row>
    <row r="260" spans="1:28">
      <c r="A260" s="8">
        <v>253</v>
      </c>
      <c r="B260" s="8" t="s">
        <v>471</v>
      </c>
      <c r="C260" s="8" t="s">
        <v>472</v>
      </c>
      <c r="D260" s="8" t="s">
        <v>198</v>
      </c>
      <c r="E260" s="8" t="s">
        <v>33</v>
      </c>
      <c r="F260" s="6" t="s">
        <v>50</v>
      </c>
      <c r="G260" s="6" t="s">
        <v>158</v>
      </c>
      <c r="H260" s="6" t="s">
        <v>159</v>
      </c>
      <c r="I260" s="8" t="s">
        <v>42</v>
      </c>
      <c r="J260" s="8" t="s">
        <v>473</v>
      </c>
      <c r="K260" s="8" t="s">
        <v>38</v>
      </c>
      <c r="L260" s="10">
        <v>2</v>
      </c>
      <c r="M260" s="13">
        <v>5000.0</v>
      </c>
      <c r="N260" s="13"/>
      <c r="O260" s="15">
        <f>IF(M260&gt;0, N260/M260, 0)</f>
        <v>0</v>
      </c>
      <c r="P260" s="13">
        <f>M260-N260</f>
        <v>5000</v>
      </c>
      <c r="Q260" s="13">
        <f>L260*M260</f>
        <v>10000</v>
      </c>
      <c r="R260" s="13">
        <f>L260*N260</f>
        <v>0</v>
      </c>
      <c r="S260" s="13">
        <f>L260*P260</f>
        <v>10000</v>
      </c>
      <c r="T260" s="13"/>
      <c r="U260" s="13">
        <f>L260*T260</f>
        <v>0</v>
      </c>
      <c r="V260" s="13">
        <f>S260-U260</f>
        <v>10000</v>
      </c>
      <c r="W260" s="15">
        <f>IF(S260&gt;0, V260/S260, 0)</f>
        <v>1</v>
      </c>
      <c r="X260" s="6" t="s">
        <v>39</v>
      </c>
      <c r="Y260" s="8" t="s">
        <v>40</v>
      </c>
      <c r="Z260" s="8" t="s">
        <v>41</v>
      </c>
      <c r="AA260" s="8" t="s">
        <v>42</v>
      </c>
      <c r="AB260" s="6" t="s">
        <v>42</v>
      </c>
    </row>
    <row r="261" spans="1:28">
      <c r="A261" s="9">
        <v>254</v>
      </c>
      <c r="B261" s="9" t="s">
        <v>474</v>
      </c>
      <c r="C261" s="9" t="s">
        <v>472</v>
      </c>
      <c r="D261" s="9" t="s">
        <v>198</v>
      </c>
      <c r="E261" s="9" t="s">
        <v>33</v>
      </c>
      <c r="F261" s="7" t="s">
        <v>50</v>
      </c>
      <c r="G261" s="7" t="s">
        <v>45</v>
      </c>
      <c r="H261" s="7" t="s">
        <v>46</v>
      </c>
      <c r="I261" s="9">
        <v>146</v>
      </c>
      <c r="J261" s="9" t="s">
        <v>140</v>
      </c>
      <c r="K261" s="9" t="s">
        <v>38</v>
      </c>
      <c r="L261" s="11">
        <v>1</v>
      </c>
      <c r="M261" s="14">
        <v>18000.0</v>
      </c>
      <c r="N261" s="14"/>
      <c r="O261" s="16">
        <f>IF(M261&gt;0, N261/M261, 0)</f>
        <v>0</v>
      </c>
      <c r="P261" s="14">
        <f>M261-N261</f>
        <v>18000</v>
      </c>
      <c r="Q261" s="14">
        <f>L261*M261</f>
        <v>18000</v>
      </c>
      <c r="R261" s="14">
        <f>L261*N261</f>
        <v>0</v>
      </c>
      <c r="S261" s="14">
        <f>L261*P261</f>
        <v>18000</v>
      </c>
      <c r="T261" s="14"/>
      <c r="U261" s="14">
        <f>L261*T261</f>
        <v>0</v>
      </c>
      <c r="V261" s="14">
        <f>S261-U261</f>
        <v>18000</v>
      </c>
      <c r="W261" s="16">
        <f>IF(S261&gt;0, V261/S261, 0)</f>
        <v>1</v>
      </c>
      <c r="X261" s="7" t="s">
        <v>39</v>
      </c>
      <c r="Y261" s="9" t="s">
        <v>40</v>
      </c>
      <c r="Z261" s="9" t="s">
        <v>41</v>
      </c>
      <c r="AA261" s="9" t="s">
        <v>42</v>
      </c>
      <c r="AB261" s="7" t="s">
        <v>42</v>
      </c>
    </row>
    <row r="262" spans="1:28">
      <c r="A262" s="8">
        <v>255</v>
      </c>
      <c r="B262" s="8" t="s">
        <v>475</v>
      </c>
      <c r="C262" s="8" t="s">
        <v>472</v>
      </c>
      <c r="D262" s="8" t="s">
        <v>198</v>
      </c>
      <c r="E262" s="8" t="s">
        <v>33</v>
      </c>
      <c r="F262" s="6" t="s">
        <v>50</v>
      </c>
      <c r="G262" s="6" t="s">
        <v>45</v>
      </c>
      <c r="H262" s="6" t="s">
        <v>46</v>
      </c>
      <c r="I262" s="8">
        <v>122</v>
      </c>
      <c r="J262" s="8" t="s">
        <v>476</v>
      </c>
      <c r="K262" s="8" t="s">
        <v>38</v>
      </c>
      <c r="L262" s="10">
        <v>1</v>
      </c>
      <c r="M262" s="13">
        <v>18000.0</v>
      </c>
      <c r="N262" s="13"/>
      <c r="O262" s="15">
        <f>IF(M262&gt;0, N262/M262, 0)</f>
        <v>0</v>
      </c>
      <c r="P262" s="13">
        <f>M262-N262</f>
        <v>18000</v>
      </c>
      <c r="Q262" s="13">
        <f>L262*M262</f>
        <v>18000</v>
      </c>
      <c r="R262" s="13">
        <f>L262*N262</f>
        <v>0</v>
      </c>
      <c r="S262" s="13">
        <f>L262*P262</f>
        <v>18000</v>
      </c>
      <c r="T262" s="13"/>
      <c r="U262" s="13">
        <f>L262*T262</f>
        <v>0</v>
      </c>
      <c r="V262" s="13">
        <f>S262-U262</f>
        <v>18000</v>
      </c>
      <c r="W262" s="15">
        <f>IF(S262&gt;0, V262/S262, 0)</f>
        <v>1</v>
      </c>
      <c r="X262" s="6" t="s">
        <v>39</v>
      </c>
      <c r="Y262" s="8" t="s">
        <v>40</v>
      </c>
      <c r="Z262" s="8" t="s">
        <v>41</v>
      </c>
      <c r="AA262" s="8" t="s">
        <v>42</v>
      </c>
      <c r="AB262" s="6" t="s">
        <v>42</v>
      </c>
    </row>
    <row r="263" spans="1:28">
      <c r="A263" s="9">
        <v>256</v>
      </c>
      <c r="B263" s="9" t="s">
        <v>477</v>
      </c>
      <c r="C263" s="9" t="s">
        <v>472</v>
      </c>
      <c r="D263" s="9" t="s">
        <v>198</v>
      </c>
      <c r="E263" s="9" t="s">
        <v>33</v>
      </c>
      <c r="F263" s="7" t="s">
        <v>50</v>
      </c>
      <c r="G263" s="7" t="s">
        <v>35</v>
      </c>
      <c r="H263" s="7" t="s">
        <v>73</v>
      </c>
      <c r="I263" s="9">
        <v>146</v>
      </c>
      <c r="J263" s="9" t="s">
        <v>340</v>
      </c>
      <c r="K263" s="9" t="s">
        <v>53</v>
      </c>
      <c r="L263" s="11">
        <v>1</v>
      </c>
      <c r="M263" s="14">
        <v>8000.0</v>
      </c>
      <c r="N263" s="14"/>
      <c r="O263" s="16">
        <f>IF(M263&gt;0, N263/M263, 0)</f>
        <v>0</v>
      </c>
      <c r="P263" s="14">
        <f>M263-N263</f>
        <v>8000</v>
      </c>
      <c r="Q263" s="14">
        <f>L263*M263</f>
        <v>8000</v>
      </c>
      <c r="R263" s="14">
        <f>L263*N263</f>
        <v>0</v>
      </c>
      <c r="S263" s="14">
        <f>L263*P263</f>
        <v>8000</v>
      </c>
      <c r="T263" s="14"/>
      <c r="U263" s="14">
        <f>L263*T263</f>
        <v>0</v>
      </c>
      <c r="V263" s="14">
        <f>S263-U263</f>
        <v>8000</v>
      </c>
      <c r="W263" s="16">
        <f>IF(S263&gt;0, V263/S263, 0)</f>
        <v>1</v>
      </c>
      <c r="X263" s="7" t="s">
        <v>39</v>
      </c>
      <c r="Y263" s="9" t="s">
        <v>40</v>
      </c>
      <c r="Z263" s="9" t="s">
        <v>41</v>
      </c>
      <c r="AA263" s="9" t="s">
        <v>42</v>
      </c>
      <c r="AB263" s="7" t="s">
        <v>42</v>
      </c>
    </row>
    <row r="264" spans="1:28">
      <c r="A264" s="8">
        <v>257</v>
      </c>
      <c r="B264" s="8" t="s">
        <v>478</v>
      </c>
      <c r="C264" s="8" t="s">
        <v>472</v>
      </c>
      <c r="D264" s="8" t="s">
        <v>198</v>
      </c>
      <c r="E264" s="8" t="s">
        <v>33</v>
      </c>
      <c r="F264" s="6" t="s">
        <v>50</v>
      </c>
      <c r="G264" s="6" t="s">
        <v>35</v>
      </c>
      <c r="H264" s="6" t="s">
        <v>73</v>
      </c>
      <c r="I264" s="8">
        <v>122</v>
      </c>
      <c r="J264" s="8" t="s">
        <v>102</v>
      </c>
      <c r="K264" s="8" t="s">
        <v>53</v>
      </c>
      <c r="L264" s="10">
        <v>1</v>
      </c>
      <c r="M264" s="13">
        <v>8000.0</v>
      </c>
      <c r="N264" s="13"/>
      <c r="O264" s="15">
        <f>IF(M264&gt;0, N264/M264, 0)</f>
        <v>0</v>
      </c>
      <c r="P264" s="13">
        <f>M264-N264</f>
        <v>8000</v>
      </c>
      <c r="Q264" s="13">
        <f>L264*M264</f>
        <v>8000</v>
      </c>
      <c r="R264" s="13">
        <f>L264*N264</f>
        <v>0</v>
      </c>
      <c r="S264" s="13">
        <f>L264*P264</f>
        <v>8000</v>
      </c>
      <c r="T264" s="13"/>
      <c r="U264" s="13">
        <f>L264*T264</f>
        <v>0</v>
      </c>
      <c r="V264" s="13">
        <f>S264-U264</f>
        <v>8000</v>
      </c>
      <c r="W264" s="15">
        <f>IF(S264&gt;0, V264/S264, 0)</f>
        <v>1</v>
      </c>
      <c r="X264" s="6" t="s">
        <v>39</v>
      </c>
      <c r="Y264" s="8" t="s">
        <v>40</v>
      </c>
      <c r="Z264" s="8" t="s">
        <v>41</v>
      </c>
      <c r="AA264" s="8" t="s">
        <v>42</v>
      </c>
      <c r="AB264" s="6" t="s">
        <v>42</v>
      </c>
    </row>
    <row r="265" spans="1:28">
      <c r="A265" s="9">
        <v>258</v>
      </c>
      <c r="B265" s="9" t="s">
        <v>479</v>
      </c>
      <c r="C265" s="9" t="s">
        <v>472</v>
      </c>
      <c r="D265" s="9" t="s">
        <v>198</v>
      </c>
      <c r="E265" s="9" t="s">
        <v>33</v>
      </c>
      <c r="F265" s="7" t="s">
        <v>34</v>
      </c>
      <c r="G265" s="7" t="s">
        <v>45</v>
      </c>
      <c r="H265" s="7" t="s">
        <v>46</v>
      </c>
      <c r="I265" s="9">
        <v>170</v>
      </c>
      <c r="J265" s="9" t="s">
        <v>181</v>
      </c>
      <c r="K265" s="9" t="s">
        <v>38</v>
      </c>
      <c r="L265" s="11">
        <v>1</v>
      </c>
      <c r="M265" s="14">
        <v>18000.0</v>
      </c>
      <c r="N265" s="14"/>
      <c r="O265" s="16">
        <f>IF(M265&gt;0, N265/M265, 0)</f>
        <v>0</v>
      </c>
      <c r="P265" s="14">
        <f>M265-N265</f>
        <v>18000</v>
      </c>
      <c r="Q265" s="14">
        <f>L265*M265</f>
        <v>18000</v>
      </c>
      <c r="R265" s="14">
        <f>L265*N265</f>
        <v>0</v>
      </c>
      <c r="S265" s="14">
        <f>L265*P265</f>
        <v>18000</v>
      </c>
      <c r="T265" s="14"/>
      <c r="U265" s="14">
        <f>L265*T265</f>
        <v>0</v>
      </c>
      <c r="V265" s="14">
        <f>S265-U265</f>
        <v>18000</v>
      </c>
      <c r="W265" s="16">
        <f>IF(S265&gt;0, V265/S265, 0)</f>
        <v>1</v>
      </c>
      <c r="X265" s="7" t="s">
        <v>39</v>
      </c>
      <c r="Y265" s="9" t="s">
        <v>40</v>
      </c>
      <c r="Z265" s="9" t="s">
        <v>41</v>
      </c>
      <c r="AA265" s="9" t="s">
        <v>42</v>
      </c>
      <c r="AB265" s="7" t="s">
        <v>42</v>
      </c>
    </row>
    <row r="266" spans="1:28">
      <c r="A266" s="8">
        <v>259</v>
      </c>
      <c r="B266" s="8" t="s">
        <v>480</v>
      </c>
      <c r="C266" s="8" t="s">
        <v>472</v>
      </c>
      <c r="D266" s="8" t="s">
        <v>198</v>
      </c>
      <c r="E266" s="8" t="s">
        <v>68</v>
      </c>
      <c r="F266" s="6" t="s">
        <v>34</v>
      </c>
      <c r="G266" s="6" t="s">
        <v>69</v>
      </c>
      <c r="H266" s="6" t="s">
        <v>69</v>
      </c>
      <c r="I266" s="8">
        <v>164</v>
      </c>
      <c r="J266" s="8" t="s">
        <v>70</v>
      </c>
      <c r="K266" s="8" t="s">
        <v>38</v>
      </c>
      <c r="L266" s="10">
        <v>1</v>
      </c>
      <c r="M266" s="13">
        <v>18000.0</v>
      </c>
      <c r="N266" s="13"/>
      <c r="O266" s="15">
        <f>IF(M266&gt;0, N266/M266, 0)</f>
        <v>0</v>
      </c>
      <c r="P266" s="13">
        <f>M266-N266</f>
        <v>18000</v>
      </c>
      <c r="Q266" s="13">
        <f>L266*M266</f>
        <v>18000</v>
      </c>
      <c r="R266" s="13">
        <f>L266*N266</f>
        <v>0</v>
      </c>
      <c r="S266" s="13">
        <f>L266*P266</f>
        <v>18000</v>
      </c>
      <c r="T266" s="13"/>
      <c r="U266" s="13">
        <f>L266*T266</f>
        <v>0</v>
      </c>
      <c r="V266" s="13">
        <f>S266-U266</f>
        <v>18000</v>
      </c>
      <c r="W266" s="15">
        <f>IF(S266&gt;0, V266/S266, 0)</f>
        <v>1</v>
      </c>
      <c r="X266" s="6" t="s">
        <v>39</v>
      </c>
      <c r="Y266" s="8" t="s">
        <v>40</v>
      </c>
      <c r="Z266" s="8" t="s">
        <v>71</v>
      </c>
      <c r="AA266" s="8" t="s">
        <v>42</v>
      </c>
      <c r="AB266" s="6" t="s">
        <v>42</v>
      </c>
    </row>
    <row r="267" spans="1:28">
      <c r="A267" s="9">
        <v>260</v>
      </c>
      <c r="B267" s="9" t="s">
        <v>481</v>
      </c>
      <c r="C267" s="9" t="s">
        <v>472</v>
      </c>
      <c r="D267" s="9" t="s">
        <v>198</v>
      </c>
      <c r="E267" s="9" t="s">
        <v>68</v>
      </c>
      <c r="F267" s="7" t="s">
        <v>34</v>
      </c>
      <c r="G267" s="7" t="s">
        <v>35</v>
      </c>
      <c r="H267" s="7" t="s">
        <v>73</v>
      </c>
      <c r="I267" s="9">
        <v>164</v>
      </c>
      <c r="J267" s="9" t="s">
        <v>74</v>
      </c>
      <c r="K267" s="9" t="s">
        <v>38</v>
      </c>
      <c r="L267" s="11">
        <v>1</v>
      </c>
      <c r="M267" s="14">
        <v>11000.0</v>
      </c>
      <c r="N267" s="14"/>
      <c r="O267" s="16">
        <f>IF(M267&gt;0, N267/M267, 0)</f>
        <v>0</v>
      </c>
      <c r="P267" s="14">
        <f>M267-N267</f>
        <v>11000</v>
      </c>
      <c r="Q267" s="14">
        <f>L267*M267</f>
        <v>11000</v>
      </c>
      <c r="R267" s="14">
        <f>L267*N267</f>
        <v>0</v>
      </c>
      <c r="S267" s="14">
        <f>L267*P267</f>
        <v>11000</v>
      </c>
      <c r="T267" s="14"/>
      <c r="U267" s="14">
        <f>L267*T267</f>
        <v>0</v>
      </c>
      <c r="V267" s="14">
        <f>S267-U267</f>
        <v>11000</v>
      </c>
      <c r="W267" s="16">
        <f>IF(S267&gt;0, V267/S267, 0)</f>
        <v>1</v>
      </c>
      <c r="X267" s="7" t="s">
        <v>39</v>
      </c>
      <c r="Y267" s="9" t="s">
        <v>40</v>
      </c>
      <c r="Z267" s="9" t="s">
        <v>71</v>
      </c>
      <c r="AA267" s="9" t="s">
        <v>42</v>
      </c>
      <c r="AB267" s="7" t="s">
        <v>42</v>
      </c>
    </row>
    <row r="268" spans="1:28">
      <c r="A268" s="8">
        <v>261</v>
      </c>
      <c r="B268" s="8" t="s">
        <v>482</v>
      </c>
      <c r="C268" s="8" t="s">
        <v>472</v>
      </c>
      <c r="D268" s="8" t="s">
        <v>198</v>
      </c>
      <c r="E268" s="8" t="s">
        <v>68</v>
      </c>
      <c r="F268" s="6" t="s">
        <v>34</v>
      </c>
      <c r="G268" s="6" t="s">
        <v>35</v>
      </c>
      <c r="H268" s="6" t="s">
        <v>73</v>
      </c>
      <c r="I268" s="8">
        <v>158</v>
      </c>
      <c r="J268" s="8" t="s">
        <v>291</v>
      </c>
      <c r="K268" s="8" t="s">
        <v>38</v>
      </c>
      <c r="L268" s="10">
        <v>1</v>
      </c>
      <c r="M268" s="13">
        <v>11000.0</v>
      </c>
      <c r="N268" s="13"/>
      <c r="O268" s="15">
        <f>IF(M268&gt;0, N268/M268, 0)</f>
        <v>0</v>
      </c>
      <c r="P268" s="13">
        <f>M268-N268</f>
        <v>11000</v>
      </c>
      <c r="Q268" s="13">
        <f>L268*M268</f>
        <v>11000</v>
      </c>
      <c r="R268" s="13">
        <f>L268*N268</f>
        <v>0</v>
      </c>
      <c r="S268" s="13">
        <f>L268*P268</f>
        <v>11000</v>
      </c>
      <c r="T268" s="13"/>
      <c r="U268" s="13">
        <f>L268*T268</f>
        <v>0</v>
      </c>
      <c r="V268" s="13">
        <f>S268-U268</f>
        <v>11000</v>
      </c>
      <c r="W268" s="15">
        <f>IF(S268&gt;0, V268/S268, 0)</f>
        <v>1</v>
      </c>
      <c r="X268" s="6" t="s">
        <v>39</v>
      </c>
      <c r="Y268" s="8" t="s">
        <v>40</v>
      </c>
      <c r="Z268" s="8" t="s">
        <v>71</v>
      </c>
      <c r="AA268" s="8" t="s">
        <v>42</v>
      </c>
      <c r="AB268" s="6" t="s">
        <v>42</v>
      </c>
    </row>
    <row r="269" spans="1:28">
      <c r="A269" s="9">
        <v>262</v>
      </c>
      <c r="B269" s="9" t="s">
        <v>483</v>
      </c>
      <c r="C269" s="9" t="s">
        <v>472</v>
      </c>
      <c r="D269" s="9" t="s">
        <v>198</v>
      </c>
      <c r="E269" s="9" t="s">
        <v>33</v>
      </c>
      <c r="F269" s="7" t="s">
        <v>34</v>
      </c>
      <c r="G269" s="7" t="s">
        <v>51</v>
      </c>
      <c r="H269" s="7" t="s">
        <v>51</v>
      </c>
      <c r="I269" s="9">
        <v>158</v>
      </c>
      <c r="J269" s="9" t="s">
        <v>122</v>
      </c>
      <c r="K269" s="9" t="s">
        <v>38</v>
      </c>
      <c r="L269" s="11">
        <v>1</v>
      </c>
      <c r="M269" s="14">
        <v>8500.0</v>
      </c>
      <c r="N269" s="14"/>
      <c r="O269" s="16">
        <f>IF(M269&gt;0, N269/M269, 0)</f>
        <v>0</v>
      </c>
      <c r="P269" s="14">
        <f>M269-N269</f>
        <v>8500</v>
      </c>
      <c r="Q269" s="14">
        <f>L269*M269</f>
        <v>8500</v>
      </c>
      <c r="R269" s="14">
        <f>L269*N269</f>
        <v>0</v>
      </c>
      <c r="S269" s="14">
        <f>L269*P269</f>
        <v>8500</v>
      </c>
      <c r="T269" s="14"/>
      <c r="U269" s="14">
        <f>L269*T269</f>
        <v>0</v>
      </c>
      <c r="V269" s="14">
        <f>S269-U269</f>
        <v>8500</v>
      </c>
      <c r="W269" s="16">
        <f>IF(S269&gt;0, V269/S269, 0)</f>
        <v>1</v>
      </c>
      <c r="X269" s="7" t="s">
        <v>39</v>
      </c>
      <c r="Y269" s="9" t="s">
        <v>40</v>
      </c>
      <c r="Z269" s="9" t="s">
        <v>41</v>
      </c>
      <c r="AA269" s="9" t="s">
        <v>42</v>
      </c>
      <c r="AB269" s="7" t="s">
        <v>42</v>
      </c>
    </row>
    <row r="270" spans="1:28">
      <c r="A270" s="8">
        <v>263</v>
      </c>
      <c r="B270" s="8" t="s">
        <v>484</v>
      </c>
      <c r="C270" s="8" t="s">
        <v>472</v>
      </c>
      <c r="D270" s="8" t="s">
        <v>198</v>
      </c>
      <c r="E270" s="8" t="s">
        <v>33</v>
      </c>
      <c r="F270" s="6" t="s">
        <v>34</v>
      </c>
      <c r="G270" s="6" t="s">
        <v>35</v>
      </c>
      <c r="H270" s="6" t="s">
        <v>36</v>
      </c>
      <c r="I270" s="8">
        <v>164</v>
      </c>
      <c r="J270" s="8" t="s">
        <v>77</v>
      </c>
      <c r="K270" s="8" t="s">
        <v>38</v>
      </c>
      <c r="L270" s="10">
        <v>2</v>
      </c>
      <c r="M270" s="13">
        <v>8000.0</v>
      </c>
      <c r="N270" s="13"/>
      <c r="O270" s="15">
        <f>IF(M270&gt;0, N270/M270, 0)</f>
        <v>0</v>
      </c>
      <c r="P270" s="13">
        <f>M270-N270</f>
        <v>8000</v>
      </c>
      <c r="Q270" s="13">
        <f>L270*M270</f>
        <v>16000</v>
      </c>
      <c r="R270" s="13">
        <f>L270*N270</f>
        <v>0</v>
      </c>
      <c r="S270" s="13">
        <f>L270*P270</f>
        <v>16000</v>
      </c>
      <c r="T270" s="13"/>
      <c r="U270" s="13">
        <f>L270*T270</f>
        <v>0</v>
      </c>
      <c r="V270" s="13">
        <f>S270-U270</f>
        <v>16000</v>
      </c>
      <c r="W270" s="15">
        <f>IF(S270&gt;0, V270/S270, 0)</f>
        <v>1</v>
      </c>
      <c r="X270" s="6" t="s">
        <v>39</v>
      </c>
      <c r="Y270" s="8" t="s">
        <v>40</v>
      </c>
      <c r="Z270" s="8" t="s">
        <v>41</v>
      </c>
      <c r="AA270" s="8" t="s">
        <v>42</v>
      </c>
      <c r="AB270" s="6" t="s">
        <v>42</v>
      </c>
    </row>
    <row r="271" spans="1:28">
      <c r="A271" s="9">
        <v>264</v>
      </c>
      <c r="B271" s="9" t="s">
        <v>485</v>
      </c>
      <c r="C271" s="9" t="s">
        <v>472</v>
      </c>
      <c r="D271" s="9" t="s">
        <v>198</v>
      </c>
      <c r="E271" s="9" t="s">
        <v>33</v>
      </c>
      <c r="F271" s="7" t="s">
        <v>50</v>
      </c>
      <c r="G271" s="7" t="s">
        <v>35</v>
      </c>
      <c r="H271" s="7" t="s">
        <v>36</v>
      </c>
      <c r="I271" s="9">
        <v>146</v>
      </c>
      <c r="J271" s="9" t="s">
        <v>257</v>
      </c>
      <c r="K271" s="9" t="s">
        <v>53</v>
      </c>
      <c r="L271" s="11">
        <v>1</v>
      </c>
      <c r="M271" s="14">
        <v>7000.0</v>
      </c>
      <c r="N271" s="14"/>
      <c r="O271" s="16">
        <f>IF(M271&gt;0, N271/M271, 0)</f>
        <v>0</v>
      </c>
      <c r="P271" s="14">
        <f>M271-N271</f>
        <v>7000</v>
      </c>
      <c r="Q271" s="14">
        <f>L271*M271</f>
        <v>7000</v>
      </c>
      <c r="R271" s="14">
        <f>L271*N271</f>
        <v>0</v>
      </c>
      <c r="S271" s="14">
        <f>L271*P271</f>
        <v>7000</v>
      </c>
      <c r="T271" s="14"/>
      <c r="U271" s="14">
        <f>L271*T271</f>
        <v>0</v>
      </c>
      <c r="V271" s="14">
        <f>S271-U271</f>
        <v>7000</v>
      </c>
      <c r="W271" s="16">
        <f>IF(S271&gt;0, V271/S271, 0)</f>
        <v>1</v>
      </c>
      <c r="X271" s="7" t="s">
        <v>39</v>
      </c>
      <c r="Y271" s="9" t="s">
        <v>40</v>
      </c>
      <c r="Z271" s="9" t="s">
        <v>41</v>
      </c>
      <c r="AA271" s="9" t="s">
        <v>42</v>
      </c>
      <c r="AB271" s="7" t="s">
        <v>42</v>
      </c>
    </row>
    <row r="272" spans="1:28">
      <c r="A272" s="8">
        <v>265</v>
      </c>
      <c r="B272" s="8" t="s">
        <v>486</v>
      </c>
      <c r="C272" s="8" t="s">
        <v>487</v>
      </c>
      <c r="D272" s="8" t="s">
        <v>198</v>
      </c>
      <c r="E272" s="8" t="s">
        <v>68</v>
      </c>
      <c r="F272" s="6" t="s">
        <v>34</v>
      </c>
      <c r="G272" s="6" t="s">
        <v>35</v>
      </c>
      <c r="H272" s="6" t="s">
        <v>73</v>
      </c>
      <c r="I272" s="8">
        <v>164</v>
      </c>
      <c r="J272" s="8" t="s">
        <v>74</v>
      </c>
      <c r="K272" s="8" t="s">
        <v>38</v>
      </c>
      <c r="L272" s="10">
        <v>1</v>
      </c>
      <c r="M272" s="13">
        <v>11000.0</v>
      </c>
      <c r="N272" s="13"/>
      <c r="O272" s="15">
        <f>IF(M272&gt;0, N272/M272, 0)</f>
        <v>0</v>
      </c>
      <c r="P272" s="13">
        <f>M272-N272</f>
        <v>11000</v>
      </c>
      <c r="Q272" s="13">
        <f>L272*M272</f>
        <v>11000</v>
      </c>
      <c r="R272" s="13">
        <f>L272*N272</f>
        <v>0</v>
      </c>
      <c r="S272" s="13">
        <f>L272*P272</f>
        <v>11000</v>
      </c>
      <c r="T272" s="13"/>
      <c r="U272" s="13">
        <f>L272*T272</f>
        <v>0</v>
      </c>
      <c r="V272" s="13">
        <f>S272-U272</f>
        <v>11000</v>
      </c>
      <c r="W272" s="15">
        <f>IF(S272&gt;0, V272/S272, 0)</f>
        <v>1</v>
      </c>
      <c r="X272" s="6" t="s">
        <v>39</v>
      </c>
      <c r="Y272" s="8" t="s">
        <v>40</v>
      </c>
      <c r="Z272" s="8" t="s">
        <v>71</v>
      </c>
      <c r="AA272" s="8" t="s">
        <v>42</v>
      </c>
      <c r="AB272" s="6" t="s">
        <v>42</v>
      </c>
    </row>
    <row r="273" spans="1:28">
      <c r="A273" s="9">
        <v>266</v>
      </c>
      <c r="B273" s="9" t="s">
        <v>488</v>
      </c>
      <c r="C273" s="9" t="s">
        <v>487</v>
      </c>
      <c r="D273" s="9" t="s">
        <v>198</v>
      </c>
      <c r="E273" s="9" t="s">
        <v>33</v>
      </c>
      <c r="F273" s="7" t="s">
        <v>34</v>
      </c>
      <c r="G273" s="7" t="s">
        <v>56</v>
      </c>
      <c r="H273" s="7" t="s">
        <v>56</v>
      </c>
      <c r="I273" s="9">
        <v>164</v>
      </c>
      <c r="J273" s="9" t="s">
        <v>57</v>
      </c>
      <c r="K273" s="9" t="s">
        <v>38</v>
      </c>
      <c r="L273" s="11">
        <v>1</v>
      </c>
      <c r="M273" s="14">
        <v>7500.0</v>
      </c>
      <c r="N273" s="14"/>
      <c r="O273" s="16">
        <f>IF(M273&gt;0, N273/M273, 0)</f>
        <v>0</v>
      </c>
      <c r="P273" s="14">
        <f>M273-N273</f>
        <v>7500</v>
      </c>
      <c r="Q273" s="14">
        <f>L273*M273</f>
        <v>7500</v>
      </c>
      <c r="R273" s="14">
        <f>L273*N273</f>
        <v>0</v>
      </c>
      <c r="S273" s="14">
        <f>L273*P273</f>
        <v>7500</v>
      </c>
      <c r="T273" s="14"/>
      <c r="U273" s="14">
        <f>L273*T273</f>
        <v>0</v>
      </c>
      <c r="V273" s="14">
        <f>S273-U273</f>
        <v>7500</v>
      </c>
      <c r="W273" s="16">
        <f>IF(S273&gt;0, V273/S273, 0)</f>
        <v>1</v>
      </c>
      <c r="X273" s="7" t="s">
        <v>39</v>
      </c>
      <c r="Y273" s="9" t="s">
        <v>40</v>
      </c>
      <c r="Z273" s="9" t="s">
        <v>41</v>
      </c>
      <c r="AA273" s="9" t="s">
        <v>42</v>
      </c>
      <c r="AB273" s="7" t="s">
        <v>42</v>
      </c>
    </row>
    <row r="274" spans="1:28">
      <c r="A274" s="8">
        <v>267</v>
      </c>
      <c r="B274" s="8" t="s">
        <v>489</v>
      </c>
      <c r="C274" s="8" t="s">
        <v>487</v>
      </c>
      <c r="D274" s="8" t="s">
        <v>198</v>
      </c>
      <c r="E274" s="8" t="s">
        <v>33</v>
      </c>
      <c r="F274" s="6" t="s">
        <v>34</v>
      </c>
      <c r="G274" s="6" t="s">
        <v>51</v>
      </c>
      <c r="H274" s="6" t="s">
        <v>51</v>
      </c>
      <c r="I274" s="8">
        <v>164</v>
      </c>
      <c r="J274" s="8" t="s">
        <v>61</v>
      </c>
      <c r="K274" s="8" t="s">
        <v>38</v>
      </c>
      <c r="L274" s="10">
        <v>1</v>
      </c>
      <c r="M274" s="13">
        <v>8500.0</v>
      </c>
      <c r="N274" s="13"/>
      <c r="O274" s="15">
        <f>IF(M274&gt;0, N274/M274, 0)</f>
        <v>0</v>
      </c>
      <c r="P274" s="13">
        <f>M274-N274</f>
        <v>8500</v>
      </c>
      <c r="Q274" s="13">
        <f>L274*M274</f>
        <v>8500</v>
      </c>
      <c r="R274" s="13">
        <f>L274*N274</f>
        <v>0</v>
      </c>
      <c r="S274" s="13">
        <f>L274*P274</f>
        <v>8500</v>
      </c>
      <c r="T274" s="13"/>
      <c r="U274" s="13">
        <f>L274*T274</f>
        <v>0</v>
      </c>
      <c r="V274" s="13">
        <f>S274-U274</f>
        <v>8500</v>
      </c>
      <c r="W274" s="15">
        <f>IF(S274&gt;0, V274/S274, 0)</f>
        <v>1</v>
      </c>
      <c r="X274" s="6" t="s">
        <v>39</v>
      </c>
      <c r="Y274" s="8" t="s">
        <v>40</v>
      </c>
      <c r="Z274" s="8" t="s">
        <v>41</v>
      </c>
      <c r="AA274" s="8" t="s">
        <v>42</v>
      </c>
      <c r="AB274" s="6" t="s">
        <v>42</v>
      </c>
    </row>
    <row r="275" spans="1:28">
      <c r="A275" s="9">
        <v>268</v>
      </c>
      <c r="B275" s="9" t="s">
        <v>490</v>
      </c>
      <c r="C275" s="9" t="s">
        <v>487</v>
      </c>
      <c r="D275" s="9" t="s">
        <v>198</v>
      </c>
      <c r="E275" s="9" t="s">
        <v>33</v>
      </c>
      <c r="F275" s="7" t="s">
        <v>34</v>
      </c>
      <c r="G275" s="7" t="s">
        <v>35</v>
      </c>
      <c r="H275" s="7" t="s">
        <v>36</v>
      </c>
      <c r="I275" s="9">
        <v>164</v>
      </c>
      <c r="J275" s="9" t="s">
        <v>77</v>
      </c>
      <c r="K275" s="9" t="s">
        <v>38</v>
      </c>
      <c r="L275" s="11">
        <v>1</v>
      </c>
      <c r="M275" s="14">
        <v>8000.0</v>
      </c>
      <c r="N275" s="14"/>
      <c r="O275" s="16">
        <f>IF(M275&gt;0, N275/M275, 0)</f>
        <v>0</v>
      </c>
      <c r="P275" s="14">
        <f>M275-N275</f>
        <v>8000</v>
      </c>
      <c r="Q275" s="14">
        <f>L275*M275</f>
        <v>8000</v>
      </c>
      <c r="R275" s="14">
        <f>L275*N275</f>
        <v>0</v>
      </c>
      <c r="S275" s="14">
        <f>L275*P275</f>
        <v>8000</v>
      </c>
      <c r="T275" s="14"/>
      <c r="U275" s="14">
        <f>L275*T275</f>
        <v>0</v>
      </c>
      <c r="V275" s="14">
        <f>S275-U275</f>
        <v>8000</v>
      </c>
      <c r="W275" s="16">
        <f>IF(S275&gt;0, V275/S275, 0)</f>
        <v>1</v>
      </c>
      <c r="X275" s="7" t="s">
        <v>39</v>
      </c>
      <c r="Y275" s="9" t="s">
        <v>40</v>
      </c>
      <c r="Z275" s="9" t="s">
        <v>41</v>
      </c>
      <c r="AA275" s="9" t="s">
        <v>42</v>
      </c>
      <c r="AB275" s="7" t="s">
        <v>42</v>
      </c>
    </row>
    <row r="276" spans="1:28">
      <c r="A276" s="8">
        <v>269</v>
      </c>
      <c r="B276" s="8" t="s">
        <v>491</v>
      </c>
      <c r="C276" s="8" t="s">
        <v>487</v>
      </c>
      <c r="D276" s="8" t="s">
        <v>198</v>
      </c>
      <c r="E276" s="8" t="s">
        <v>33</v>
      </c>
      <c r="F276" s="6" t="s">
        <v>34</v>
      </c>
      <c r="G276" s="6" t="s">
        <v>69</v>
      </c>
      <c r="H276" s="6" t="s">
        <v>69</v>
      </c>
      <c r="I276" s="8">
        <v>134</v>
      </c>
      <c r="J276" s="8" t="s">
        <v>492</v>
      </c>
      <c r="K276" s="8" t="s">
        <v>38</v>
      </c>
      <c r="L276" s="10">
        <v>1</v>
      </c>
      <c r="M276" s="13">
        <v>18000.0</v>
      </c>
      <c r="N276" s="13"/>
      <c r="O276" s="15">
        <f>IF(M276&gt;0, N276/M276, 0)</f>
        <v>0</v>
      </c>
      <c r="P276" s="13">
        <f>M276-N276</f>
        <v>18000</v>
      </c>
      <c r="Q276" s="13">
        <f>L276*M276</f>
        <v>18000</v>
      </c>
      <c r="R276" s="13">
        <f>L276*N276</f>
        <v>0</v>
      </c>
      <c r="S276" s="13">
        <f>L276*P276</f>
        <v>18000</v>
      </c>
      <c r="T276" s="13"/>
      <c r="U276" s="13">
        <f>L276*T276</f>
        <v>0</v>
      </c>
      <c r="V276" s="13">
        <f>S276-U276</f>
        <v>18000</v>
      </c>
      <c r="W276" s="15">
        <f>IF(S276&gt;0, V276/S276, 0)</f>
        <v>1</v>
      </c>
      <c r="X276" s="6" t="s">
        <v>39</v>
      </c>
      <c r="Y276" s="8" t="s">
        <v>40</v>
      </c>
      <c r="Z276" s="8" t="s">
        <v>41</v>
      </c>
      <c r="AA276" s="8" t="s">
        <v>42</v>
      </c>
      <c r="AB276" s="6" t="s">
        <v>42</v>
      </c>
    </row>
    <row r="277" spans="1:28">
      <c r="A277" s="9">
        <v>270</v>
      </c>
      <c r="B277" s="9" t="s">
        <v>493</v>
      </c>
      <c r="C277" s="9" t="s">
        <v>487</v>
      </c>
      <c r="D277" s="9" t="s">
        <v>198</v>
      </c>
      <c r="E277" s="9" t="s">
        <v>33</v>
      </c>
      <c r="F277" s="7" t="s">
        <v>34</v>
      </c>
      <c r="G277" s="7" t="s">
        <v>69</v>
      </c>
      <c r="H277" s="7" t="s">
        <v>69</v>
      </c>
      <c r="I277" s="9">
        <v>158</v>
      </c>
      <c r="J277" s="9" t="s">
        <v>260</v>
      </c>
      <c r="K277" s="9" t="s">
        <v>38</v>
      </c>
      <c r="L277" s="11">
        <v>1</v>
      </c>
      <c r="M277" s="14">
        <v>16500.0</v>
      </c>
      <c r="N277" s="14"/>
      <c r="O277" s="16">
        <f>IF(M277&gt;0, N277/M277, 0)</f>
        <v>0</v>
      </c>
      <c r="P277" s="14">
        <f>M277-N277</f>
        <v>16500</v>
      </c>
      <c r="Q277" s="14">
        <f>L277*M277</f>
        <v>16500</v>
      </c>
      <c r="R277" s="14">
        <f>L277*N277</f>
        <v>0</v>
      </c>
      <c r="S277" s="14">
        <f>L277*P277</f>
        <v>16500</v>
      </c>
      <c r="T277" s="14"/>
      <c r="U277" s="14">
        <f>L277*T277</f>
        <v>0</v>
      </c>
      <c r="V277" s="14">
        <f>S277-U277</f>
        <v>16500</v>
      </c>
      <c r="W277" s="16">
        <f>IF(S277&gt;0, V277/S277, 0)</f>
        <v>1</v>
      </c>
      <c r="X277" s="7" t="s">
        <v>39</v>
      </c>
      <c r="Y277" s="9" t="s">
        <v>40</v>
      </c>
      <c r="Z277" s="9" t="s">
        <v>41</v>
      </c>
      <c r="AA277" s="9" t="s">
        <v>42</v>
      </c>
      <c r="AB277" s="7" t="s">
        <v>42</v>
      </c>
    </row>
    <row r="278" spans="1:28">
      <c r="A278" s="8">
        <v>271</v>
      </c>
      <c r="B278" s="8" t="s">
        <v>494</v>
      </c>
      <c r="C278" s="8" t="s">
        <v>487</v>
      </c>
      <c r="D278" s="8" t="s">
        <v>198</v>
      </c>
      <c r="E278" s="8" t="s">
        <v>33</v>
      </c>
      <c r="F278" s="6" t="s">
        <v>34</v>
      </c>
      <c r="G278" s="6" t="s">
        <v>51</v>
      </c>
      <c r="H278" s="6" t="s">
        <v>51</v>
      </c>
      <c r="I278" s="8">
        <v>164</v>
      </c>
      <c r="J278" s="8" t="s">
        <v>61</v>
      </c>
      <c r="K278" s="8" t="s">
        <v>38</v>
      </c>
      <c r="L278" s="10">
        <v>1</v>
      </c>
      <c r="M278" s="13">
        <v>8500.0</v>
      </c>
      <c r="N278" s="13"/>
      <c r="O278" s="15">
        <f>IF(M278&gt;0, N278/M278, 0)</f>
        <v>0</v>
      </c>
      <c r="P278" s="13">
        <f>M278-N278</f>
        <v>8500</v>
      </c>
      <c r="Q278" s="13">
        <f>L278*M278</f>
        <v>8500</v>
      </c>
      <c r="R278" s="13">
        <f>L278*N278</f>
        <v>0</v>
      </c>
      <c r="S278" s="13">
        <f>L278*P278</f>
        <v>8500</v>
      </c>
      <c r="T278" s="13"/>
      <c r="U278" s="13">
        <f>L278*T278</f>
        <v>0</v>
      </c>
      <c r="V278" s="13">
        <f>S278-U278</f>
        <v>8500</v>
      </c>
      <c r="W278" s="15">
        <f>IF(S278&gt;0, V278/S278, 0)</f>
        <v>1</v>
      </c>
      <c r="X278" s="6" t="s">
        <v>39</v>
      </c>
      <c r="Y278" s="8" t="s">
        <v>40</v>
      </c>
      <c r="Z278" s="8" t="s">
        <v>41</v>
      </c>
      <c r="AA278" s="8" t="s">
        <v>42</v>
      </c>
      <c r="AB278" s="6" t="s">
        <v>42</v>
      </c>
    </row>
    <row r="279" spans="1:28">
      <c r="A279" s="9">
        <v>272</v>
      </c>
      <c r="B279" s="9" t="s">
        <v>495</v>
      </c>
      <c r="C279" s="9" t="s">
        <v>496</v>
      </c>
      <c r="D279" s="9" t="s">
        <v>198</v>
      </c>
      <c r="E279" s="9" t="s">
        <v>68</v>
      </c>
      <c r="F279" s="7" t="s">
        <v>50</v>
      </c>
      <c r="G279" s="7" t="s">
        <v>63</v>
      </c>
      <c r="H279" s="7" t="s">
        <v>148</v>
      </c>
      <c r="I279" s="9">
        <v>146</v>
      </c>
      <c r="J279" s="9" t="s">
        <v>167</v>
      </c>
      <c r="K279" s="9" t="s">
        <v>38</v>
      </c>
      <c r="L279" s="11">
        <v>1</v>
      </c>
      <c r="M279" s="14">
        <v>10000.0</v>
      </c>
      <c r="N279" s="14"/>
      <c r="O279" s="16">
        <f>IF(M279&gt;0, N279/M279, 0)</f>
        <v>0</v>
      </c>
      <c r="P279" s="14">
        <f>M279-N279</f>
        <v>10000</v>
      </c>
      <c r="Q279" s="14">
        <f>L279*M279</f>
        <v>10000</v>
      </c>
      <c r="R279" s="14">
        <f>L279*N279</f>
        <v>0</v>
      </c>
      <c r="S279" s="14">
        <f>L279*P279</f>
        <v>10000</v>
      </c>
      <c r="T279" s="14"/>
      <c r="U279" s="14">
        <f>L279*T279</f>
        <v>0</v>
      </c>
      <c r="V279" s="14">
        <f>S279-U279</f>
        <v>10000</v>
      </c>
      <c r="W279" s="16">
        <f>IF(S279&gt;0, V279/S279, 0)</f>
        <v>1</v>
      </c>
      <c r="X279" s="7" t="s">
        <v>39</v>
      </c>
      <c r="Y279" s="9" t="s">
        <v>40</v>
      </c>
      <c r="Z279" s="9" t="s">
        <v>71</v>
      </c>
      <c r="AA279" s="9" t="s">
        <v>42</v>
      </c>
      <c r="AB279" s="7" t="s">
        <v>42</v>
      </c>
    </row>
    <row r="280" spans="1:28">
      <c r="A280" s="8">
        <v>273</v>
      </c>
      <c r="B280" s="8" t="s">
        <v>497</v>
      </c>
      <c r="C280" s="8" t="s">
        <v>496</v>
      </c>
      <c r="D280" s="8" t="s">
        <v>198</v>
      </c>
      <c r="E280" s="8" t="s">
        <v>33</v>
      </c>
      <c r="F280" s="6" t="s">
        <v>50</v>
      </c>
      <c r="G280" s="6" t="s">
        <v>35</v>
      </c>
      <c r="H280" s="6" t="s">
        <v>36</v>
      </c>
      <c r="I280" s="8">
        <v>152</v>
      </c>
      <c r="J280" s="8" t="s">
        <v>151</v>
      </c>
      <c r="K280" s="8" t="s">
        <v>53</v>
      </c>
      <c r="L280" s="10">
        <v>1</v>
      </c>
      <c r="M280" s="13">
        <v>7000.0</v>
      </c>
      <c r="N280" s="13"/>
      <c r="O280" s="15">
        <f>IF(M280&gt;0, N280/M280, 0)</f>
        <v>0</v>
      </c>
      <c r="P280" s="13">
        <f>M280-N280</f>
        <v>7000</v>
      </c>
      <c r="Q280" s="13">
        <f>L280*M280</f>
        <v>7000</v>
      </c>
      <c r="R280" s="13">
        <f>L280*N280</f>
        <v>0</v>
      </c>
      <c r="S280" s="13">
        <f>L280*P280</f>
        <v>7000</v>
      </c>
      <c r="T280" s="13"/>
      <c r="U280" s="13">
        <f>L280*T280</f>
        <v>0</v>
      </c>
      <c r="V280" s="13">
        <f>S280-U280</f>
        <v>7000</v>
      </c>
      <c r="W280" s="15">
        <f>IF(S280&gt;0, V280/S280, 0)</f>
        <v>1</v>
      </c>
      <c r="X280" s="6" t="s">
        <v>39</v>
      </c>
      <c r="Y280" s="8" t="s">
        <v>40</v>
      </c>
      <c r="Z280" s="8" t="s">
        <v>41</v>
      </c>
      <c r="AA280" s="8" t="s">
        <v>42</v>
      </c>
      <c r="AB280" s="6" t="s">
        <v>42</v>
      </c>
    </row>
    <row r="281" spans="1:28">
      <c r="A281" s="9">
        <v>274</v>
      </c>
      <c r="B281" s="9" t="s">
        <v>498</v>
      </c>
      <c r="C281" s="9" t="s">
        <v>496</v>
      </c>
      <c r="D281" s="9" t="s">
        <v>198</v>
      </c>
      <c r="E281" s="9" t="s">
        <v>33</v>
      </c>
      <c r="F281" s="7" t="s">
        <v>50</v>
      </c>
      <c r="G281" s="7" t="s">
        <v>35</v>
      </c>
      <c r="H281" s="7" t="s">
        <v>36</v>
      </c>
      <c r="I281" s="9">
        <v>146</v>
      </c>
      <c r="J281" s="9" t="s">
        <v>257</v>
      </c>
      <c r="K281" s="9" t="s">
        <v>53</v>
      </c>
      <c r="L281" s="11">
        <v>1</v>
      </c>
      <c r="M281" s="14">
        <v>7000.0</v>
      </c>
      <c r="N281" s="14"/>
      <c r="O281" s="16">
        <f>IF(M281&gt;0, N281/M281, 0)</f>
        <v>0</v>
      </c>
      <c r="P281" s="14">
        <f>M281-N281</f>
        <v>7000</v>
      </c>
      <c r="Q281" s="14">
        <f>L281*M281</f>
        <v>7000</v>
      </c>
      <c r="R281" s="14">
        <f>L281*N281</f>
        <v>0</v>
      </c>
      <c r="S281" s="14">
        <f>L281*P281</f>
        <v>7000</v>
      </c>
      <c r="T281" s="14"/>
      <c r="U281" s="14">
        <f>L281*T281</f>
        <v>0</v>
      </c>
      <c r="V281" s="14">
        <f>S281-U281</f>
        <v>7000</v>
      </c>
      <c r="W281" s="16">
        <f>IF(S281&gt;0, V281/S281, 0)</f>
        <v>1</v>
      </c>
      <c r="X281" s="7" t="s">
        <v>39</v>
      </c>
      <c r="Y281" s="9" t="s">
        <v>40</v>
      </c>
      <c r="Z281" s="9" t="s">
        <v>41</v>
      </c>
      <c r="AA281" s="9" t="s">
        <v>42</v>
      </c>
      <c r="AB281" s="7" t="s">
        <v>42</v>
      </c>
    </row>
    <row r="282" spans="1:28">
      <c r="A282" s="8">
        <v>275</v>
      </c>
      <c r="B282" s="8" t="s">
        <v>499</v>
      </c>
      <c r="C282" s="8" t="s">
        <v>496</v>
      </c>
      <c r="D282" s="8" t="s">
        <v>198</v>
      </c>
      <c r="E282" s="8" t="s">
        <v>33</v>
      </c>
      <c r="F282" s="6" t="s">
        <v>50</v>
      </c>
      <c r="G282" s="6" t="s">
        <v>51</v>
      </c>
      <c r="H282" s="6" t="s">
        <v>51</v>
      </c>
      <c r="I282" s="8">
        <v>152</v>
      </c>
      <c r="J282" s="8" t="s">
        <v>402</v>
      </c>
      <c r="K282" s="8" t="s">
        <v>53</v>
      </c>
      <c r="L282" s="10">
        <v>1</v>
      </c>
      <c r="M282" s="13">
        <v>8000.0</v>
      </c>
      <c r="N282" s="13"/>
      <c r="O282" s="15">
        <f>IF(M282&gt;0, N282/M282, 0)</f>
        <v>0</v>
      </c>
      <c r="P282" s="13">
        <f>M282-N282</f>
        <v>8000</v>
      </c>
      <c r="Q282" s="13">
        <f>L282*M282</f>
        <v>8000</v>
      </c>
      <c r="R282" s="13">
        <f>L282*N282</f>
        <v>0</v>
      </c>
      <c r="S282" s="13">
        <f>L282*P282</f>
        <v>8000</v>
      </c>
      <c r="T282" s="13"/>
      <c r="U282" s="13">
        <f>L282*T282</f>
        <v>0</v>
      </c>
      <c r="V282" s="13">
        <f>S282-U282</f>
        <v>8000</v>
      </c>
      <c r="W282" s="15">
        <f>IF(S282&gt;0, V282/S282, 0)</f>
        <v>1</v>
      </c>
      <c r="X282" s="6" t="s">
        <v>39</v>
      </c>
      <c r="Y282" s="8" t="s">
        <v>40</v>
      </c>
      <c r="Z282" s="8" t="s">
        <v>41</v>
      </c>
      <c r="AA282" s="8" t="s">
        <v>42</v>
      </c>
      <c r="AB282" s="6" t="s">
        <v>42</v>
      </c>
    </row>
    <row r="283" spans="1:28">
      <c r="A283" s="9">
        <v>276</v>
      </c>
      <c r="B283" s="9" t="s">
        <v>500</v>
      </c>
      <c r="C283" s="9" t="s">
        <v>496</v>
      </c>
      <c r="D283" s="9" t="s">
        <v>198</v>
      </c>
      <c r="E283" s="9" t="s">
        <v>33</v>
      </c>
      <c r="F283" s="7" t="s">
        <v>50</v>
      </c>
      <c r="G283" s="7" t="s">
        <v>35</v>
      </c>
      <c r="H283" s="7" t="s">
        <v>36</v>
      </c>
      <c r="I283" s="9">
        <v>152</v>
      </c>
      <c r="J283" s="9" t="s">
        <v>151</v>
      </c>
      <c r="K283" s="9" t="s">
        <v>53</v>
      </c>
      <c r="L283" s="11">
        <v>1</v>
      </c>
      <c r="M283" s="14">
        <v>7000.0</v>
      </c>
      <c r="N283" s="14"/>
      <c r="O283" s="16">
        <f>IF(M283&gt;0, N283/M283, 0)</f>
        <v>0</v>
      </c>
      <c r="P283" s="14">
        <f>M283-N283</f>
        <v>7000</v>
      </c>
      <c r="Q283" s="14">
        <f>L283*M283</f>
        <v>7000</v>
      </c>
      <c r="R283" s="14">
        <f>L283*N283</f>
        <v>0</v>
      </c>
      <c r="S283" s="14">
        <f>L283*P283</f>
        <v>7000</v>
      </c>
      <c r="T283" s="14"/>
      <c r="U283" s="14">
        <f>L283*T283</f>
        <v>0</v>
      </c>
      <c r="V283" s="14">
        <f>S283-U283</f>
        <v>7000</v>
      </c>
      <c r="W283" s="16">
        <f>IF(S283&gt;0, V283/S283, 0)</f>
        <v>1</v>
      </c>
      <c r="X283" s="7" t="s">
        <v>39</v>
      </c>
      <c r="Y283" s="9" t="s">
        <v>40</v>
      </c>
      <c r="Z283" s="9" t="s">
        <v>41</v>
      </c>
      <c r="AA283" s="9" t="s">
        <v>42</v>
      </c>
      <c r="AB283" s="7" t="s">
        <v>42</v>
      </c>
    </row>
    <row r="284" spans="1:28">
      <c r="A284" s="8">
        <v>277</v>
      </c>
      <c r="B284" s="8" t="s">
        <v>501</v>
      </c>
      <c r="C284" s="8" t="s">
        <v>496</v>
      </c>
      <c r="D284" s="8" t="s">
        <v>198</v>
      </c>
      <c r="E284" s="8" t="s">
        <v>33</v>
      </c>
      <c r="F284" s="6" t="s">
        <v>34</v>
      </c>
      <c r="G284" s="6" t="s">
        <v>56</v>
      </c>
      <c r="H284" s="6" t="s">
        <v>56</v>
      </c>
      <c r="I284" s="8">
        <v>164</v>
      </c>
      <c r="J284" s="8" t="s">
        <v>57</v>
      </c>
      <c r="K284" s="8" t="s">
        <v>38</v>
      </c>
      <c r="L284" s="10">
        <v>1</v>
      </c>
      <c r="M284" s="13">
        <v>7500.0</v>
      </c>
      <c r="N284" s="13"/>
      <c r="O284" s="15">
        <f>IF(M284&gt;0, N284/M284, 0)</f>
        <v>0</v>
      </c>
      <c r="P284" s="13">
        <f>M284-N284</f>
        <v>7500</v>
      </c>
      <c r="Q284" s="13">
        <f>L284*M284</f>
        <v>7500</v>
      </c>
      <c r="R284" s="13">
        <f>L284*N284</f>
        <v>0</v>
      </c>
      <c r="S284" s="13">
        <f>L284*P284</f>
        <v>7500</v>
      </c>
      <c r="T284" s="13"/>
      <c r="U284" s="13">
        <f>L284*T284</f>
        <v>0</v>
      </c>
      <c r="V284" s="13">
        <f>S284-U284</f>
        <v>7500</v>
      </c>
      <c r="W284" s="15">
        <f>IF(S284&gt;0, V284/S284, 0)</f>
        <v>1</v>
      </c>
      <c r="X284" s="6" t="s">
        <v>39</v>
      </c>
      <c r="Y284" s="8" t="s">
        <v>40</v>
      </c>
      <c r="Z284" s="8" t="s">
        <v>41</v>
      </c>
      <c r="AA284" s="8" t="s">
        <v>42</v>
      </c>
      <c r="AB284" s="6" t="s">
        <v>42</v>
      </c>
    </row>
    <row r="285" spans="1:28">
      <c r="A285" s="9">
        <v>278</v>
      </c>
      <c r="B285" s="9" t="s">
        <v>502</v>
      </c>
      <c r="C285" s="9" t="s">
        <v>496</v>
      </c>
      <c r="D285" s="9" t="s">
        <v>198</v>
      </c>
      <c r="E285" s="9" t="s">
        <v>33</v>
      </c>
      <c r="F285" s="7" t="s">
        <v>34</v>
      </c>
      <c r="G285" s="7" t="s">
        <v>51</v>
      </c>
      <c r="H285" s="7" t="s">
        <v>51</v>
      </c>
      <c r="I285" s="9">
        <v>176</v>
      </c>
      <c r="J285" s="9" t="s">
        <v>418</v>
      </c>
      <c r="K285" s="9" t="s">
        <v>38</v>
      </c>
      <c r="L285" s="11">
        <v>1</v>
      </c>
      <c r="M285" s="14">
        <v>8500.0</v>
      </c>
      <c r="N285" s="14"/>
      <c r="O285" s="16">
        <f>IF(M285&gt;0, N285/M285, 0)</f>
        <v>0</v>
      </c>
      <c r="P285" s="14">
        <f>M285-N285</f>
        <v>8500</v>
      </c>
      <c r="Q285" s="14">
        <f>L285*M285</f>
        <v>8500</v>
      </c>
      <c r="R285" s="14">
        <f>L285*N285</f>
        <v>0</v>
      </c>
      <c r="S285" s="14">
        <f>L285*P285</f>
        <v>8500</v>
      </c>
      <c r="T285" s="14"/>
      <c r="U285" s="14">
        <f>L285*T285</f>
        <v>0</v>
      </c>
      <c r="V285" s="14">
        <f>S285-U285</f>
        <v>8500</v>
      </c>
      <c r="W285" s="16">
        <f>IF(S285&gt;0, V285/S285, 0)</f>
        <v>1</v>
      </c>
      <c r="X285" s="7" t="s">
        <v>39</v>
      </c>
      <c r="Y285" s="9" t="s">
        <v>40</v>
      </c>
      <c r="Z285" s="9" t="s">
        <v>41</v>
      </c>
      <c r="AA285" s="9" t="s">
        <v>42</v>
      </c>
      <c r="AB285" s="7" t="s">
        <v>42</v>
      </c>
    </row>
    <row r="286" spans="1:28">
      <c r="A286" s="8">
        <v>279</v>
      </c>
      <c r="B286" s="8" t="s">
        <v>503</v>
      </c>
      <c r="C286" s="8" t="s">
        <v>496</v>
      </c>
      <c r="D286" s="8" t="s">
        <v>198</v>
      </c>
      <c r="E286" s="8" t="s">
        <v>33</v>
      </c>
      <c r="F286" s="6" t="s">
        <v>34</v>
      </c>
      <c r="G286" s="6" t="s">
        <v>45</v>
      </c>
      <c r="H286" s="6" t="s">
        <v>46</v>
      </c>
      <c r="I286" s="8">
        <v>176</v>
      </c>
      <c r="J286" s="8" t="s">
        <v>424</v>
      </c>
      <c r="K286" s="8" t="s">
        <v>38</v>
      </c>
      <c r="L286" s="10">
        <v>1</v>
      </c>
      <c r="M286" s="13">
        <v>18000.0</v>
      </c>
      <c r="N286" s="13"/>
      <c r="O286" s="15">
        <f>IF(M286&gt;0, N286/M286, 0)</f>
        <v>0</v>
      </c>
      <c r="P286" s="13">
        <f>M286-N286</f>
        <v>18000</v>
      </c>
      <c r="Q286" s="13">
        <f>L286*M286</f>
        <v>18000</v>
      </c>
      <c r="R286" s="13">
        <f>L286*N286</f>
        <v>0</v>
      </c>
      <c r="S286" s="13">
        <f>L286*P286</f>
        <v>18000</v>
      </c>
      <c r="T286" s="13"/>
      <c r="U286" s="13">
        <f>L286*T286</f>
        <v>0</v>
      </c>
      <c r="V286" s="13">
        <f>S286-U286</f>
        <v>18000</v>
      </c>
      <c r="W286" s="15">
        <f>IF(S286&gt;0, V286/S286, 0)</f>
        <v>1</v>
      </c>
      <c r="X286" s="6" t="s">
        <v>39</v>
      </c>
      <c r="Y286" s="8" t="s">
        <v>40</v>
      </c>
      <c r="Z286" s="8" t="s">
        <v>41</v>
      </c>
      <c r="AA286" s="8" t="s">
        <v>42</v>
      </c>
      <c r="AB286" s="6" t="s">
        <v>42</v>
      </c>
    </row>
    <row r="287" spans="1:28">
      <c r="A287" s="9">
        <v>280</v>
      </c>
      <c r="B287" s="9" t="s">
        <v>504</v>
      </c>
      <c r="C287" s="9" t="s">
        <v>496</v>
      </c>
      <c r="D287" s="9" t="s">
        <v>198</v>
      </c>
      <c r="E287" s="9" t="s">
        <v>33</v>
      </c>
      <c r="F287" s="7" t="s">
        <v>34</v>
      </c>
      <c r="G287" s="7" t="s">
        <v>69</v>
      </c>
      <c r="H287" s="7" t="s">
        <v>69</v>
      </c>
      <c r="I287" s="9">
        <v>170</v>
      </c>
      <c r="J287" s="9" t="s">
        <v>179</v>
      </c>
      <c r="K287" s="9" t="s">
        <v>38</v>
      </c>
      <c r="L287" s="11">
        <v>1</v>
      </c>
      <c r="M287" s="14">
        <v>16500.0</v>
      </c>
      <c r="N287" s="14"/>
      <c r="O287" s="16">
        <f>IF(M287&gt;0, N287/M287, 0)</f>
        <v>0</v>
      </c>
      <c r="P287" s="14">
        <f>M287-N287</f>
        <v>16500</v>
      </c>
      <c r="Q287" s="14">
        <f>L287*M287</f>
        <v>16500</v>
      </c>
      <c r="R287" s="14">
        <f>L287*N287</f>
        <v>0</v>
      </c>
      <c r="S287" s="14">
        <f>L287*P287</f>
        <v>16500</v>
      </c>
      <c r="T287" s="14"/>
      <c r="U287" s="14">
        <f>L287*T287</f>
        <v>0</v>
      </c>
      <c r="V287" s="14">
        <f>S287-U287</f>
        <v>16500</v>
      </c>
      <c r="W287" s="16">
        <f>IF(S287&gt;0, V287/S287, 0)</f>
        <v>1</v>
      </c>
      <c r="X287" s="7" t="s">
        <v>39</v>
      </c>
      <c r="Y287" s="9" t="s">
        <v>40</v>
      </c>
      <c r="Z287" s="9" t="s">
        <v>41</v>
      </c>
      <c r="AA287" s="9" t="s">
        <v>42</v>
      </c>
      <c r="AB287" s="7" t="s">
        <v>42</v>
      </c>
    </row>
    <row r="288" spans="1:28">
      <c r="A288" s="8">
        <v>281</v>
      </c>
      <c r="B288" s="8" t="s">
        <v>505</v>
      </c>
      <c r="C288" s="8" t="s">
        <v>496</v>
      </c>
      <c r="D288" s="8" t="s">
        <v>198</v>
      </c>
      <c r="E288" s="8" t="s">
        <v>33</v>
      </c>
      <c r="F288" s="6" t="s">
        <v>34</v>
      </c>
      <c r="G288" s="6" t="s">
        <v>63</v>
      </c>
      <c r="H288" s="6" t="s">
        <v>148</v>
      </c>
      <c r="I288" s="8">
        <v>176</v>
      </c>
      <c r="J288" s="8" t="s">
        <v>233</v>
      </c>
      <c r="K288" s="8" t="s">
        <v>38</v>
      </c>
      <c r="L288" s="10">
        <v>2</v>
      </c>
      <c r="M288" s="13">
        <v>9500.0</v>
      </c>
      <c r="N288" s="13"/>
      <c r="O288" s="15">
        <f>IF(M288&gt;0, N288/M288, 0)</f>
        <v>0</v>
      </c>
      <c r="P288" s="13">
        <f>M288-N288</f>
        <v>9500</v>
      </c>
      <c r="Q288" s="13">
        <f>L288*M288</f>
        <v>19000</v>
      </c>
      <c r="R288" s="13">
        <f>L288*N288</f>
        <v>0</v>
      </c>
      <c r="S288" s="13">
        <f>L288*P288</f>
        <v>19000</v>
      </c>
      <c r="T288" s="13"/>
      <c r="U288" s="13">
        <f>L288*T288</f>
        <v>0</v>
      </c>
      <c r="V288" s="13">
        <f>S288-U288</f>
        <v>19000</v>
      </c>
      <c r="W288" s="15">
        <f>IF(S288&gt;0, V288/S288, 0)</f>
        <v>1</v>
      </c>
      <c r="X288" s="6" t="s">
        <v>39</v>
      </c>
      <c r="Y288" s="8" t="s">
        <v>40</v>
      </c>
      <c r="Z288" s="8" t="s">
        <v>41</v>
      </c>
      <c r="AA288" s="8" t="s">
        <v>42</v>
      </c>
      <c r="AB288" s="6" t="s">
        <v>42</v>
      </c>
    </row>
    <row r="289" spans="1:28">
      <c r="A289" s="9">
        <v>282</v>
      </c>
      <c r="B289" s="9" t="s">
        <v>506</v>
      </c>
      <c r="C289" s="9" t="s">
        <v>496</v>
      </c>
      <c r="D289" s="9" t="s">
        <v>198</v>
      </c>
      <c r="E289" s="9" t="s">
        <v>33</v>
      </c>
      <c r="F289" s="7" t="s">
        <v>34</v>
      </c>
      <c r="G289" s="7" t="s">
        <v>35</v>
      </c>
      <c r="H289" s="7" t="s">
        <v>73</v>
      </c>
      <c r="I289" s="9">
        <v>176</v>
      </c>
      <c r="J289" s="9" t="s">
        <v>420</v>
      </c>
      <c r="K289" s="9" t="s">
        <v>38</v>
      </c>
      <c r="L289" s="11">
        <v>2</v>
      </c>
      <c r="M289" s="14">
        <v>9000.0</v>
      </c>
      <c r="N289" s="14"/>
      <c r="O289" s="16">
        <f>IF(M289&gt;0, N289/M289, 0)</f>
        <v>0</v>
      </c>
      <c r="P289" s="14">
        <f>M289-N289</f>
        <v>9000</v>
      </c>
      <c r="Q289" s="14">
        <f>L289*M289</f>
        <v>18000</v>
      </c>
      <c r="R289" s="14">
        <f>L289*N289</f>
        <v>0</v>
      </c>
      <c r="S289" s="14">
        <f>L289*P289</f>
        <v>18000</v>
      </c>
      <c r="T289" s="14"/>
      <c r="U289" s="14">
        <f>L289*T289</f>
        <v>0</v>
      </c>
      <c r="V289" s="14">
        <f>S289-U289</f>
        <v>18000</v>
      </c>
      <c r="W289" s="16">
        <f>IF(S289&gt;0, V289/S289, 0)</f>
        <v>1</v>
      </c>
      <c r="X289" s="7" t="s">
        <v>39</v>
      </c>
      <c r="Y289" s="9" t="s">
        <v>40</v>
      </c>
      <c r="Z289" s="9" t="s">
        <v>41</v>
      </c>
      <c r="AA289" s="9" t="s">
        <v>42</v>
      </c>
      <c r="AB289" s="7" t="s">
        <v>42</v>
      </c>
    </row>
    <row r="290" spans="1:28">
      <c r="A290" s="8">
        <v>283</v>
      </c>
      <c r="B290" s="8" t="s">
        <v>507</v>
      </c>
      <c r="C290" s="8" t="s">
        <v>496</v>
      </c>
      <c r="D290" s="8" t="s">
        <v>198</v>
      </c>
      <c r="E290" s="8" t="s">
        <v>33</v>
      </c>
      <c r="F290" s="6" t="s">
        <v>34</v>
      </c>
      <c r="G290" s="6" t="s">
        <v>35</v>
      </c>
      <c r="H290" s="6" t="s">
        <v>36</v>
      </c>
      <c r="I290" s="8">
        <v>176</v>
      </c>
      <c r="J290" s="8" t="s">
        <v>352</v>
      </c>
      <c r="K290" s="8" t="s">
        <v>38</v>
      </c>
      <c r="L290" s="10">
        <v>2</v>
      </c>
      <c r="M290" s="13">
        <v>8000.0</v>
      </c>
      <c r="N290" s="13"/>
      <c r="O290" s="15">
        <f>IF(M290&gt;0, N290/M290, 0)</f>
        <v>0</v>
      </c>
      <c r="P290" s="13">
        <f>M290-N290</f>
        <v>8000</v>
      </c>
      <c r="Q290" s="13">
        <f>L290*M290</f>
        <v>16000</v>
      </c>
      <c r="R290" s="13">
        <f>L290*N290</f>
        <v>0</v>
      </c>
      <c r="S290" s="13">
        <f>L290*P290</f>
        <v>16000</v>
      </c>
      <c r="T290" s="13"/>
      <c r="U290" s="13">
        <f>L290*T290</f>
        <v>0</v>
      </c>
      <c r="V290" s="13">
        <f>S290-U290</f>
        <v>16000</v>
      </c>
      <c r="W290" s="15">
        <f>IF(S290&gt;0, V290/S290, 0)</f>
        <v>1</v>
      </c>
      <c r="X290" s="6" t="s">
        <v>39</v>
      </c>
      <c r="Y290" s="8" t="s">
        <v>40</v>
      </c>
      <c r="Z290" s="8" t="s">
        <v>41</v>
      </c>
      <c r="AA290" s="8" t="s">
        <v>42</v>
      </c>
      <c r="AB290" s="6" t="s">
        <v>42</v>
      </c>
    </row>
    <row r="291" spans="1:28">
      <c r="A291" s="9">
        <v>284</v>
      </c>
      <c r="B291" s="9" t="s">
        <v>508</v>
      </c>
      <c r="C291" s="9" t="s">
        <v>509</v>
      </c>
      <c r="D291" s="9" t="s">
        <v>198</v>
      </c>
      <c r="E291" s="9" t="s">
        <v>33</v>
      </c>
      <c r="F291" s="7" t="s">
        <v>34</v>
      </c>
      <c r="G291" s="7" t="s">
        <v>63</v>
      </c>
      <c r="H291" s="7" t="s">
        <v>148</v>
      </c>
      <c r="I291" s="9">
        <v>176</v>
      </c>
      <c r="J291" s="9" t="s">
        <v>233</v>
      </c>
      <c r="K291" s="9" t="s">
        <v>38</v>
      </c>
      <c r="L291" s="11">
        <v>1</v>
      </c>
      <c r="M291" s="14">
        <v>9500.0</v>
      </c>
      <c r="N291" s="14"/>
      <c r="O291" s="16">
        <f>IF(M291&gt;0, N291/M291, 0)</f>
        <v>0</v>
      </c>
      <c r="P291" s="14">
        <f>M291-N291</f>
        <v>9500</v>
      </c>
      <c r="Q291" s="14">
        <f>L291*M291</f>
        <v>9500</v>
      </c>
      <c r="R291" s="14">
        <f>L291*N291</f>
        <v>0</v>
      </c>
      <c r="S291" s="14">
        <f>L291*P291</f>
        <v>9500</v>
      </c>
      <c r="T291" s="14"/>
      <c r="U291" s="14">
        <f>L291*T291</f>
        <v>0</v>
      </c>
      <c r="V291" s="14">
        <f>S291-U291</f>
        <v>9500</v>
      </c>
      <c r="W291" s="16">
        <f>IF(S291&gt;0, V291/S291, 0)</f>
        <v>1</v>
      </c>
      <c r="X291" s="7" t="s">
        <v>39</v>
      </c>
      <c r="Y291" s="9" t="s">
        <v>40</v>
      </c>
      <c r="Z291" s="9" t="s">
        <v>41</v>
      </c>
      <c r="AA291" s="9" t="s">
        <v>42</v>
      </c>
      <c r="AB291" s="7" t="s">
        <v>42</v>
      </c>
    </row>
    <row r="292" spans="1:28">
      <c r="A292" s="8">
        <v>285</v>
      </c>
      <c r="B292" s="8" t="s">
        <v>510</v>
      </c>
      <c r="C292" s="8" t="s">
        <v>509</v>
      </c>
      <c r="D292" s="8" t="s">
        <v>198</v>
      </c>
      <c r="E292" s="8" t="s">
        <v>33</v>
      </c>
      <c r="F292" s="6" t="s">
        <v>34</v>
      </c>
      <c r="G292" s="6" t="s">
        <v>35</v>
      </c>
      <c r="H292" s="6" t="s">
        <v>36</v>
      </c>
      <c r="I292" s="8">
        <v>176</v>
      </c>
      <c r="J292" s="8" t="s">
        <v>352</v>
      </c>
      <c r="K292" s="8" t="s">
        <v>38</v>
      </c>
      <c r="L292" s="10">
        <v>2</v>
      </c>
      <c r="M292" s="13">
        <v>8000.0</v>
      </c>
      <c r="N292" s="13"/>
      <c r="O292" s="15">
        <f>IF(M292&gt;0, N292/M292, 0)</f>
        <v>0</v>
      </c>
      <c r="P292" s="13">
        <f>M292-N292</f>
        <v>8000</v>
      </c>
      <c r="Q292" s="13">
        <f>L292*M292</f>
        <v>16000</v>
      </c>
      <c r="R292" s="13">
        <f>L292*N292</f>
        <v>0</v>
      </c>
      <c r="S292" s="13">
        <f>L292*P292</f>
        <v>16000</v>
      </c>
      <c r="T292" s="13"/>
      <c r="U292" s="13">
        <f>L292*T292</f>
        <v>0</v>
      </c>
      <c r="V292" s="13">
        <f>S292-U292</f>
        <v>16000</v>
      </c>
      <c r="W292" s="15">
        <f>IF(S292&gt;0, V292/S292, 0)</f>
        <v>1</v>
      </c>
      <c r="X292" s="6" t="s">
        <v>39</v>
      </c>
      <c r="Y292" s="8" t="s">
        <v>40</v>
      </c>
      <c r="Z292" s="8" t="s">
        <v>41</v>
      </c>
      <c r="AA292" s="8" t="s">
        <v>42</v>
      </c>
      <c r="AB292" s="6" t="s">
        <v>42</v>
      </c>
    </row>
    <row r="293" spans="1:28">
      <c r="A293" s="9">
        <v>286</v>
      </c>
      <c r="B293" s="9" t="s">
        <v>511</v>
      </c>
      <c r="C293" s="9" t="s">
        <v>509</v>
      </c>
      <c r="D293" s="9" t="s">
        <v>198</v>
      </c>
      <c r="E293" s="9" t="s">
        <v>33</v>
      </c>
      <c r="F293" s="7" t="s">
        <v>34</v>
      </c>
      <c r="G293" s="7" t="s">
        <v>45</v>
      </c>
      <c r="H293" s="7" t="s">
        <v>46</v>
      </c>
      <c r="I293" s="9">
        <v>188</v>
      </c>
      <c r="J293" s="9" t="s">
        <v>512</v>
      </c>
      <c r="K293" s="9" t="s">
        <v>38</v>
      </c>
      <c r="L293" s="11">
        <v>1</v>
      </c>
      <c r="M293" s="14">
        <v>18000.0</v>
      </c>
      <c r="N293" s="14"/>
      <c r="O293" s="16">
        <f>IF(M293&gt;0, N293/M293, 0)</f>
        <v>0</v>
      </c>
      <c r="P293" s="14">
        <f>M293-N293</f>
        <v>18000</v>
      </c>
      <c r="Q293" s="14">
        <f>L293*M293</f>
        <v>18000</v>
      </c>
      <c r="R293" s="14">
        <f>L293*N293</f>
        <v>0</v>
      </c>
      <c r="S293" s="14">
        <f>L293*P293</f>
        <v>18000</v>
      </c>
      <c r="T293" s="14"/>
      <c r="U293" s="14">
        <f>L293*T293</f>
        <v>0</v>
      </c>
      <c r="V293" s="14">
        <f>S293-U293</f>
        <v>18000</v>
      </c>
      <c r="W293" s="16">
        <f>IF(S293&gt;0, V293/S293, 0)</f>
        <v>1</v>
      </c>
      <c r="X293" s="7" t="s">
        <v>39</v>
      </c>
      <c r="Y293" s="9" t="s">
        <v>40</v>
      </c>
      <c r="Z293" s="9" t="s">
        <v>41</v>
      </c>
      <c r="AA293" s="9" t="s">
        <v>42</v>
      </c>
      <c r="AB293" s="7" t="s">
        <v>42</v>
      </c>
    </row>
    <row r="294" spans="1:28">
      <c r="A294" s="8">
        <v>287</v>
      </c>
      <c r="B294" s="8" t="s">
        <v>513</v>
      </c>
      <c r="C294" s="8" t="s">
        <v>509</v>
      </c>
      <c r="D294" s="8" t="s">
        <v>198</v>
      </c>
      <c r="E294" s="8" t="s">
        <v>33</v>
      </c>
      <c r="F294" s="6" t="s">
        <v>34</v>
      </c>
      <c r="G294" s="6" t="s">
        <v>35</v>
      </c>
      <c r="H294" s="6" t="s">
        <v>73</v>
      </c>
      <c r="I294" s="8">
        <v>182</v>
      </c>
      <c r="J294" s="8" t="s">
        <v>354</v>
      </c>
      <c r="K294" s="8" t="s">
        <v>38</v>
      </c>
      <c r="L294" s="10">
        <v>2</v>
      </c>
      <c r="M294" s="13">
        <v>9000.0</v>
      </c>
      <c r="N294" s="13"/>
      <c r="O294" s="15">
        <f>IF(M294&gt;0, N294/M294, 0)</f>
        <v>0</v>
      </c>
      <c r="P294" s="13">
        <f>M294-N294</f>
        <v>9000</v>
      </c>
      <c r="Q294" s="13">
        <f>L294*M294</f>
        <v>18000</v>
      </c>
      <c r="R294" s="13">
        <f>L294*N294</f>
        <v>0</v>
      </c>
      <c r="S294" s="13">
        <f>L294*P294</f>
        <v>18000</v>
      </c>
      <c r="T294" s="13"/>
      <c r="U294" s="13">
        <f>L294*T294</f>
        <v>0</v>
      </c>
      <c r="V294" s="13">
        <f>S294-U294</f>
        <v>18000</v>
      </c>
      <c r="W294" s="15">
        <f>IF(S294&gt;0, V294/S294, 0)</f>
        <v>1</v>
      </c>
      <c r="X294" s="6" t="s">
        <v>39</v>
      </c>
      <c r="Y294" s="8" t="s">
        <v>40</v>
      </c>
      <c r="Z294" s="8" t="s">
        <v>41</v>
      </c>
      <c r="AA294" s="8" t="s">
        <v>42</v>
      </c>
      <c r="AB294" s="6" t="s">
        <v>42</v>
      </c>
    </row>
    <row r="295" spans="1:28">
      <c r="A295" s="9">
        <v>288</v>
      </c>
      <c r="B295" s="9" t="s">
        <v>514</v>
      </c>
      <c r="C295" s="9" t="s">
        <v>515</v>
      </c>
      <c r="D295" s="9" t="s">
        <v>198</v>
      </c>
      <c r="E295" s="9" t="s">
        <v>33</v>
      </c>
      <c r="F295" s="7" t="s">
        <v>50</v>
      </c>
      <c r="G295" s="7" t="s">
        <v>51</v>
      </c>
      <c r="H295" s="7" t="s">
        <v>51</v>
      </c>
      <c r="I295" s="9">
        <v>134</v>
      </c>
      <c r="J295" s="9" t="s">
        <v>175</v>
      </c>
      <c r="K295" s="9" t="s">
        <v>53</v>
      </c>
      <c r="L295" s="11">
        <v>1</v>
      </c>
      <c r="M295" s="14">
        <v>8000.0</v>
      </c>
      <c r="N295" s="14"/>
      <c r="O295" s="16">
        <f>IF(M295&gt;0, N295/M295, 0)</f>
        <v>0</v>
      </c>
      <c r="P295" s="14">
        <f>M295-N295</f>
        <v>8000</v>
      </c>
      <c r="Q295" s="14">
        <f>L295*M295</f>
        <v>8000</v>
      </c>
      <c r="R295" s="14">
        <f>L295*N295</f>
        <v>0</v>
      </c>
      <c r="S295" s="14">
        <f>L295*P295</f>
        <v>8000</v>
      </c>
      <c r="T295" s="14"/>
      <c r="U295" s="14">
        <f>L295*T295</f>
        <v>0</v>
      </c>
      <c r="V295" s="14">
        <f>S295-U295</f>
        <v>8000</v>
      </c>
      <c r="W295" s="16">
        <f>IF(S295&gt;0, V295/S295, 0)</f>
        <v>1</v>
      </c>
      <c r="X295" s="7" t="s">
        <v>39</v>
      </c>
      <c r="Y295" s="9" t="s">
        <v>40</v>
      </c>
      <c r="Z295" s="9" t="s">
        <v>41</v>
      </c>
      <c r="AA295" s="9" t="s">
        <v>42</v>
      </c>
      <c r="AB295" s="7" t="s">
        <v>42</v>
      </c>
    </row>
    <row r="296" spans="1:28">
      <c r="A296" s="8">
        <v>289</v>
      </c>
      <c r="B296" s="8" t="s">
        <v>516</v>
      </c>
      <c r="C296" s="8" t="s">
        <v>517</v>
      </c>
      <c r="D296" s="8" t="s">
        <v>198</v>
      </c>
      <c r="E296" s="8" t="s">
        <v>68</v>
      </c>
      <c r="F296" s="6" t="s">
        <v>34</v>
      </c>
      <c r="G296" s="6" t="s">
        <v>69</v>
      </c>
      <c r="H296" s="6" t="s">
        <v>69</v>
      </c>
      <c r="I296" s="8">
        <v>176</v>
      </c>
      <c r="J296" s="8" t="s">
        <v>203</v>
      </c>
      <c r="K296" s="8" t="s">
        <v>38</v>
      </c>
      <c r="L296" s="10">
        <v>1</v>
      </c>
      <c r="M296" s="13">
        <v>17000.0</v>
      </c>
      <c r="N296" s="13"/>
      <c r="O296" s="15">
        <f>IF(M296&gt;0, N296/M296, 0)</f>
        <v>0</v>
      </c>
      <c r="P296" s="13">
        <f>M296-N296</f>
        <v>17000</v>
      </c>
      <c r="Q296" s="13">
        <f>L296*M296</f>
        <v>17000</v>
      </c>
      <c r="R296" s="13">
        <f>L296*N296</f>
        <v>0</v>
      </c>
      <c r="S296" s="13">
        <f>L296*P296</f>
        <v>17000</v>
      </c>
      <c r="T296" s="13"/>
      <c r="U296" s="13">
        <f>L296*T296</f>
        <v>0</v>
      </c>
      <c r="V296" s="13">
        <f>S296-U296</f>
        <v>17000</v>
      </c>
      <c r="W296" s="15">
        <f>IF(S296&gt;0, V296/S296, 0)</f>
        <v>1</v>
      </c>
      <c r="X296" s="6" t="s">
        <v>39</v>
      </c>
      <c r="Y296" s="8" t="s">
        <v>40</v>
      </c>
      <c r="Z296" s="8" t="s">
        <v>71</v>
      </c>
      <c r="AA296" s="8" t="s">
        <v>42</v>
      </c>
      <c r="AB296" s="6" t="s">
        <v>42</v>
      </c>
    </row>
    <row r="297" spans="1:28">
      <c r="A297" s="9">
        <v>290</v>
      </c>
      <c r="B297" s="9" t="s">
        <v>518</v>
      </c>
      <c r="C297" s="9" t="s">
        <v>517</v>
      </c>
      <c r="D297" s="9" t="s">
        <v>198</v>
      </c>
      <c r="E297" s="9" t="s">
        <v>33</v>
      </c>
      <c r="F297" s="7" t="s">
        <v>34</v>
      </c>
      <c r="G297" s="7" t="s">
        <v>51</v>
      </c>
      <c r="H297" s="7" t="s">
        <v>51</v>
      </c>
      <c r="I297" s="9">
        <v>176</v>
      </c>
      <c r="J297" s="9" t="s">
        <v>418</v>
      </c>
      <c r="K297" s="9" t="s">
        <v>38</v>
      </c>
      <c r="L297" s="11">
        <v>1</v>
      </c>
      <c r="M297" s="14">
        <v>8500.0</v>
      </c>
      <c r="N297" s="14"/>
      <c r="O297" s="16">
        <f>IF(M297&gt;0, N297/M297, 0)</f>
        <v>0</v>
      </c>
      <c r="P297" s="14">
        <f>M297-N297</f>
        <v>8500</v>
      </c>
      <c r="Q297" s="14">
        <f>L297*M297</f>
        <v>8500</v>
      </c>
      <c r="R297" s="14">
        <f>L297*N297</f>
        <v>0</v>
      </c>
      <c r="S297" s="14">
        <f>L297*P297</f>
        <v>8500</v>
      </c>
      <c r="T297" s="14"/>
      <c r="U297" s="14">
        <f>L297*T297</f>
        <v>0</v>
      </c>
      <c r="V297" s="14">
        <f>S297-U297</f>
        <v>8500</v>
      </c>
      <c r="W297" s="16">
        <f>IF(S297&gt;0, V297/S297, 0)</f>
        <v>1</v>
      </c>
      <c r="X297" s="7" t="s">
        <v>39</v>
      </c>
      <c r="Y297" s="9" t="s">
        <v>40</v>
      </c>
      <c r="Z297" s="9" t="s">
        <v>41</v>
      </c>
      <c r="AA297" s="9" t="s">
        <v>42</v>
      </c>
      <c r="AB297" s="7" t="s">
        <v>42</v>
      </c>
    </row>
    <row r="298" spans="1:28">
      <c r="A298" s="8">
        <v>291</v>
      </c>
      <c r="B298" s="8" t="s">
        <v>519</v>
      </c>
      <c r="C298" s="8" t="s">
        <v>517</v>
      </c>
      <c r="D298" s="8" t="s">
        <v>198</v>
      </c>
      <c r="E298" s="8" t="s">
        <v>33</v>
      </c>
      <c r="F298" s="6" t="s">
        <v>34</v>
      </c>
      <c r="G298" s="6" t="s">
        <v>35</v>
      </c>
      <c r="H298" s="6" t="s">
        <v>73</v>
      </c>
      <c r="I298" s="8">
        <v>176</v>
      </c>
      <c r="J298" s="8" t="s">
        <v>420</v>
      </c>
      <c r="K298" s="8" t="s">
        <v>38</v>
      </c>
      <c r="L298" s="10">
        <v>1</v>
      </c>
      <c r="M298" s="13">
        <v>9000.0</v>
      </c>
      <c r="N298" s="13"/>
      <c r="O298" s="15">
        <f>IF(M298&gt;0, N298/M298, 0)</f>
        <v>0</v>
      </c>
      <c r="P298" s="13">
        <f>M298-N298</f>
        <v>9000</v>
      </c>
      <c r="Q298" s="13">
        <f>L298*M298</f>
        <v>9000</v>
      </c>
      <c r="R298" s="13">
        <f>L298*N298</f>
        <v>0</v>
      </c>
      <c r="S298" s="13">
        <f>L298*P298</f>
        <v>9000</v>
      </c>
      <c r="T298" s="13"/>
      <c r="U298" s="13">
        <f>L298*T298</f>
        <v>0</v>
      </c>
      <c r="V298" s="13">
        <f>S298-U298</f>
        <v>9000</v>
      </c>
      <c r="W298" s="15">
        <f>IF(S298&gt;0, V298/S298, 0)</f>
        <v>1</v>
      </c>
      <c r="X298" s="6" t="s">
        <v>39</v>
      </c>
      <c r="Y298" s="8" t="s">
        <v>40</v>
      </c>
      <c r="Z298" s="8" t="s">
        <v>41</v>
      </c>
      <c r="AA298" s="8" t="s">
        <v>42</v>
      </c>
      <c r="AB298" s="6" t="s">
        <v>42</v>
      </c>
    </row>
    <row r="299" spans="1:28">
      <c r="A299" s="9">
        <v>292</v>
      </c>
      <c r="B299" s="9" t="s">
        <v>520</v>
      </c>
      <c r="C299" s="9" t="s">
        <v>517</v>
      </c>
      <c r="D299" s="9" t="s">
        <v>198</v>
      </c>
      <c r="E299" s="9" t="s">
        <v>33</v>
      </c>
      <c r="F299" s="7" t="s">
        <v>34</v>
      </c>
      <c r="G299" s="7" t="s">
        <v>35</v>
      </c>
      <c r="H299" s="7" t="s">
        <v>36</v>
      </c>
      <c r="I299" s="9">
        <v>176</v>
      </c>
      <c r="J299" s="9" t="s">
        <v>352</v>
      </c>
      <c r="K299" s="9" t="s">
        <v>38</v>
      </c>
      <c r="L299" s="11">
        <v>1</v>
      </c>
      <c r="M299" s="14">
        <v>8000.0</v>
      </c>
      <c r="N299" s="14"/>
      <c r="O299" s="16">
        <f>IF(M299&gt;0, N299/M299, 0)</f>
        <v>0</v>
      </c>
      <c r="P299" s="14">
        <f>M299-N299</f>
        <v>8000</v>
      </c>
      <c r="Q299" s="14">
        <f>L299*M299</f>
        <v>8000</v>
      </c>
      <c r="R299" s="14">
        <f>L299*N299</f>
        <v>0</v>
      </c>
      <c r="S299" s="14">
        <f>L299*P299</f>
        <v>8000</v>
      </c>
      <c r="T299" s="14"/>
      <c r="U299" s="14">
        <f>L299*T299</f>
        <v>0</v>
      </c>
      <c r="V299" s="14">
        <f>S299-U299</f>
        <v>8000</v>
      </c>
      <c r="W299" s="16">
        <f>IF(S299&gt;0, V299/S299, 0)</f>
        <v>1</v>
      </c>
      <c r="X299" s="7" t="s">
        <v>39</v>
      </c>
      <c r="Y299" s="9" t="s">
        <v>40</v>
      </c>
      <c r="Z299" s="9" t="s">
        <v>41</v>
      </c>
      <c r="AA299" s="9" t="s">
        <v>42</v>
      </c>
      <c r="AB299" s="7" t="s">
        <v>42</v>
      </c>
    </row>
    <row r="300" spans="1:28">
      <c r="A300" s="8">
        <v>293</v>
      </c>
      <c r="B300" s="8" t="s">
        <v>521</v>
      </c>
      <c r="C300" s="8" t="s">
        <v>522</v>
      </c>
      <c r="D300" s="8" t="s">
        <v>198</v>
      </c>
      <c r="E300" s="8" t="s">
        <v>68</v>
      </c>
      <c r="F300" s="6" t="s">
        <v>50</v>
      </c>
      <c r="G300" s="6" t="s">
        <v>35</v>
      </c>
      <c r="H300" s="6" t="s">
        <v>73</v>
      </c>
      <c r="I300" s="8">
        <v>134</v>
      </c>
      <c r="J300" s="8" t="s">
        <v>146</v>
      </c>
      <c r="K300" s="8" t="s">
        <v>53</v>
      </c>
      <c r="L300" s="10">
        <v>1</v>
      </c>
      <c r="M300" s="13">
        <v>10000.0</v>
      </c>
      <c r="N300" s="13"/>
      <c r="O300" s="15">
        <f>IF(M300&gt;0, N300/M300, 0)</f>
        <v>0</v>
      </c>
      <c r="P300" s="13">
        <f>M300-N300</f>
        <v>10000</v>
      </c>
      <c r="Q300" s="13">
        <f>L300*M300</f>
        <v>10000</v>
      </c>
      <c r="R300" s="13">
        <f>L300*N300</f>
        <v>0</v>
      </c>
      <c r="S300" s="13">
        <f>L300*P300</f>
        <v>10000</v>
      </c>
      <c r="T300" s="13"/>
      <c r="U300" s="13">
        <f>L300*T300</f>
        <v>0</v>
      </c>
      <c r="V300" s="13">
        <f>S300-U300</f>
        <v>10000</v>
      </c>
      <c r="W300" s="15">
        <f>IF(S300&gt;0, V300/S300, 0)</f>
        <v>1</v>
      </c>
      <c r="X300" s="6" t="s">
        <v>39</v>
      </c>
      <c r="Y300" s="8" t="s">
        <v>40</v>
      </c>
      <c r="Z300" s="8" t="s">
        <v>71</v>
      </c>
      <c r="AA300" s="8" t="s">
        <v>42</v>
      </c>
      <c r="AB300" s="6" t="s">
        <v>42</v>
      </c>
    </row>
    <row r="301" spans="1:28">
      <c r="A301" s="9">
        <v>294</v>
      </c>
      <c r="B301" s="9" t="s">
        <v>523</v>
      </c>
      <c r="C301" s="9" t="s">
        <v>522</v>
      </c>
      <c r="D301" s="9" t="s">
        <v>198</v>
      </c>
      <c r="E301" s="9" t="s">
        <v>33</v>
      </c>
      <c r="F301" s="7" t="s">
        <v>50</v>
      </c>
      <c r="G301" s="7" t="s">
        <v>69</v>
      </c>
      <c r="H301" s="7" t="s">
        <v>69</v>
      </c>
      <c r="I301" s="9">
        <v>134</v>
      </c>
      <c r="J301" s="9" t="s">
        <v>209</v>
      </c>
      <c r="K301" s="9" t="s">
        <v>38</v>
      </c>
      <c r="L301" s="11">
        <v>1</v>
      </c>
      <c r="M301" s="14">
        <v>16000.0</v>
      </c>
      <c r="N301" s="14"/>
      <c r="O301" s="16">
        <f>IF(M301&gt;0, N301/M301, 0)</f>
        <v>0</v>
      </c>
      <c r="P301" s="14">
        <f>M301-N301</f>
        <v>16000</v>
      </c>
      <c r="Q301" s="14">
        <f>L301*M301</f>
        <v>16000</v>
      </c>
      <c r="R301" s="14">
        <f>L301*N301</f>
        <v>0</v>
      </c>
      <c r="S301" s="14">
        <f>L301*P301</f>
        <v>16000</v>
      </c>
      <c r="T301" s="14"/>
      <c r="U301" s="14">
        <f>L301*T301</f>
        <v>0</v>
      </c>
      <c r="V301" s="14">
        <f>S301-U301</f>
        <v>16000</v>
      </c>
      <c r="W301" s="16">
        <f>IF(S301&gt;0, V301/S301, 0)</f>
        <v>1</v>
      </c>
      <c r="X301" s="7" t="s">
        <v>39</v>
      </c>
      <c r="Y301" s="9" t="s">
        <v>40</v>
      </c>
      <c r="Z301" s="9" t="s">
        <v>41</v>
      </c>
      <c r="AA301" s="9" t="s">
        <v>42</v>
      </c>
      <c r="AB301" s="7" t="s">
        <v>42</v>
      </c>
    </row>
    <row r="302" spans="1:28">
      <c r="A302" s="8">
        <v>295</v>
      </c>
      <c r="B302" s="8" t="s">
        <v>524</v>
      </c>
      <c r="C302" s="8" t="s">
        <v>522</v>
      </c>
      <c r="D302" s="8" t="s">
        <v>198</v>
      </c>
      <c r="E302" s="8" t="s">
        <v>33</v>
      </c>
      <c r="F302" s="6" t="s">
        <v>50</v>
      </c>
      <c r="G302" s="6" t="s">
        <v>51</v>
      </c>
      <c r="H302" s="6" t="s">
        <v>51</v>
      </c>
      <c r="I302" s="8">
        <v>134</v>
      </c>
      <c r="J302" s="8" t="s">
        <v>175</v>
      </c>
      <c r="K302" s="8" t="s">
        <v>53</v>
      </c>
      <c r="L302" s="10">
        <v>1</v>
      </c>
      <c r="M302" s="13">
        <v>8000.0</v>
      </c>
      <c r="N302" s="13"/>
      <c r="O302" s="15">
        <f>IF(M302&gt;0, N302/M302, 0)</f>
        <v>0</v>
      </c>
      <c r="P302" s="13">
        <f>M302-N302</f>
        <v>8000</v>
      </c>
      <c r="Q302" s="13">
        <f>L302*M302</f>
        <v>8000</v>
      </c>
      <c r="R302" s="13">
        <f>L302*N302</f>
        <v>0</v>
      </c>
      <c r="S302" s="13">
        <f>L302*P302</f>
        <v>8000</v>
      </c>
      <c r="T302" s="13"/>
      <c r="U302" s="13">
        <f>L302*T302</f>
        <v>0</v>
      </c>
      <c r="V302" s="13">
        <f>S302-U302</f>
        <v>8000</v>
      </c>
      <c r="W302" s="15">
        <f>IF(S302&gt;0, V302/S302, 0)</f>
        <v>1</v>
      </c>
      <c r="X302" s="6" t="s">
        <v>39</v>
      </c>
      <c r="Y302" s="8" t="s">
        <v>40</v>
      </c>
      <c r="Z302" s="8" t="s">
        <v>41</v>
      </c>
      <c r="AA302" s="8" t="s">
        <v>42</v>
      </c>
      <c r="AB302" s="6" t="s">
        <v>42</v>
      </c>
    </row>
    <row r="303" spans="1:28">
      <c r="A303" s="9">
        <v>296</v>
      </c>
      <c r="B303" s="9" t="s">
        <v>525</v>
      </c>
      <c r="C303" s="9" t="s">
        <v>522</v>
      </c>
      <c r="D303" s="9" t="s">
        <v>198</v>
      </c>
      <c r="E303" s="9" t="s">
        <v>33</v>
      </c>
      <c r="F303" s="7" t="s">
        <v>50</v>
      </c>
      <c r="G303" s="7" t="s">
        <v>35</v>
      </c>
      <c r="H303" s="7" t="s">
        <v>36</v>
      </c>
      <c r="I303" s="9">
        <v>134</v>
      </c>
      <c r="J303" s="9" t="s">
        <v>177</v>
      </c>
      <c r="K303" s="9" t="s">
        <v>53</v>
      </c>
      <c r="L303" s="11">
        <v>1</v>
      </c>
      <c r="M303" s="14">
        <v>7000.0</v>
      </c>
      <c r="N303" s="14"/>
      <c r="O303" s="16">
        <f>IF(M303&gt;0, N303/M303, 0)</f>
        <v>0</v>
      </c>
      <c r="P303" s="14">
        <f>M303-N303</f>
        <v>7000</v>
      </c>
      <c r="Q303" s="14">
        <f>L303*M303</f>
        <v>7000</v>
      </c>
      <c r="R303" s="14">
        <f>L303*N303</f>
        <v>0</v>
      </c>
      <c r="S303" s="14">
        <f>L303*P303</f>
        <v>7000</v>
      </c>
      <c r="T303" s="14"/>
      <c r="U303" s="14">
        <f>L303*T303</f>
        <v>0</v>
      </c>
      <c r="V303" s="14">
        <f>S303-U303</f>
        <v>7000</v>
      </c>
      <c r="W303" s="16">
        <f>IF(S303&gt;0, V303/S303, 0)</f>
        <v>1</v>
      </c>
      <c r="X303" s="7" t="s">
        <v>39</v>
      </c>
      <c r="Y303" s="9" t="s">
        <v>40</v>
      </c>
      <c r="Z303" s="9" t="s">
        <v>41</v>
      </c>
      <c r="AA303" s="9" t="s">
        <v>42</v>
      </c>
      <c r="AB303" s="7" t="s">
        <v>42</v>
      </c>
    </row>
    <row r="304" spans="1:28">
      <c r="A304" s="8">
        <v>297</v>
      </c>
      <c r="B304" s="8" t="s">
        <v>526</v>
      </c>
      <c r="C304" s="8" t="s">
        <v>522</v>
      </c>
      <c r="D304" s="8" t="s">
        <v>198</v>
      </c>
      <c r="E304" s="8" t="s">
        <v>68</v>
      </c>
      <c r="F304" s="6" t="s">
        <v>34</v>
      </c>
      <c r="G304" s="6" t="s">
        <v>51</v>
      </c>
      <c r="H304" s="6" t="s">
        <v>51</v>
      </c>
      <c r="I304" s="8">
        <v>146</v>
      </c>
      <c r="J304" s="8" t="s">
        <v>324</v>
      </c>
      <c r="K304" s="8" t="s">
        <v>38</v>
      </c>
      <c r="L304" s="10">
        <v>1</v>
      </c>
      <c r="M304" s="13">
        <v>10000.0</v>
      </c>
      <c r="N304" s="13"/>
      <c r="O304" s="15">
        <f>IF(M304&gt;0, N304/M304, 0)</f>
        <v>0</v>
      </c>
      <c r="P304" s="13">
        <f>M304-N304</f>
        <v>10000</v>
      </c>
      <c r="Q304" s="13">
        <f>L304*M304</f>
        <v>10000</v>
      </c>
      <c r="R304" s="13">
        <f>L304*N304</f>
        <v>0</v>
      </c>
      <c r="S304" s="13">
        <f>L304*P304</f>
        <v>10000</v>
      </c>
      <c r="T304" s="13"/>
      <c r="U304" s="13">
        <f>L304*T304</f>
        <v>0</v>
      </c>
      <c r="V304" s="13">
        <f>S304-U304</f>
        <v>10000</v>
      </c>
      <c r="W304" s="15">
        <f>IF(S304&gt;0, V304/S304, 0)</f>
        <v>1</v>
      </c>
      <c r="X304" s="6" t="s">
        <v>39</v>
      </c>
      <c r="Y304" s="8" t="s">
        <v>40</v>
      </c>
      <c r="Z304" s="8" t="s">
        <v>71</v>
      </c>
      <c r="AA304" s="8" t="s">
        <v>42</v>
      </c>
      <c r="AB304" s="6" t="s">
        <v>42</v>
      </c>
    </row>
    <row r="305" spans="1:28">
      <c r="A305" s="9">
        <v>298</v>
      </c>
      <c r="B305" s="9" t="s">
        <v>527</v>
      </c>
      <c r="C305" s="9" t="s">
        <v>522</v>
      </c>
      <c r="D305" s="9" t="s">
        <v>198</v>
      </c>
      <c r="E305" s="9" t="s">
        <v>68</v>
      </c>
      <c r="F305" s="7" t="s">
        <v>34</v>
      </c>
      <c r="G305" s="7" t="s">
        <v>35</v>
      </c>
      <c r="H305" s="7" t="s">
        <v>36</v>
      </c>
      <c r="I305" s="9">
        <v>146</v>
      </c>
      <c r="J305" s="9" t="s">
        <v>528</v>
      </c>
      <c r="K305" s="9" t="s">
        <v>38</v>
      </c>
      <c r="L305" s="11">
        <v>1</v>
      </c>
      <c r="M305" s="14">
        <v>10000.0</v>
      </c>
      <c r="N305" s="14"/>
      <c r="O305" s="16">
        <f>IF(M305&gt;0, N305/M305, 0)</f>
        <v>0</v>
      </c>
      <c r="P305" s="14">
        <f>M305-N305</f>
        <v>10000</v>
      </c>
      <c r="Q305" s="14">
        <f>L305*M305</f>
        <v>10000</v>
      </c>
      <c r="R305" s="14">
        <f>L305*N305</f>
        <v>0</v>
      </c>
      <c r="S305" s="14">
        <f>L305*P305</f>
        <v>10000</v>
      </c>
      <c r="T305" s="14"/>
      <c r="U305" s="14">
        <f>L305*T305</f>
        <v>0</v>
      </c>
      <c r="V305" s="14">
        <f>S305-U305</f>
        <v>10000</v>
      </c>
      <c r="W305" s="16">
        <f>IF(S305&gt;0, V305/S305, 0)</f>
        <v>1</v>
      </c>
      <c r="X305" s="7" t="s">
        <v>39</v>
      </c>
      <c r="Y305" s="9" t="s">
        <v>40</v>
      </c>
      <c r="Z305" s="9" t="s">
        <v>71</v>
      </c>
      <c r="AA305" s="9" t="s">
        <v>42</v>
      </c>
      <c r="AB305" s="7" t="s">
        <v>42</v>
      </c>
    </row>
    <row r="306" spans="1:28">
      <c r="A306" s="8">
        <v>299</v>
      </c>
      <c r="B306" s="8" t="s">
        <v>529</v>
      </c>
      <c r="C306" s="8" t="s">
        <v>530</v>
      </c>
      <c r="D306" s="8" t="s">
        <v>198</v>
      </c>
      <c r="E306" s="8" t="s">
        <v>33</v>
      </c>
      <c r="F306" s="6" t="s">
        <v>50</v>
      </c>
      <c r="G306" s="6" t="s">
        <v>69</v>
      </c>
      <c r="H306" s="6" t="s">
        <v>69</v>
      </c>
      <c r="I306" s="8">
        <v>140</v>
      </c>
      <c r="J306" s="8" t="s">
        <v>225</v>
      </c>
      <c r="K306" s="8" t="s">
        <v>38</v>
      </c>
      <c r="L306" s="10">
        <v>1</v>
      </c>
      <c r="M306" s="13">
        <v>17000.0</v>
      </c>
      <c r="N306" s="13"/>
      <c r="O306" s="15">
        <f>IF(M306&gt;0, N306/M306, 0)</f>
        <v>0</v>
      </c>
      <c r="P306" s="13">
        <f>M306-N306</f>
        <v>17000</v>
      </c>
      <c r="Q306" s="13">
        <f>L306*M306</f>
        <v>17000</v>
      </c>
      <c r="R306" s="13">
        <f>L306*N306</f>
        <v>0</v>
      </c>
      <c r="S306" s="13">
        <f>L306*P306</f>
        <v>17000</v>
      </c>
      <c r="T306" s="13"/>
      <c r="U306" s="13">
        <f>L306*T306</f>
        <v>0</v>
      </c>
      <c r="V306" s="13">
        <f>S306-U306</f>
        <v>17000</v>
      </c>
      <c r="W306" s="15">
        <f>IF(S306&gt;0, V306/S306, 0)</f>
        <v>1</v>
      </c>
      <c r="X306" s="6" t="s">
        <v>39</v>
      </c>
      <c r="Y306" s="8" t="s">
        <v>40</v>
      </c>
      <c r="Z306" s="8" t="s">
        <v>41</v>
      </c>
      <c r="AA306" s="8" t="s">
        <v>42</v>
      </c>
      <c r="AB306" s="6" t="s">
        <v>42</v>
      </c>
    </row>
    <row r="307" spans="1:28">
      <c r="A307" s="9">
        <v>300</v>
      </c>
      <c r="B307" s="9" t="s">
        <v>531</v>
      </c>
      <c r="C307" s="9" t="s">
        <v>530</v>
      </c>
      <c r="D307" s="9" t="s">
        <v>198</v>
      </c>
      <c r="E307" s="9" t="s">
        <v>33</v>
      </c>
      <c r="F307" s="7" t="s">
        <v>34</v>
      </c>
      <c r="G307" s="7" t="s">
        <v>35</v>
      </c>
      <c r="H307" s="7" t="s">
        <v>73</v>
      </c>
      <c r="I307" s="9">
        <v>176</v>
      </c>
      <c r="J307" s="9" t="s">
        <v>420</v>
      </c>
      <c r="K307" s="9" t="s">
        <v>38</v>
      </c>
      <c r="L307" s="11">
        <v>1</v>
      </c>
      <c r="M307" s="14">
        <v>9000.0</v>
      </c>
      <c r="N307" s="14"/>
      <c r="O307" s="16">
        <f>IF(M307&gt;0, N307/M307, 0)</f>
        <v>0</v>
      </c>
      <c r="P307" s="14">
        <f>M307-N307</f>
        <v>9000</v>
      </c>
      <c r="Q307" s="14">
        <f>L307*M307</f>
        <v>9000</v>
      </c>
      <c r="R307" s="14">
        <f>L307*N307</f>
        <v>0</v>
      </c>
      <c r="S307" s="14">
        <f>L307*P307</f>
        <v>9000</v>
      </c>
      <c r="T307" s="14"/>
      <c r="U307" s="14">
        <f>L307*T307</f>
        <v>0</v>
      </c>
      <c r="V307" s="14">
        <f>S307-U307</f>
        <v>9000</v>
      </c>
      <c r="W307" s="16">
        <f>IF(S307&gt;0, V307/S307, 0)</f>
        <v>1</v>
      </c>
      <c r="X307" s="7" t="s">
        <v>39</v>
      </c>
      <c r="Y307" s="9" t="s">
        <v>40</v>
      </c>
      <c r="Z307" s="9" t="s">
        <v>41</v>
      </c>
      <c r="AA307" s="9" t="s">
        <v>42</v>
      </c>
      <c r="AB307" s="7" t="s">
        <v>42</v>
      </c>
    </row>
    <row r="308" spans="1:28">
      <c r="A308" s="8">
        <v>301</v>
      </c>
      <c r="B308" s="8" t="s">
        <v>532</v>
      </c>
      <c r="C308" s="8" t="s">
        <v>530</v>
      </c>
      <c r="D308" s="8" t="s">
        <v>198</v>
      </c>
      <c r="E308" s="8" t="s">
        <v>33</v>
      </c>
      <c r="F308" s="6" t="s">
        <v>50</v>
      </c>
      <c r="G308" s="6" t="s">
        <v>35</v>
      </c>
      <c r="H308" s="6" t="s">
        <v>73</v>
      </c>
      <c r="I308" s="8">
        <v>158</v>
      </c>
      <c r="J308" s="8" t="s">
        <v>533</v>
      </c>
      <c r="K308" s="8" t="s">
        <v>53</v>
      </c>
      <c r="L308" s="10">
        <v>1</v>
      </c>
      <c r="M308" s="13">
        <v>8000.0</v>
      </c>
      <c r="N308" s="13"/>
      <c r="O308" s="15">
        <f>IF(M308&gt;0, N308/M308, 0)</f>
        <v>0</v>
      </c>
      <c r="P308" s="13">
        <f>M308-N308</f>
        <v>8000</v>
      </c>
      <c r="Q308" s="13">
        <f>L308*M308</f>
        <v>8000</v>
      </c>
      <c r="R308" s="13">
        <f>L308*N308</f>
        <v>0</v>
      </c>
      <c r="S308" s="13">
        <f>L308*P308</f>
        <v>8000</v>
      </c>
      <c r="T308" s="13"/>
      <c r="U308" s="13">
        <f>L308*T308</f>
        <v>0</v>
      </c>
      <c r="V308" s="13">
        <f>S308-U308</f>
        <v>8000</v>
      </c>
      <c r="W308" s="15">
        <f>IF(S308&gt;0, V308/S308, 0)</f>
        <v>1</v>
      </c>
      <c r="X308" s="6" t="s">
        <v>39</v>
      </c>
      <c r="Y308" s="8" t="s">
        <v>40</v>
      </c>
      <c r="Z308" s="8" t="s">
        <v>41</v>
      </c>
      <c r="AA308" s="8" t="s">
        <v>42</v>
      </c>
      <c r="AB308" s="6" t="s">
        <v>42</v>
      </c>
    </row>
    <row r="309" spans="1:28">
      <c r="A309" s="9">
        <v>302</v>
      </c>
      <c r="B309" s="9" t="s">
        <v>534</v>
      </c>
      <c r="C309" s="9" t="s">
        <v>530</v>
      </c>
      <c r="D309" s="9" t="s">
        <v>198</v>
      </c>
      <c r="E309" s="9" t="s">
        <v>33</v>
      </c>
      <c r="F309" s="7" t="s">
        <v>50</v>
      </c>
      <c r="G309" s="7" t="s">
        <v>51</v>
      </c>
      <c r="H309" s="7" t="s">
        <v>51</v>
      </c>
      <c r="I309" s="9">
        <v>164</v>
      </c>
      <c r="J309" s="9" t="s">
        <v>404</v>
      </c>
      <c r="K309" s="9" t="s">
        <v>53</v>
      </c>
      <c r="L309" s="11">
        <v>1</v>
      </c>
      <c r="M309" s="14">
        <v>8500.0</v>
      </c>
      <c r="N309" s="14"/>
      <c r="O309" s="16">
        <f>IF(M309&gt;0, N309/M309, 0)</f>
        <v>0</v>
      </c>
      <c r="P309" s="14">
        <f>M309-N309</f>
        <v>8500</v>
      </c>
      <c r="Q309" s="14">
        <f>L309*M309</f>
        <v>8500</v>
      </c>
      <c r="R309" s="14">
        <f>L309*N309</f>
        <v>0</v>
      </c>
      <c r="S309" s="14">
        <f>L309*P309</f>
        <v>8500</v>
      </c>
      <c r="T309" s="14"/>
      <c r="U309" s="14">
        <f>L309*T309</f>
        <v>0</v>
      </c>
      <c r="V309" s="14">
        <f>S309-U309</f>
        <v>8500</v>
      </c>
      <c r="W309" s="16">
        <f>IF(S309&gt;0, V309/S309, 0)</f>
        <v>1</v>
      </c>
      <c r="X309" s="7" t="s">
        <v>39</v>
      </c>
      <c r="Y309" s="9" t="s">
        <v>40</v>
      </c>
      <c r="Z309" s="9" t="s">
        <v>41</v>
      </c>
      <c r="AA309" s="9" t="s">
        <v>42</v>
      </c>
      <c r="AB309" s="7" t="s">
        <v>42</v>
      </c>
    </row>
    <row r="310" spans="1:28">
      <c r="A310" s="8">
        <v>303</v>
      </c>
      <c r="B310" s="8" t="s">
        <v>535</v>
      </c>
      <c r="C310" s="8" t="s">
        <v>530</v>
      </c>
      <c r="D310" s="8" t="s">
        <v>198</v>
      </c>
      <c r="E310" s="8" t="s">
        <v>33</v>
      </c>
      <c r="F310" s="6" t="s">
        <v>34</v>
      </c>
      <c r="G310" s="6" t="s">
        <v>51</v>
      </c>
      <c r="H310" s="6" t="s">
        <v>51</v>
      </c>
      <c r="I310" s="8">
        <v>164</v>
      </c>
      <c r="J310" s="8" t="s">
        <v>61</v>
      </c>
      <c r="K310" s="8" t="s">
        <v>38</v>
      </c>
      <c r="L310" s="10">
        <v>1</v>
      </c>
      <c r="M310" s="13">
        <v>8500.0</v>
      </c>
      <c r="N310" s="13"/>
      <c r="O310" s="15">
        <f>IF(M310&gt;0, N310/M310, 0)</f>
        <v>0</v>
      </c>
      <c r="P310" s="13">
        <f>M310-N310</f>
        <v>8500</v>
      </c>
      <c r="Q310" s="13">
        <f>L310*M310</f>
        <v>8500</v>
      </c>
      <c r="R310" s="13">
        <f>L310*N310</f>
        <v>0</v>
      </c>
      <c r="S310" s="13">
        <f>L310*P310</f>
        <v>8500</v>
      </c>
      <c r="T310" s="13"/>
      <c r="U310" s="13">
        <f>L310*T310</f>
        <v>0</v>
      </c>
      <c r="V310" s="13">
        <f>S310-U310</f>
        <v>8500</v>
      </c>
      <c r="W310" s="15">
        <f>IF(S310&gt;0, V310/S310, 0)</f>
        <v>1</v>
      </c>
      <c r="X310" s="6" t="s">
        <v>39</v>
      </c>
      <c r="Y310" s="8" t="s">
        <v>40</v>
      </c>
      <c r="Z310" s="8" t="s">
        <v>41</v>
      </c>
      <c r="AA310" s="8" t="s">
        <v>42</v>
      </c>
      <c r="AB310" s="6" t="s">
        <v>42</v>
      </c>
    </row>
    <row r="311" spans="1:28">
      <c r="A311" s="9">
        <v>304</v>
      </c>
      <c r="B311" s="9" t="s">
        <v>536</v>
      </c>
      <c r="C311" s="9" t="s">
        <v>530</v>
      </c>
      <c r="D311" s="9" t="s">
        <v>198</v>
      </c>
      <c r="E311" s="9" t="s">
        <v>33</v>
      </c>
      <c r="F311" s="7" t="s">
        <v>34</v>
      </c>
      <c r="G311" s="7" t="s">
        <v>45</v>
      </c>
      <c r="H311" s="7" t="s">
        <v>46</v>
      </c>
      <c r="I311" s="9">
        <v>170</v>
      </c>
      <c r="J311" s="9" t="s">
        <v>181</v>
      </c>
      <c r="K311" s="9" t="s">
        <v>38</v>
      </c>
      <c r="L311" s="11">
        <v>1</v>
      </c>
      <c r="M311" s="14">
        <v>18000.0</v>
      </c>
      <c r="N311" s="14"/>
      <c r="O311" s="16">
        <f>IF(M311&gt;0, N311/M311, 0)</f>
        <v>0</v>
      </c>
      <c r="P311" s="14">
        <f>M311-N311</f>
        <v>18000</v>
      </c>
      <c r="Q311" s="14">
        <f>L311*M311</f>
        <v>18000</v>
      </c>
      <c r="R311" s="14">
        <f>L311*N311</f>
        <v>0</v>
      </c>
      <c r="S311" s="14">
        <f>L311*P311</f>
        <v>18000</v>
      </c>
      <c r="T311" s="14"/>
      <c r="U311" s="14">
        <f>L311*T311</f>
        <v>0</v>
      </c>
      <c r="V311" s="14">
        <f>S311-U311</f>
        <v>18000</v>
      </c>
      <c r="W311" s="16">
        <f>IF(S311&gt;0, V311/S311, 0)</f>
        <v>1</v>
      </c>
      <c r="X311" s="7" t="s">
        <v>39</v>
      </c>
      <c r="Y311" s="9" t="s">
        <v>40</v>
      </c>
      <c r="Z311" s="9" t="s">
        <v>41</v>
      </c>
      <c r="AA311" s="9" t="s">
        <v>42</v>
      </c>
      <c r="AB311" s="7" t="s">
        <v>42</v>
      </c>
    </row>
    <row r="312" spans="1:28">
      <c r="A312" s="8">
        <v>305</v>
      </c>
      <c r="B312" s="8" t="s">
        <v>537</v>
      </c>
      <c r="C312" s="8" t="s">
        <v>530</v>
      </c>
      <c r="D312" s="8" t="s">
        <v>198</v>
      </c>
      <c r="E312" s="8" t="s">
        <v>33</v>
      </c>
      <c r="F312" s="6" t="s">
        <v>34</v>
      </c>
      <c r="G312" s="6" t="s">
        <v>35</v>
      </c>
      <c r="H312" s="6" t="s">
        <v>73</v>
      </c>
      <c r="I312" s="8">
        <v>164</v>
      </c>
      <c r="J312" s="8" t="s">
        <v>74</v>
      </c>
      <c r="K312" s="8" t="s">
        <v>38</v>
      </c>
      <c r="L312" s="10">
        <v>1</v>
      </c>
      <c r="M312" s="13">
        <v>9000.0</v>
      </c>
      <c r="N312" s="13"/>
      <c r="O312" s="15">
        <f>IF(M312&gt;0, N312/M312, 0)</f>
        <v>0</v>
      </c>
      <c r="P312" s="13">
        <f>M312-N312</f>
        <v>9000</v>
      </c>
      <c r="Q312" s="13">
        <f>L312*M312</f>
        <v>9000</v>
      </c>
      <c r="R312" s="13">
        <f>L312*N312</f>
        <v>0</v>
      </c>
      <c r="S312" s="13">
        <f>L312*P312</f>
        <v>9000</v>
      </c>
      <c r="T312" s="13"/>
      <c r="U312" s="13">
        <f>L312*T312</f>
        <v>0</v>
      </c>
      <c r="V312" s="13">
        <f>S312-U312</f>
        <v>9000</v>
      </c>
      <c r="W312" s="15">
        <f>IF(S312&gt;0, V312/S312, 0)</f>
        <v>1</v>
      </c>
      <c r="X312" s="6" t="s">
        <v>39</v>
      </c>
      <c r="Y312" s="8" t="s">
        <v>40</v>
      </c>
      <c r="Z312" s="8" t="s">
        <v>41</v>
      </c>
      <c r="AA312" s="8" t="s">
        <v>42</v>
      </c>
      <c r="AB312" s="6" t="s">
        <v>42</v>
      </c>
    </row>
    <row r="313" spans="1:28">
      <c r="A313" s="9">
        <v>306</v>
      </c>
      <c r="B313" s="9" t="s">
        <v>538</v>
      </c>
      <c r="C313" s="9" t="s">
        <v>530</v>
      </c>
      <c r="D313" s="9" t="s">
        <v>198</v>
      </c>
      <c r="E313" s="9" t="s">
        <v>33</v>
      </c>
      <c r="F313" s="7" t="s">
        <v>50</v>
      </c>
      <c r="G313" s="7" t="s">
        <v>35</v>
      </c>
      <c r="H313" s="7" t="s">
        <v>73</v>
      </c>
      <c r="I313" s="9">
        <v>164</v>
      </c>
      <c r="J313" s="9" t="s">
        <v>187</v>
      </c>
      <c r="K313" s="9" t="s">
        <v>53</v>
      </c>
      <c r="L313" s="11">
        <v>1</v>
      </c>
      <c r="M313" s="14">
        <v>9000.0</v>
      </c>
      <c r="N313" s="14"/>
      <c r="O313" s="16">
        <f>IF(M313&gt;0, N313/M313, 0)</f>
        <v>0</v>
      </c>
      <c r="P313" s="14">
        <f>M313-N313</f>
        <v>9000</v>
      </c>
      <c r="Q313" s="14">
        <f>L313*M313</f>
        <v>9000</v>
      </c>
      <c r="R313" s="14">
        <f>L313*N313</f>
        <v>0</v>
      </c>
      <c r="S313" s="14">
        <f>L313*P313</f>
        <v>9000</v>
      </c>
      <c r="T313" s="14"/>
      <c r="U313" s="14">
        <f>L313*T313</f>
        <v>0</v>
      </c>
      <c r="V313" s="14">
        <f>S313-U313</f>
        <v>9000</v>
      </c>
      <c r="W313" s="16">
        <f>IF(S313&gt;0, V313/S313, 0)</f>
        <v>1</v>
      </c>
      <c r="X313" s="7" t="s">
        <v>39</v>
      </c>
      <c r="Y313" s="9" t="s">
        <v>40</v>
      </c>
      <c r="Z313" s="9" t="s">
        <v>41</v>
      </c>
      <c r="AA313" s="9" t="s">
        <v>42</v>
      </c>
      <c r="AB313" s="7" t="s">
        <v>42</v>
      </c>
    </row>
    <row r="314" spans="1:28">
      <c r="A314" s="8">
        <v>307</v>
      </c>
      <c r="B314" s="8" t="s">
        <v>539</v>
      </c>
      <c r="C314" s="8" t="s">
        <v>530</v>
      </c>
      <c r="D314" s="8" t="s">
        <v>198</v>
      </c>
      <c r="E314" s="8" t="s">
        <v>33</v>
      </c>
      <c r="F314" s="6" t="s">
        <v>50</v>
      </c>
      <c r="G314" s="6" t="s">
        <v>35</v>
      </c>
      <c r="H314" s="6" t="s">
        <v>36</v>
      </c>
      <c r="I314" s="8">
        <v>164</v>
      </c>
      <c r="J314" s="8" t="s">
        <v>407</v>
      </c>
      <c r="K314" s="8" t="s">
        <v>53</v>
      </c>
      <c r="L314" s="10">
        <v>1</v>
      </c>
      <c r="M314" s="13">
        <v>8000.0</v>
      </c>
      <c r="N314" s="13"/>
      <c r="O314" s="15">
        <f>IF(M314&gt;0, N314/M314, 0)</f>
        <v>0</v>
      </c>
      <c r="P314" s="13">
        <f>M314-N314</f>
        <v>8000</v>
      </c>
      <c r="Q314" s="13">
        <f>L314*M314</f>
        <v>8000</v>
      </c>
      <c r="R314" s="13">
        <f>L314*N314</f>
        <v>0</v>
      </c>
      <c r="S314" s="13">
        <f>L314*P314</f>
        <v>8000</v>
      </c>
      <c r="T314" s="13"/>
      <c r="U314" s="13">
        <f>L314*T314</f>
        <v>0</v>
      </c>
      <c r="V314" s="13">
        <f>S314-U314</f>
        <v>8000</v>
      </c>
      <c r="W314" s="15">
        <f>IF(S314&gt;0, V314/S314, 0)</f>
        <v>1</v>
      </c>
      <c r="X314" s="6" t="s">
        <v>39</v>
      </c>
      <c r="Y314" s="8" t="s">
        <v>40</v>
      </c>
      <c r="Z314" s="8" t="s">
        <v>41</v>
      </c>
      <c r="AA314" s="8" t="s">
        <v>42</v>
      </c>
      <c r="AB314" s="6" t="s">
        <v>42</v>
      </c>
    </row>
    <row r="315" spans="1:28">
      <c r="A315" s="9">
        <v>308</v>
      </c>
      <c r="B315" s="9" t="s">
        <v>540</v>
      </c>
      <c r="C315" s="9" t="s">
        <v>541</v>
      </c>
      <c r="D315" s="9" t="s">
        <v>198</v>
      </c>
      <c r="E315" s="9" t="s">
        <v>33</v>
      </c>
      <c r="F315" s="7" t="s">
        <v>34</v>
      </c>
      <c r="G315" s="7" t="s">
        <v>69</v>
      </c>
      <c r="H315" s="7" t="s">
        <v>69</v>
      </c>
      <c r="I315" s="9">
        <v>170</v>
      </c>
      <c r="J315" s="9" t="s">
        <v>179</v>
      </c>
      <c r="K315" s="9" t="s">
        <v>38</v>
      </c>
      <c r="L315" s="11">
        <v>1</v>
      </c>
      <c r="M315" s="14">
        <v>18000.0</v>
      </c>
      <c r="N315" s="14"/>
      <c r="O315" s="16">
        <f>IF(M315&gt;0, N315/M315, 0)</f>
        <v>0</v>
      </c>
      <c r="P315" s="14">
        <f>M315-N315</f>
        <v>18000</v>
      </c>
      <c r="Q315" s="14">
        <f>L315*M315</f>
        <v>18000</v>
      </c>
      <c r="R315" s="14">
        <f>L315*N315</f>
        <v>0</v>
      </c>
      <c r="S315" s="14">
        <f>L315*P315</f>
        <v>18000</v>
      </c>
      <c r="T315" s="14"/>
      <c r="U315" s="14">
        <f>L315*T315</f>
        <v>0</v>
      </c>
      <c r="V315" s="14">
        <f>S315-U315</f>
        <v>18000</v>
      </c>
      <c r="W315" s="16">
        <f>IF(S315&gt;0, V315/S315, 0)</f>
        <v>1</v>
      </c>
      <c r="X315" s="7" t="s">
        <v>39</v>
      </c>
      <c r="Y315" s="9" t="s">
        <v>40</v>
      </c>
      <c r="Z315" s="9" t="s">
        <v>41</v>
      </c>
      <c r="AA315" s="9" t="s">
        <v>42</v>
      </c>
      <c r="AB315" s="7" t="s">
        <v>42</v>
      </c>
    </row>
    <row r="316" spans="1:28">
      <c r="A316" s="8">
        <v>309</v>
      </c>
      <c r="B316" s="8" t="s">
        <v>542</v>
      </c>
      <c r="C316" s="8" t="s">
        <v>541</v>
      </c>
      <c r="D316" s="8" t="s">
        <v>198</v>
      </c>
      <c r="E316" s="8" t="s">
        <v>33</v>
      </c>
      <c r="F316" s="6" t="s">
        <v>50</v>
      </c>
      <c r="G316" s="6" t="s">
        <v>69</v>
      </c>
      <c r="H316" s="6" t="s">
        <v>69</v>
      </c>
      <c r="I316" s="8">
        <v>128</v>
      </c>
      <c r="J316" s="8" t="s">
        <v>110</v>
      </c>
      <c r="K316" s="8" t="s">
        <v>38</v>
      </c>
      <c r="L316" s="10">
        <v>1</v>
      </c>
      <c r="M316" s="13">
        <v>16000.0</v>
      </c>
      <c r="N316" s="13"/>
      <c r="O316" s="15">
        <f>IF(M316&gt;0, N316/M316, 0)</f>
        <v>0</v>
      </c>
      <c r="P316" s="13">
        <f>M316-N316</f>
        <v>16000</v>
      </c>
      <c r="Q316" s="13">
        <f>L316*M316</f>
        <v>16000</v>
      </c>
      <c r="R316" s="13">
        <f>L316*N316</f>
        <v>0</v>
      </c>
      <c r="S316" s="13">
        <f>L316*P316</f>
        <v>16000</v>
      </c>
      <c r="T316" s="13"/>
      <c r="U316" s="13">
        <f>L316*T316</f>
        <v>0</v>
      </c>
      <c r="V316" s="13">
        <f>S316-U316</f>
        <v>16000</v>
      </c>
      <c r="W316" s="15">
        <f>IF(S316&gt;0, V316/S316, 0)</f>
        <v>1</v>
      </c>
      <c r="X316" s="6" t="s">
        <v>39</v>
      </c>
      <c r="Y316" s="8" t="s">
        <v>40</v>
      </c>
      <c r="Z316" s="8" t="s">
        <v>41</v>
      </c>
      <c r="AA316" s="8" t="s">
        <v>42</v>
      </c>
      <c r="AB316" s="6" t="s">
        <v>42</v>
      </c>
    </row>
    <row r="317" spans="1:28">
      <c r="A317" s="9">
        <v>310</v>
      </c>
      <c r="B317" s="9" t="s">
        <v>543</v>
      </c>
      <c r="C317" s="9" t="s">
        <v>541</v>
      </c>
      <c r="D317" s="9" t="s">
        <v>198</v>
      </c>
      <c r="E317" s="9" t="s">
        <v>33</v>
      </c>
      <c r="F317" s="7" t="s">
        <v>34</v>
      </c>
      <c r="G317" s="7" t="s">
        <v>35</v>
      </c>
      <c r="H317" s="7" t="s">
        <v>36</v>
      </c>
      <c r="I317" s="9">
        <v>170</v>
      </c>
      <c r="J317" s="9" t="s">
        <v>142</v>
      </c>
      <c r="K317" s="9" t="s">
        <v>38</v>
      </c>
      <c r="L317" s="11">
        <v>1</v>
      </c>
      <c r="M317" s="14">
        <v>8000.0</v>
      </c>
      <c r="N317" s="14"/>
      <c r="O317" s="16">
        <f>IF(M317&gt;0, N317/M317, 0)</f>
        <v>0</v>
      </c>
      <c r="P317" s="14">
        <f>M317-N317</f>
        <v>8000</v>
      </c>
      <c r="Q317" s="14">
        <f>L317*M317</f>
        <v>8000</v>
      </c>
      <c r="R317" s="14">
        <f>L317*N317</f>
        <v>0</v>
      </c>
      <c r="S317" s="14">
        <f>L317*P317</f>
        <v>8000</v>
      </c>
      <c r="T317" s="14"/>
      <c r="U317" s="14">
        <f>L317*T317</f>
        <v>0</v>
      </c>
      <c r="V317" s="14">
        <f>S317-U317</f>
        <v>8000</v>
      </c>
      <c r="W317" s="16">
        <f>IF(S317&gt;0, V317/S317, 0)</f>
        <v>1</v>
      </c>
      <c r="X317" s="7" t="s">
        <v>39</v>
      </c>
      <c r="Y317" s="9" t="s">
        <v>40</v>
      </c>
      <c r="Z317" s="9" t="s">
        <v>41</v>
      </c>
      <c r="AA317" s="9" t="s">
        <v>42</v>
      </c>
      <c r="AB317" s="7" t="s">
        <v>42</v>
      </c>
    </row>
    <row r="318" spans="1:28">
      <c r="A318" s="8">
        <v>311</v>
      </c>
      <c r="B318" s="8" t="s">
        <v>544</v>
      </c>
      <c r="C318" s="8" t="s">
        <v>541</v>
      </c>
      <c r="D318" s="8" t="s">
        <v>198</v>
      </c>
      <c r="E318" s="8" t="s">
        <v>33</v>
      </c>
      <c r="F318" s="6" t="s">
        <v>50</v>
      </c>
      <c r="G318" s="6" t="s">
        <v>35</v>
      </c>
      <c r="H318" s="6" t="s">
        <v>36</v>
      </c>
      <c r="I318" s="8">
        <v>134</v>
      </c>
      <c r="J318" s="8" t="s">
        <v>177</v>
      </c>
      <c r="K318" s="8" t="s">
        <v>53</v>
      </c>
      <c r="L318" s="10">
        <v>1</v>
      </c>
      <c r="M318" s="13">
        <v>7000.0</v>
      </c>
      <c r="N318" s="13"/>
      <c r="O318" s="15">
        <f>IF(M318&gt;0, N318/M318, 0)</f>
        <v>0</v>
      </c>
      <c r="P318" s="13">
        <f>M318-N318</f>
        <v>7000</v>
      </c>
      <c r="Q318" s="13">
        <f>L318*M318</f>
        <v>7000</v>
      </c>
      <c r="R318" s="13">
        <f>L318*N318</f>
        <v>0</v>
      </c>
      <c r="S318" s="13">
        <f>L318*P318</f>
        <v>7000</v>
      </c>
      <c r="T318" s="13"/>
      <c r="U318" s="13">
        <f>L318*T318</f>
        <v>0</v>
      </c>
      <c r="V318" s="13">
        <f>S318-U318</f>
        <v>7000</v>
      </c>
      <c r="W318" s="15">
        <f>IF(S318&gt;0, V318/S318, 0)</f>
        <v>1</v>
      </c>
      <c r="X318" s="6" t="s">
        <v>39</v>
      </c>
      <c r="Y318" s="8" t="s">
        <v>40</v>
      </c>
      <c r="Z318" s="8" t="s">
        <v>41</v>
      </c>
      <c r="AA318" s="8" t="s">
        <v>42</v>
      </c>
      <c r="AB318" s="6" t="s">
        <v>42</v>
      </c>
    </row>
    <row r="319" spans="1:28">
      <c r="A319" s="9">
        <v>312</v>
      </c>
      <c r="B319" s="9" t="s">
        <v>545</v>
      </c>
      <c r="C319" s="9" t="s">
        <v>541</v>
      </c>
      <c r="D319" s="9" t="s">
        <v>198</v>
      </c>
      <c r="E319" s="9" t="s">
        <v>33</v>
      </c>
      <c r="F319" s="7" t="s">
        <v>50</v>
      </c>
      <c r="G319" s="7" t="s">
        <v>51</v>
      </c>
      <c r="H319" s="7" t="s">
        <v>51</v>
      </c>
      <c r="I319" s="9">
        <v>140</v>
      </c>
      <c r="J319" s="9" t="s">
        <v>279</v>
      </c>
      <c r="K319" s="9" t="s">
        <v>53</v>
      </c>
      <c r="L319" s="11">
        <v>1</v>
      </c>
      <c r="M319" s="14">
        <v>8000.0</v>
      </c>
      <c r="N319" s="14"/>
      <c r="O319" s="16">
        <f>IF(M319&gt;0, N319/M319, 0)</f>
        <v>0</v>
      </c>
      <c r="P319" s="14">
        <f>M319-N319</f>
        <v>8000</v>
      </c>
      <c r="Q319" s="14">
        <f>L319*M319</f>
        <v>8000</v>
      </c>
      <c r="R319" s="14">
        <f>L319*N319</f>
        <v>0</v>
      </c>
      <c r="S319" s="14">
        <f>L319*P319</f>
        <v>8000</v>
      </c>
      <c r="T319" s="14"/>
      <c r="U319" s="14">
        <f>L319*T319</f>
        <v>0</v>
      </c>
      <c r="V319" s="14">
        <f>S319-U319</f>
        <v>8000</v>
      </c>
      <c r="W319" s="16">
        <f>IF(S319&gt;0, V319/S319, 0)</f>
        <v>1</v>
      </c>
      <c r="X319" s="7" t="s">
        <v>39</v>
      </c>
      <c r="Y319" s="9" t="s">
        <v>40</v>
      </c>
      <c r="Z319" s="9" t="s">
        <v>41</v>
      </c>
      <c r="AA319" s="9" t="s">
        <v>42</v>
      </c>
      <c r="AB319" s="7" t="s">
        <v>42</v>
      </c>
    </row>
    <row r="320" spans="1:28">
      <c r="A320" s="8">
        <v>313</v>
      </c>
      <c r="B320" s="8" t="s">
        <v>546</v>
      </c>
      <c r="C320" s="8" t="s">
        <v>541</v>
      </c>
      <c r="D320" s="8" t="s">
        <v>198</v>
      </c>
      <c r="E320" s="8" t="s">
        <v>33</v>
      </c>
      <c r="F320" s="6" t="s">
        <v>50</v>
      </c>
      <c r="G320" s="6" t="s">
        <v>35</v>
      </c>
      <c r="H320" s="6" t="s">
        <v>36</v>
      </c>
      <c r="I320" s="8">
        <v>146</v>
      </c>
      <c r="J320" s="8" t="s">
        <v>257</v>
      </c>
      <c r="K320" s="8" t="s">
        <v>53</v>
      </c>
      <c r="L320" s="10">
        <v>1</v>
      </c>
      <c r="M320" s="13">
        <v>7000.0</v>
      </c>
      <c r="N320" s="13"/>
      <c r="O320" s="15">
        <f>IF(M320&gt;0, N320/M320, 0)</f>
        <v>0</v>
      </c>
      <c r="P320" s="13">
        <f>M320-N320</f>
        <v>7000</v>
      </c>
      <c r="Q320" s="13">
        <f>L320*M320</f>
        <v>7000</v>
      </c>
      <c r="R320" s="13">
        <f>L320*N320</f>
        <v>0</v>
      </c>
      <c r="S320" s="13">
        <f>L320*P320</f>
        <v>7000</v>
      </c>
      <c r="T320" s="13"/>
      <c r="U320" s="13">
        <f>L320*T320</f>
        <v>0</v>
      </c>
      <c r="V320" s="13">
        <f>S320-U320</f>
        <v>7000</v>
      </c>
      <c r="W320" s="15">
        <f>IF(S320&gt;0, V320/S320, 0)</f>
        <v>1</v>
      </c>
      <c r="X320" s="6" t="s">
        <v>39</v>
      </c>
      <c r="Y320" s="8" t="s">
        <v>40</v>
      </c>
      <c r="Z320" s="8" t="s">
        <v>41</v>
      </c>
      <c r="AA320" s="8" t="s">
        <v>42</v>
      </c>
      <c r="AB320" s="6" t="s">
        <v>42</v>
      </c>
    </row>
    <row r="321" spans="1:28">
      <c r="A321" s="9">
        <v>314</v>
      </c>
      <c r="B321" s="9" t="s">
        <v>547</v>
      </c>
      <c r="C321" s="9" t="s">
        <v>548</v>
      </c>
      <c r="D321" s="9" t="s">
        <v>198</v>
      </c>
      <c r="E321" s="9" t="s">
        <v>68</v>
      </c>
      <c r="F321" s="7" t="s">
        <v>34</v>
      </c>
      <c r="G321" s="7" t="s">
        <v>35</v>
      </c>
      <c r="H321" s="7" t="s">
        <v>36</v>
      </c>
      <c r="I321" s="9">
        <v>164</v>
      </c>
      <c r="J321" s="9" t="s">
        <v>77</v>
      </c>
      <c r="K321" s="9" t="s">
        <v>38</v>
      </c>
      <c r="L321" s="11">
        <v>2</v>
      </c>
      <c r="M321" s="14">
        <v>10000.0</v>
      </c>
      <c r="N321" s="14"/>
      <c r="O321" s="16">
        <f>IF(M321&gt;0, N321/M321, 0)</f>
        <v>0</v>
      </c>
      <c r="P321" s="14">
        <f>M321-N321</f>
        <v>10000</v>
      </c>
      <c r="Q321" s="14">
        <f>L321*M321</f>
        <v>20000</v>
      </c>
      <c r="R321" s="14">
        <f>L321*N321</f>
        <v>0</v>
      </c>
      <c r="S321" s="14">
        <f>L321*P321</f>
        <v>20000</v>
      </c>
      <c r="T321" s="14"/>
      <c r="U321" s="14">
        <f>L321*T321</f>
        <v>0</v>
      </c>
      <c r="V321" s="14">
        <f>S321-U321</f>
        <v>20000</v>
      </c>
      <c r="W321" s="16">
        <f>IF(S321&gt;0, V321/S321, 0)</f>
        <v>1</v>
      </c>
      <c r="X321" s="7" t="s">
        <v>39</v>
      </c>
      <c r="Y321" s="9" t="s">
        <v>40</v>
      </c>
      <c r="Z321" s="9" t="s">
        <v>71</v>
      </c>
      <c r="AA321" s="9" t="s">
        <v>42</v>
      </c>
      <c r="AB321" s="7" t="s">
        <v>42</v>
      </c>
    </row>
    <row r="322" spans="1:28">
      <c r="A322" s="8">
        <v>315</v>
      </c>
      <c r="B322" s="8" t="s">
        <v>549</v>
      </c>
      <c r="C322" s="8" t="s">
        <v>548</v>
      </c>
      <c r="D322" s="8" t="s">
        <v>198</v>
      </c>
      <c r="E322" s="8" t="s">
        <v>33</v>
      </c>
      <c r="F322" s="6" t="s">
        <v>34</v>
      </c>
      <c r="G322" s="6" t="s">
        <v>51</v>
      </c>
      <c r="H322" s="6" t="s">
        <v>51</v>
      </c>
      <c r="I322" s="8">
        <v>164</v>
      </c>
      <c r="J322" s="8" t="s">
        <v>61</v>
      </c>
      <c r="K322" s="8" t="s">
        <v>38</v>
      </c>
      <c r="L322" s="10">
        <v>1</v>
      </c>
      <c r="M322" s="13">
        <v>8500.0</v>
      </c>
      <c r="N322" s="13"/>
      <c r="O322" s="15">
        <f>IF(M322&gt;0, N322/M322, 0)</f>
        <v>0</v>
      </c>
      <c r="P322" s="13">
        <f>M322-N322</f>
        <v>8500</v>
      </c>
      <c r="Q322" s="13">
        <f>L322*M322</f>
        <v>8500</v>
      </c>
      <c r="R322" s="13">
        <f>L322*N322</f>
        <v>0</v>
      </c>
      <c r="S322" s="13">
        <f>L322*P322</f>
        <v>8500</v>
      </c>
      <c r="T322" s="13"/>
      <c r="U322" s="13">
        <f>L322*T322</f>
        <v>0</v>
      </c>
      <c r="V322" s="13">
        <f>S322-U322</f>
        <v>8500</v>
      </c>
      <c r="W322" s="15">
        <f>IF(S322&gt;0, V322/S322, 0)</f>
        <v>1</v>
      </c>
      <c r="X322" s="6" t="s">
        <v>39</v>
      </c>
      <c r="Y322" s="8" t="s">
        <v>40</v>
      </c>
      <c r="Z322" s="8" t="s">
        <v>41</v>
      </c>
      <c r="AA322" s="8" t="s">
        <v>42</v>
      </c>
      <c r="AB322" s="6" t="s">
        <v>42</v>
      </c>
    </row>
    <row r="323" spans="1:28">
      <c r="A323" s="9">
        <v>316</v>
      </c>
      <c r="B323" s="9" t="s">
        <v>550</v>
      </c>
      <c r="C323" s="9" t="s">
        <v>548</v>
      </c>
      <c r="D323" s="9" t="s">
        <v>198</v>
      </c>
      <c r="E323" s="9" t="s">
        <v>33</v>
      </c>
      <c r="F323" s="7" t="s">
        <v>34</v>
      </c>
      <c r="G323" s="7" t="s">
        <v>63</v>
      </c>
      <c r="H323" s="7" t="s">
        <v>148</v>
      </c>
      <c r="I323" s="9">
        <v>176</v>
      </c>
      <c r="J323" s="9" t="s">
        <v>233</v>
      </c>
      <c r="K323" s="9" t="s">
        <v>38</v>
      </c>
      <c r="L323" s="11">
        <v>1</v>
      </c>
      <c r="M323" s="14">
        <v>9500.0</v>
      </c>
      <c r="N323" s="14"/>
      <c r="O323" s="16">
        <f>IF(M323&gt;0, N323/M323, 0)</f>
        <v>0</v>
      </c>
      <c r="P323" s="14">
        <f>M323-N323</f>
        <v>9500</v>
      </c>
      <c r="Q323" s="14">
        <f>L323*M323</f>
        <v>9500</v>
      </c>
      <c r="R323" s="14">
        <f>L323*N323</f>
        <v>0</v>
      </c>
      <c r="S323" s="14">
        <f>L323*P323</f>
        <v>9500</v>
      </c>
      <c r="T323" s="14"/>
      <c r="U323" s="14">
        <f>L323*T323</f>
        <v>0</v>
      </c>
      <c r="V323" s="14">
        <f>S323-U323</f>
        <v>9500</v>
      </c>
      <c r="W323" s="16">
        <f>IF(S323&gt;0, V323/S323, 0)</f>
        <v>1</v>
      </c>
      <c r="X323" s="7" t="s">
        <v>39</v>
      </c>
      <c r="Y323" s="9" t="s">
        <v>40</v>
      </c>
      <c r="Z323" s="9" t="s">
        <v>41</v>
      </c>
      <c r="AA323" s="9" t="s">
        <v>42</v>
      </c>
      <c r="AB323" s="7" t="s">
        <v>42</v>
      </c>
    </row>
    <row r="324" spans="1:28">
      <c r="A324" s="8">
        <v>317</v>
      </c>
      <c r="B324" s="8" t="s">
        <v>551</v>
      </c>
      <c r="C324" s="8" t="s">
        <v>548</v>
      </c>
      <c r="D324" s="8" t="s">
        <v>198</v>
      </c>
      <c r="E324" s="8" t="s">
        <v>33</v>
      </c>
      <c r="F324" s="6" t="s">
        <v>34</v>
      </c>
      <c r="G324" s="6" t="s">
        <v>69</v>
      </c>
      <c r="H324" s="6" t="s">
        <v>69</v>
      </c>
      <c r="I324" s="8">
        <v>170</v>
      </c>
      <c r="J324" s="8" t="s">
        <v>179</v>
      </c>
      <c r="K324" s="8" t="s">
        <v>38</v>
      </c>
      <c r="L324" s="10">
        <v>1</v>
      </c>
      <c r="M324" s="13">
        <v>16500.0</v>
      </c>
      <c r="N324" s="13"/>
      <c r="O324" s="15">
        <f>IF(M324&gt;0, N324/M324, 0)</f>
        <v>0</v>
      </c>
      <c r="P324" s="13">
        <f>M324-N324</f>
        <v>16500</v>
      </c>
      <c r="Q324" s="13">
        <f>L324*M324</f>
        <v>16500</v>
      </c>
      <c r="R324" s="13">
        <f>L324*N324</f>
        <v>0</v>
      </c>
      <c r="S324" s="13">
        <f>L324*P324</f>
        <v>16500</v>
      </c>
      <c r="T324" s="13"/>
      <c r="U324" s="13">
        <f>L324*T324</f>
        <v>0</v>
      </c>
      <c r="V324" s="13">
        <f>S324-U324</f>
        <v>16500</v>
      </c>
      <c r="W324" s="15">
        <f>IF(S324&gt;0, V324/S324, 0)</f>
        <v>1</v>
      </c>
      <c r="X324" s="6" t="s">
        <v>39</v>
      </c>
      <c r="Y324" s="8" t="s">
        <v>40</v>
      </c>
      <c r="Z324" s="8" t="s">
        <v>41</v>
      </c>
      <c r="AA324" s="8" t="s">
        <v>42</v>
      </c>
      <c r="AB324" s="6" t="s">
        <v>42</v>
      </c>
    </row>
    <row r="325" spans="1:28">
      <c r="A325" s="9">
        <v>318</v>
      </c>
      <c r="B325" s="9" t="s">
        <v>552</v>
      </c>
      <c r="C325" s="9" t="s">
        <v>548</v>
      </c>
      <c r="D325" s="9" t="s">
        <v>198</v>
      </c>
      <c r="E325" s="9" t="s">
        <v>33</v>
      </c>
      <c r="F325" s="7" t="s">
        <v>34</v>
      </c>
      <c r="G325" s="7" t="s">
        <v>45</v>
      </c>
      <c r="H325" s="7" t="s">
        <v>46</v>
      </c>
      <c r="I325" s="9">
        <v>170</v>
      </c>
      <c r="J325" s="9" t="s">
        <v>181</v>
      </c>
      <c r="K325" s="9" t="s">
        <v>38</v>
      </c>
      <c r="L325" s="11">
        <v>1</v>
      </c>
      <c r="M325" s="14">
        <v>18000.0</v>
      </c>
      <c r="N325" s="14"/>
      <c r="O325" s="16">
        <f>IF(M325&gt;0, N325/M325, 0)</f>
        <v>0</v>
      </c>
      <c r="P325" s="14">
        <f>M325-N325</f>
        <v>18000</v>
      </c>
      <c r="Q325" s="14">
        <f>L325*M325</f>
        <v>18000</v>
      </c>
      <c r="R325" s="14">
        <f>L325*N325</f>
        <v>0</v>
      </c>
      <c r="S325" s="14">
        <f>L325*P325</f>
        <v>18000</v>
      </c>
      <c r="T325" s="14"/>
      <c r="U325" s="14">
        <f>L325*T325</f>
        <v>0</v>
      </c>
      <c r="V325" s="14">
        <f>S325-U325</f>
        <v>18000</v>
      </c>
      <c r="W325" s="16">
        <f>IF(S325&gt;0, V325/S325, 0)</f>
        <v>1</v>
      </c>
      <c r="X325" s="7" t="s">
        <v>39</v>
      </c>
      <c r="Y325" s="9" t="s">
        <v>40</v>
      </c>
      <c r="Z325" s="9" t="s">
        <v>41</v>
      </c>
      <c r="AA325" s="9" t="s">
        <v>42</v>
      </c>
      <c r="AB325" s="7" t="s">
        <v>42</v>
      </c>
    </row>
    <row r="326" spans="1:28">
      <c r="A326" s="8">
        <v>319</v>
      </c>
      <c r="B326" s="8" t="s">
        <v>553</v>
      </c>
      <c r="C326" s="8" t="s">
        <v>548</v>
      </c>
      <c r="D326" s="8" t="s">
        <v>198</v>
      </c>
      <c r="E326" s="8" t="s">
        <v>68</v>
      </c>
      <c r="F326" s="6" t="s">
        <v>50</v>
      </c>
      <c r="G326" s="6" t="s">
        <v>56</v>
      </c>
      <c r="H326" s="6" t="s">
        <v>56</v>
      </c>
      <c r="I326" s="8">
        <v>116</v>
      </c>
      <c r="J326" s="8" t="s">
        <v>79</v>
      </c>
      <c r="K326" s="8" t="s">
        <v>38</v>
      </c>
      <c r="L326" s="10">
        <v>1</v>
      </c>
      <c r="M326" s="13">
        <v>8000.0</v>
      </c>
      <c r="N326" s="13"/>
      <c r="O326" s="15">
        <f>IF(M326&gt;0, N326/M326, 0)</f>
        <v>0</v>
      </c>
      <c r="P326" s="13">
        <f>M326-N326</f>
        <v>8000</v>
      </c>
      <c r="Q326" s="13">
        <f>L326*M326</f>
        <v>8000</v>
      </c>
      <c r="R326" s="13">
        <f>L326*N326</f>
        <v>0</v>
      </c>
      <c r="S326" s="13">
        <f>L326*P326</f>
        <v>8000</v>
      </c>
      <c r="T326" s="13"/>
      <c r="U326" s="13">
        <f>L326*T326</f>
        <v>0</v>
      </c>
      <c r="V326" s="13">
        <f>S326-U326</f>
        <v>8000</v>
      </c>
      <c r="W326" s="15">
        <f>IF(S326&gt;0, V326/S326, 0)</f>
        <v>1</v>
      </c>
      <c r="X326" s="6" t="s">
        <v>39</v>
      </c>
      <c r="Y326" s="8" t="s">
        <v>40</v>
      </c>
      <c r="Z326" s="8" t="s">
        <v>71</v>
      </c>
      <c r="AA326" s="8" t="s">
        <v>42</v>
      </c>
      <c r="AB326" s="6" t="s">
        <v>42</v>
      </c>
    </row>
    <row r="327" spans="1:28">
      <c r="A327" s="9">
        <v>320</v>
      </c>
      <c r="B327" s="9" t="s">
        <v>554</v>
      </c>
      <c r="C327" s="9" t="s">
        <v>548</v>
      </c>
      <c r="D327" s="9" t="s">
        <v>198</v>
      </c>
      <c r="E327" s="9" t="s">
        <v>68</v>
      </c>
      <c r="F327" s="7" t="s">
        <v>50</v>
      </c>
      <c r="G327" s="7" t="s">
        <v>51</v>
      </c>
      <c r="H327" s="7" t="s">
        <v>51</v>
      </c>
      <c r="I327" s="9">
        <v>122</v>
      </c>
      <c r="J327" s="9" t="s">
        <v>82</v>
      </c>
      <c r="K327" s="9" t="s">
        <v>53</v>
      </c>
      <c r="L327" s="11">
        <v>1</v>
      </c>
      <c r="M327" s="14">
        <v>9000.0</v>
      </c>
      <c r="N327" s="14"/>
      <c r="O327" s="16">
        <f>IF(M327&gt;0, N327/M327, 0)</f>
        <v>0</v>
      </c>
      <c r="P327" s="14">
        <f>M327-N327</f>
        <v>9000</v>
      </c>
      <c r="Q327" s="14">
        <f>L327*M327</f>
        <v>9000</v>
      </c>
      <c r="R327" s="14">
        <f>L327*N327</f>
        <v>0</v>
      </c>
      <c r="S327" s="14">
        <f>L327*P327</f>
        <v>9000</v>
      </c>
      <c r="T327" s="14"/>
      <c r="U327" s="14">
        <f>L327*T327</f>
        <v>0</v>
      </c>
      <c r="V327" s="14">
        <f>S327-U327</f>
        <v>9000</v>
      </c>
      <c r="W327" s="16">
        <f>IF(S327&gt;0, V327/S327, 0)</f>
        <v>1</v>
      </c>
      <c r="X327" s="7" t="s">
        <v>39</v>
      </c>
      <c r="Y327" s="9" t="s">
        <v>40</v>
      </c>
      <c r="Z327" s="9" t="s">
        <v>71</v>
      </c>
      <c r="AA327" s="9" t="s">
        <v>42</v>
      </c>
      <c r="AB327" s="7" t="s">
        <v>42</v>
      </c>
    </row>
    <row r="328" spans="1:28">
      <c r="A328" s="8">
        <v>321</v>
      </c>
      <c r="B328" s="8" t="s">
        <v>555</v>
      </c>
      <c r="C328" s="8" t="s">
        <v>548</v>
      </c>
      <c r="D328" s="8" t="s">
        <v>198</v>
      </c>
      <c r="E328" s="8" t="s">
        <v>33</v>
      </c>
      <c r="F328" s="6" t="s">
        <v>50</v>
      </c>
      <c r="G328" s="6" t="s">
        <v>35</v>
      </c>
      <c r="H328" s="6" t="s">
        <v>36</v>
      </c>
      <c r="I328" s="8">
        <v>122</v>
      </c>
      <c r="J328" s="8" t="s">
        <v>105</v>
      </c>
      <c r="K328" s="8" t="s">
        <v>53</v>
      </c>
      <c r="L328" s="10">
        <v>2</v>
      </c>
      <c r="M328" s="13">
        <v>7000.0</v>
      </c>
      <c r="N328" s="13"/>
      <c r="O328" s="15">
        <f>IF(M328&gt;0, N328/M328, 0)</f>
        <v>0</v>
      </c>
      <c r="P328" s="13">
        <f>M328-N328</f>
        <v>7000</v>
      </c>
      <c r="Q328" s="13">
        <f>L328*M328</f>
        <v>14000</v>
      </c>
      <c r="R328" s="13">
        <f>L328*N328</f>
        <v>0</v>
      </c>
      <c r="S328" s="13">
        <f>L328*P328</f>
        <v>14000</v>
      </c>
      <c r="T328" s="13"/>
      <c r="U328" s="13">
        <f>L328*T328</f>
        <v>0</v>
      </c>
      <c r="V328" s="13">
        <f>S328-U328</f>
        <v>14000</v>
      </c>
      <c r="W328" s="15">
        <f>IF(S328&gt;0, V328/S328, 0)</f>
        <v>1</v>
      </c>
      <c r="X328" s="6" t="s">
        <v>39</v>
      </c>
      <c r="Y328" s="8" t="s">
        <v>40</v>
      </c>
      <c r="Z328" s="8" t="s">
        <v>41</v>
      </c>
      <c r="AA328" s="8" t="s">
        <v>42</v>
      </c>
      <c r="AB328" s="6" t="s">
        <v>42</v>
      </c>
    </row>
    <row r="329" spans="1:28">
      <c r="A329" s="9">
        <v>322</v>
      </c>
      <c r="B329" s="9" t="s">
        <v>556</v>
      </c>
      <c r="C329" s="9" t="s">
        <v>548</v>
      </c>
      <c r="D329" s="9" t="s">
        <v>198</v>
      </c>
      <c r="E329" s="9" t="s">
        <v>33</v>
      </c>
      <c r="F329" s="7" t="s">
        <v>50</v>
      </c>
      <c r="G329" s="7" t="s">
        <v>69</v>
      </c>
      <c r="H329" s="7" t="s">
        <v>69</v>
      </c>
      <c r="I329" s="9">
        <v>128</v>
      </c>
      <c r="J329" s="9" t="s">
        <v>110</v>
      </c>
      <c r="K329" s="9" t="s">
        <v>38</v>
      </c>
      <c r="L329" s="11">
        <v>1</v>
      </c>
      <c r="M329" s="14">
        <v>16000.0</v>
      </c>
      <c r="N329" s="14"/>
      <c r="O329" s="16">
        <f>IF(M329&gt;0, N329/M329, 0)</f>
        <v>0</v>
      </c>
      <c r="P329" s="14">
        <f>M329-N329</f>
        <v>16000</v>
      </c>
      <c r="Q329" s="14">
        <f>L329*M329</f>
        <v>16000</v>
      </c>
      <c r="R329" s="14">
        <f>L329*N329</f>
        <v>0</v>
      </c>
      <c r="S329" s="14">
        <f>L329*P329</f>
        <v>16000</v>
      </c>
      <c r="T329" s="14"/>
      <c r="U329" s="14">
        <f>L329*T329</f>
        <v>0</v>
      </c>
      <c r="V329" s="14">
        <f>S329-U329</f>
        <v>16000</v>
      </c>
      <c r="W329" s="16">
        <f>IF(S329&gt;0, V329/S329, 0)</f>
        <v>1</v>
      </c>
      <c r="X329" s="7" t="s">
        <v>39</v>
      </c>
      <c r="Y329" s="9" t="s">
        <v>40</v>
      </c>
      <c r="Z329" s="9" t="s">
        <v>41</v>
      </c>
      <c r="AA329" s="9" t="s">
        <v>42</v>
      </c>
      <c r="AB329" s="7" t="s">
        <v>42</v>
      </c>
    </row>
    <row r="330" spans="1:28">
      <c r="A330" s="8">
        <v>323</v>
      </c>
      <c r="B330" s="8" t="s">
        <v>557</v>
      </c>
      <c r="C330" s="8" t="s">
        <v>548</v>
      </c>
      <c r="D330" s="8" t="s">
        <v>198</v>
      </c>
      <c r="E330" s="8" t="s">
        <v>33</v>
      </c>
      <c r="F330" s="6" t="s">
        <v>34</v>
      </c>
      <c r="G330" s="6" t="s">
        <v>45</v>
      </c>
      <c r="H330" s="6" t="s">
        <v>46</v>
      </c>
      <c r="I330" s="8">
        <v>194</v>
      </c>
      <c r="J330" s="8" t="s">
        <v>558</v>
      </c>
      <c r="K330" s="8" t="s">
        <v>38</v>
      </c>
      <c r="L330" s="10">
        <v>1</v>
      </c>
      <c r="M330" s="13">
        <v>18000.0</v>
      </c>
      <c r="N330" s="13"/>
      <c r="O330" s="15">
        <f>IF(M330&gt;0, N330/M330, 0)</f>
        <v>0</v>
      </c>
      <c r="P330" s="13">
        <f>M330-N330</f>
        <v>18000</v>
      </c>
      <c r="Q330" s="13">
        <f>L330*M330</f>
        <v>18000</v>
      </c>
      <c r="R330" s="13">
        <f>L330*N330</f>
        <v>0</v>
      </c>
      <c r="S330" s="13">
        <f>L330*P330</f>
        <v>18000</v>
      </c>
      <c r="T330" s="13"/>
      <c r="U330" s="13">
        <f>L330*T330</f>
        <v>0</v>
      </c>
      <c r="V330" s="13">
        <f>S330-U330</f>
        <v>18000</v>
      </c>
      <c r="W330" s="15">
        <f>IF(S330&gt;0, V330/S330, 0)</f>
        <v>1</v>
      </c>
      <c r="X330" s="6" t="s">
        <v>39</v>
      </c>
      <c r="Y330" s="8" t="s">
        <v>40</v>
      </c>
      <c r="Z330" s="8" t="s">
        <v>41</v>
      </c>
      <c r="AA330" s="8" t="s">
        <v>42</v>
      </c>
      <c r="AB330" s="6" t="s">
        <v>42</v>
      </c>
    </row>
    <row r="331" spans="1:28">
      <c r="A331" s="9">
        <v>324</v>
      </c>
      <c r="B331" s="9" t="s">
        <v>559</v>
      </c>
      <c r="C331" s="9" t="s">
        <v>560</v>
      </c>
      <c r="D331" s="9" t="s">
        <v>198</v>
      </c>
      <c r="E331" s="9" t="s">
        <v>68</v>
      </c>
      <c r="F331" s="7" t="s">
        <v>34</v>
      </c>
      <c r="G331" s="7" t="s">
        <v>56</v>
      </c>
      <c r="H331" s="7" t="s">
        <v>56</v>
      </c>
      <c r="I331" s="9">
        <v>152</v>
      </c>
      <c r="J331" s="9" t="s">
        <v>329</v>
      </c>
      <c r="K331" s="9" t="s">
        <v>38</v>
      </c>
      <c r="L331" s="11">
        <v>1</v>
      </c>
      <c r="M331" s="14">
        <v>9000.0</v>
      </c>
      <c r="N331" s="14"/>
      <c r="O331" s="16">
        <f>IF(M331&gt;0, N331/M331, 0)</f>
        <v>0</v>
      </c>
      <c r="P331" s="14">
        <f>M331-N331</f>
        <v>9000</v>
      </c>
      <c r="Q331" s="14">
        <f>L331*M331</f>
        <v>9000</v>
      </c>
      <c r="R331" s="14">
        <f>L331*N331</f>
        <v>0</v>
      </c>
      <c r="S331" s="14">
        <f>L331*P331</f>
        <v>9000</v>
      </c>
      <c r="T331" s="14"/>
      <c r="U331" s="14">
        <f>L331*T331</f>
        <v>0</v>
      </c>
      <c r="V331" s="14">
        <f>S331-U331</f>
        <v>9000</v>
      </c>
      <c r="W331" s="16">
        <f>IF(S331&gt;0, V331/S331, 0)</f>
        <v>1</v>
      </c>
      <c r="X331" s="7" t="s">
        <v>39</v>
      </c>
      <c r="Y331" s="9" t="s">
        <v>40</v>
      </c>
      <c r="Z331" s="9" t="s">
        <v>71</v>
      </c>
      <c r="AA331" s="9" t="s">
        <v>42</v>
      </c>
      <c r="AB331" s="7" t="s">
        <v>42</v>
      </c>
    </row>
    <row r="332" spans="1:28">
      <c r="A332" s="8">
        <v>325</v>
      </c>
      <c r="B332" s="8" t="s">
        <v>561</v>
      </c>
      <c r="C332" s="8" t="s">
        <v>560</v>
      </c>
      <c r="D332" s="8" t="s">
        <v>198</v>
      </c>
      <c r="E332" s="8" t="s">
        <v>68</v>
      </c>
      <c r="F332" s="6" t="s">
        <v>34</v>
      </c>
      <c r="G332" s="6" t="s">
        <v>69</v>
      </c>
      <c r="H332" s="6" t="s">
        <v>69</v>
      </c>
      <c r="I332" s="8">
        <v>158</v>
      </c>
      <c r="J332" s="8" t="s">
        <v>260</v>
      </c>
      <c r="K332" s="8" t="s">
        <v>38</v>
      </c>
      <c r="L332" s="10">
        <v>1</v>
      </c>
      <c r="M332" s="13">
        <v>18000.0</v>
      </c>
      <c r="N332" s="13"/>
      <c r="O332" s="15">
        <f>IF(M332&gt;0, N332/M332, 0)</f>
        <v>0</v>
      </c>
      <c r="P332" s="13">
        <f>M332-N332</f>
        <v>18000</v>
      </c>
      <c r="Q332" s="13">
        <f>L332*M332</f>
        <v>18000</v>
      </c>
      <c r="R332" s="13">
        <f>L332*N332</f>
        <v>0</v>
      </c>
      <c r="S332" s="13">
        <f>L332*P332</f>
        <v>18000</v>
      </c>
      <c r="T332" s="13"/>
      <c r="U332" s="13">
        <f>L332*T332</f>
        <v>0</v>
      </c>
      <c r="V332" s="13">
        <f>S332-U332</f>
        <v>18000</v>
      </c>
      <c r="W332" s="15">
        <f>IF(S332&gt;0, V332/S332, 0)</f>
        <v>1</v>
      </c>
      <c r="X332" s="6" t="s">
        <v>39</v>
      </c>
      <c r="Y332" s="8" t="s">
        <v>40</v>
      </c>
      <c r="Z332" s="8" t="s">
        <v>71</v>
      </c>
      <c r="AA332" s="8" t="s">
        <v>42</v>
      </c>
      <c r="AB332" s="6" t="s">
        <v>42</v>
      </c>
    </row>
    <row r="333" spans="1:28">
      <c r="A333" s="9">
        <v>326</v>
      </c>
      <c r="B333" s="9" t="s">
        <v>562</v>
      </c>
      <c r="C333" s="9" t="s">
        <v>560</v>
      </c>
      <c r="D333" s="9" t="s">
        <v>198</v>
      </c>
      <c r="E333" s="9" t="s">
        <v>68</v>
      </c>
      <c r="F333" s="7" t="s">
        <v>34</v>
      </c>
      <c r="G333" s="7" t="s">
        <v>35</v>
      </c>
      <c r="H333" s="7" t="s">
        <v>36</v>
      </c>
      <c r="I333" s="9">
        <v>158</v>
      </c>
      <c r="J333" s="9" t="s">
        <v>37</v>
      </c>
      <c r="K333" s="9" t="s">
        <v>38</v>
      </c>
      <c r="L333" s="11">
        <v>1</v>
      </c>
      <c r="M333" s="14">
        <v>10000.0</v>
      </c>
      <c r="N333" s="14"/>
      <c r="O333" s="16">
        <f>IF(M333&gt;0, N333/M333, 0)</f>
        <v>0</v>
      </c>
      <c r="P333" s="14">
        <f>M333-N333</f>
        <v>10000</v>
      </c>
      <c r="Q333" s="14">
        <f>L333*M333</f>
        <v>10000</v>
      </c>
      <c r="R333" s="14">
        <f>L333*N333</f>
        <v>0</v>
      </c>
      <c r="S333" s="14">
        <f>L333*P333</f>
        <v>10000</v>
      </c>
      <c r="T333" s="14"/>
      <c r="U333" s="14">
        <f>L333*T333</f>
        <v>0</v>
      </c>
      <c r="V333" s="14">
        <f>S333-U333</f>
        <v>10000</v>
      </c>
      <c r="W333" s="16">
        <f>IF(S333&gt;0, V333/S333, 0)</f>
        <v>1</v>
      </c>
      <c r="X333" s="7" t="s">
        <v>39</v>
      </c>
      <c r="Y333" s="9" t="s">
        <v>40</v>
      </c>
      <c r="Z333" s="9" t="s">
        <v>71</v>
      </c>
      <c r="AA333" s="9" t="s">
        <v>42</v>
      </c>
      <c r="AB333" s="7" t="s">
        <v>42</v>
      </c>
    </row>
    <row r="334" spans="1:28">
      <c r="A334" s="8">
        <v>327</v>
      </c>
      <c r="B334" s="8" t="s">
        <v>563</v>
      </c>
      <c r="C334" s="8" t="s">
        <v>560</v>
      </c>
      <c r="D334" s="8" t="s">
        <v>198</v>
      </c>
      <c r="E334" s="8" t="s">
        <v>33</v>
      </c>
      <c r="F334" s="6" t="s">
        <v>34</v>
      </c>
      <c r="G334" s="6" t="s">
        <v>51</v>
      </c>
      <c r="H334" s="6" t="s">
        <v>51</v>
      </c>
      <c r="I334" s="8">
        <v>158</v>
      </c>
      <c r="J334" s="8" t="s">
        <v>122</v>
      </c>
      <c r="K334" s="8" t="s">
        <v>38</v>
      </c>
      <c r="L334" s="10">
        <v>1</v>
      </c>
      <c r="M334" s="13">
        <v>8500.0</v>
      </c>
      <c r="N334" s="13"/>
      <c r="O334" s="15">
        <f>IF(M334&gt;0, N334/M334, 0)</f>
        <v>0</v>
      </c>
      <c r="P334" s="13">
        <f>M334-N334</f>
        <v>8500</v>
      </c>
      <c r="Q334" s="13">
        <f>L334*M334</f>
        <v>8500</v>
      </c>
      <c r="R334" s="13">
        <f>L334*N334</f>
        <v>0</v>
      </c>
      <c r="S334" s="13">
        <f>L334*P334</f>
        <v>8500</v>
      </c>
      <c r="T334" s="13"/>
      <c r="U334" s="13">
        <f>L334*T334</f>
        <v>0</v>
      </c>
      <c r="V334" s="13">
        <f>S334-U334</f>
        <v>8500</v>
      </c>
      <c r="W334" s="15">
        <f>IF(S334&gt;0, V334/S334, 0)</f>
        <v>1</v>
      </c>
      <c r="X334" s="6" t="s">
        <v>39</v>
      </c>
      <c r="Y334" s="8" t="s">
        <v>40</v>
      </c>
      <c r="Z334" s="8" t="s">
        <v>41</v>
      </c>
      <c r="AA334" s="8" t="s">
        <v>42</v>
      </c>
      <c r="AB334" s="6" t="s">
        <v>42</v>
      </c>
    </row>
    <row r="335" spans="1:28">
      <c r="A335" s="9">
        <v>328</v>
      </c>
      <c r="B335" s="9" t="s">
        <v>564</v>
      </c>
      <c r="C335" s="9" t="s">
        <v>560</v>
      </c>
      <c r="D335" s="9" t="s">
        <v>198</v>
      </c>
      <c r="E335" s="9" t="s">
        <v>33</v>
      </c>
      <c r="F335" s="7" t="s">
        <v>34</v>
      </c>
      <c r="G335" s="7" t="s">
        <v>35</v>
      </c>
      <c r="H335" s="7" t="s">
        <v>36</v>
      </c>
      <c r="I335" s="9">
        <v>170</v>
      </c>
      <c r="J335" s="9" t="s">
        <v>142</v>
      </c>
      <c r="K335" s="9" t="s">
        <v>38</v>
      </c>
      <c r="L335" s="11">
        <v>1</v>
      </c>
      <c r="M335" s="14">
        <v>8000.0</v>
      </c>
      <c r="N335" s="14"/>
      <c r="O335" s="16">
        <f>IF(M335&gt;0, N335/M335, 0)</f>
        <v>0</v>
      </c>
      <c r="P335" s="14">
        <f>M335-N335</f>
        <v>8000</v>
      </c>
      <c r="Q335" s="14">
        <f>L335*M335</f>
        <v>8000</v>
      </c>
      <c r="R335" s="14">
        <f>L335*N335</f>
        <v>0</v>
      </c>
      <c r="S335" s="14">
        <f>L335*P335</f>
        <v>8000</v>
      </c>
      <c r="T335" s="14"/>
      <c r="U335" s="14">
        <f>L335*T335</f>
        <v>0</v>
      </c>
      <c r="V335" s="14">
        <f>S335-U335</f>
        <v>8000</v>
      </c>
      <c r="W335" s="16">
        <f>IF(S335&gt;0, V335/S335, 0)</f>
        <v>1</v>
      </c>
      <c r="X335" s="7" t="s">
        <v>39</v>
      </c>
      <c r="Y335" s="9" t="s">
        <v>40</v>
      </c>
      <c r="Z335" s="9" t="s">
        <v>41</v>
      </c>
      <c r="AA335" s="9" t="s">
        <v>42</v>
      </c>
      <c r="AB335" s="7" t="s">
        <v>42</v>
      </c>
    </row>
    <row r="336" spans="1:28">
      <c r="A336" s="8">
        <v>329</v>
      </c>
      <c r="B336" s="8" t="s">
        <v>565</v>
      </c>
      <c r="C336" s="8" t="s">
        <v>560</v>
      </c>
      <c r="D336" s="8" t="s">
        <v>198</v>
      </c>
      <c r="E336" s="8" t="s">
        <v>33</v>
      </c>
      <c r="F336" s="6" t="s">
        <v>50</v>
      </c>
      <c r="G336" s="6" t="s">
        <v>45</v>
      </c>
      <c r="H336" s="6" t="s">
        <v>46</v>
      </c>
      <c r="I336" s="8">
        <v>134</v>
      </c>
      <c r="J336" s="8" t="s">
        <v>376</v>
      </c>
      <c r="K336" s="8" t="s">
        <v>38</v>
      </c>
      <c r="L336" s="10">
        <v>1</v>
      </c>
      <c r="M336" s="13">
        <v>18000.0</v>
      </c>
      <c r="N336" s="13"/>
      <c r="O336" s="15">
        <f>IF(M336&gt;0, N336/M336, 0)</f>
        <v>0</v>
      </c>
      <c r="P336" s="13">
        <f>M336-N336</f>
        <v>18000</v>
      </c>
      <c r="Q336" s="13">
        <f>L336*M336</f>
        <v>18000</v>
      </c>
      <c r="R336" s="13">
        <f>L336*N336</f>
        <v>0</v>
      </c>
      <c r="S336" s="13">
        <f>L336*P336</f>
        <v>18000</v>
      </c>
      <c r="T336" s="13"/>
      <c r="U336" s="13">
        <f>L336*T336</f>
        <v>0</v>
      </c>
      <c r="V336" s="13">
        <f>S336-U336</f>
        <v>18000</v>
      </c>
      <c r="W336" s="15">
        <f>IF(S336&gt;0, V336/S336, 0)</f>
        <v>1</v>
      </c>
      <c r="X336" s="6" t="s">
        <v>39</v>
      </c>
      <c r="Y336" s="8" t="s">
        <v>40</v>
      </c>
      <c r="Z336" s="8" t="s">
        <v>41</v>
      </c>
      <c r="AA336" s="8" t="s">
        <v>42</v>
      </c>
      <c r="AB336" s="6" t="s">
        <v>42</v>
      </c>
    </row>
    <row r="337" spans="1:28">
      <c r="A337" s="9">
        <v>330</v>
      </c>
      <c r="B337" s="9" t="s">
        <v>566</v>
      </c>
      <c r="C337" s="9" t="s">
        <v>560</v>
      </c>
      <c r="D337" s="9" t="s">
        <v>198</v>
      </c>
      <c r="E337" s="9" t="s">
        <v>33</v>
      </c>
      <c r="F337" s="7" t="s">
        <v>50</v>
      </c>
      <c r="G337" s="7" t="s">
        <v>158</v>
      </c>
      <c r="H337" s="7" t="s">
        <v>567</v>
      </c>
      <c r="I337" s="9" t="s">
        <v>42</v>
      </c>
      <c r="J337" s="9" t="s">
        <v>568</v>
      </c>
      <c r="K337" s="9" t="s">
        <v>38</v>
      </c>
      <c r="L337" s="11">
        <v>1</v>
      </c>
      <c r="M337" s="14">
        <v>5000.0</v>
      </c>
      <c r="N337" s="14"/>
      <c r="O337" s="16">
        <f>IF(M337&gt;0, N337/M337, 0)</f>
        <v>0</v>
      </c>
      <c r="P337" s="14">
        <f>M337-N337</f>
        <v>5000</v>
      </c>
      <c r="Q337" s="14">
        <f>L337*M337</f>
        <v>5000</v>
      </c>
      <c r="R337" s="14">
        <f>L337*N337</f>
        <v>0</v>
      </c>
      <c r="S337" s="14">
        <f>L337*P337</f>
        <v>5000</v>
      </c>
      <c r="T337" s="14"/>
      <c r="U337" s="14">
        <f>L337*T337</f>
        <v>0</v>
      </c>
      <c r="V337" s="14">
        <f>S337-U337</f>
        <v>5000</v>
      </c>
      <c r="W337" s="16">
        <f>IF(S337&gt;0, V337/S337, 0)</f>
        <v>1</v>
      </c>
      <c r="X337" s="7" t="s">
        <v>39</v>
      </c>
      <c r="Y337" s="9" t="s">
        <v>40</v>
      </c>
      <c r="Z337" s="9" t="s">
        <v>41</v>
      </c>
      <c r="AA337" s="9" t="s">
        <v>42</v>
      </c>
      <c r="AB337" s="7" t="s">
        <v>42</v>
      </c>
    </row>
    <row r="338" spans="1:28">
      <c r="A338" s="8">
        <v>331</v>
      </c>
      <c r="B338" s="8" t="s">
        <v>569</v>
      </c>
      <c r="C338" s="8" t="s">
        <v>560</v>
      </c>
      <c r="D338" s="8" t="s">
        <v>198</v>
      </c>
      <c r="E338" s="8" t="s">
        <v>68</v>
      </c>
      <c r="F338" s="6" t="s">
        <v>50</v>
      </c>
      <c r="G338" s="6" t="s">
        <v>35</v>
      </c>
      <c r="H338" s="6" t="s">
        <v>73</v>
      </c>
      <c r="I338" s="8">
        <v>140</v>
      </c>
      <c r="J338" s="8" t="s">
        <v>570</v>
      </c>
      <c r="K338" s="8" t="s">
        <v>53</v>
      </c>
      <c r="L338" s="10">
        <v>1</v>
      </c>
      <c r="M338" s="13">
        <v>10000.0</v>
      </c>
      <c r="N338" s="13"/>
      <c r="O338" s="15">
        <f>IF(M338&gt;0, N338/M338, 0)</f>
        <v>0</v>
      </c>
      <c r="P338" s="13">
        <f>M338-N338</f>
        <v>10000</v>
      </c>
      <c r="Q338" s="13">
        <f>L338*M338</f>
        <v>10000</v>
      </c>
      <c r="R338" s="13">
        <f>L338*N338</f>
        <v>0</v>
      </c>
      <c r="S338" s="13">
        <f>L338*P338</f>
        <v>10000</v>
      </c>
      <c r="T338" s="13"/>
      <c r="U338" s="13">
        <f>L338*T338</f>
        <v>0</v>
      </c>
      <c r="V338" s="13">
        <f>S338-U338</f>
        <v>10000</v>
      </c>
      <c r="W338" s="15">
        <f>IF(S338&gt;0, V338/S338, 0)</f>
        <v>1</v>
      </c>
      <c r="X338" s="6" t="s">
        <v>39</v>
      </c>
      <c r="Y338" s="8" t="s">
        <v>40</v>
      </c>
      <c r="Z338" s="8" t="s">
        <v>71</v>
      </c>
      <c r="AA338" s="8" t="s">
        <v>42</v>
      </c>
      <c r="AB338" s="6" t="s">
        <v>42</v>
      </c>
    </row>
    <row r="339" spans="1:28">
      <c r="A339" s="9">
        <v>332</v>
      </c>
      <c r="B339" s="9" t="s">
        <v>571</v>
      </c>
      <c r="C339" s="9" t="s">
        <v>560</v>
      </c>
      <c r="D339" s="9" t="s">
        <v>198</v>
      </c>
      <c r="E339" s="9" t="s">
        <v>68</v>
      </c>
      <c r="F339" s="7" t="s">
        <v>50</v>
      </c>
      <c r="G339" s="7" t="s">
        <v>63</v>
      </c>
      <c r="H339" s="7" t="s">
        <v>148</v>
      </c>
      <c r="I339" s="9">
        <v>134</v>
      </c>
      <c r="J339" s="9" t="s">
        <v>246</v>
      </c>
      <c r="K339" s="9" t="s">
        <v>38</v>
      </c>
      <c r="L339" s="11">
        <v>1</v>
      </c>
      <c r="M339" s="14">
        <v>10000.0</v>
      </c>
      <c r="N339" s="14"/>
      <c r="O339" s="16">
        <f>IF(M339&gt;0, N339/M339, 0)</f>
        <v>0</v>
      </c>
      <c r="P339" s="14">
        <f>M339-N339</f>
        <v>10000</v>
      </c>
      <c r="Q339" s="14">
        <f>L339*M339</f>
        <v>10000</v>
      </c>
      <c r="R339" s="14">
        <f>L339*N339</f>
        <v>0</v>
      </c>
      <c r="S339" s="14">
        <f>L339*P339</f>
        <v>10000</v>
      </c>
      <c r="T339" s="14"/>
      <c r="U339" s="14">
        <f>L339*T339</f>
        <v>0</v>
      </c>
      <c r="V339" s="14">
        <f>S339-U339</f>
        <v>10000</v>
      </c>
      <c r="W339" s="16">
        <f>IF(S339&gt;0, V339/S339, 0)</f>
        <v>1</v>
      </c>
      <c r="X339" s="7" t="s">
        <v>39</v>
      </c>
      <c r="Y339" s="9" t="s">
        <v>40</v>
      </c>
      <c r="Z339" s="9" t="s">
        <v>71</v>
      </c>
      <c r="AA339" s="9" t="s">
        <v>42</v>
      </c>
      <c r="AB339" s="7" t="s">
        <v>42</v>
      </c>
    </row>
    <row r="340" spans="1:28">
      <c r="A340" s="8">
        <v>333</v>
      </c>
      <c r="B340" s="8" t="s">
        <v>572</v>
      </c>
      <c r="C340" s="8" t="s">
        <v>560</v>
      </c>
      <c r="D340" s="8" t="s">
        <v>198</v>
      </c>
      <c r="E340" s="8" t="s">
        <v>68</v>
      </c>
      <c r="F340" s="6" t="s">
        <v>50</v>
      </c>
      <c r="G340" s="6" t="s">
        <v>56</v>
      </c>
      <c r="H340" s="6" t="s">
        <v>56</v>
      </c>
      <c r="I340" s="8">
        <v>134</v>
      </c>
      <c r="J340" s="8" t="s">
        <v>281</v>
      </c>
      <c r="K340" s="8" t="s">
        <v>38</v>
      </c>
      <c r="L340" s="10">
        <v>1</v>
      </c>
      <c r="M340" s="13">
        <v>8000.0</v>
      </c>
      <c r="N340" s="13"/>
      <c r="O340" s="15">
        <f>IF(M340&gt;0, N340/M340, 0)</f>
        <v>0</v>
      </c>
      <c r="P340" s="13">
        <f>M340-N340</f>
        <v>8000</v>
      </c>
      <c r="Q340" s="13">
        <f>L340*M340</f>
        <v>8000</v>
      </c>
      <c r="R340" s="13">
        <f>L340*N340</f>
        <v>0</v>
      </c>
      <c r="S340" s="13">
        <f>L340*P340</f>
        <v>8000</v>
      </c>
      <c r="T340" s="13"/>
      <c r="U340" s="13">
        <f>L340*T340</f>
        <v>0</v>
      </c>
      <c r="V340" s="13">
        <f>S340-U340</f>
        <v>8000</v>
      </c>
      <c r="W340" s="15">
        <f>IF(S340&gt;0, V340/S340, 0)</f>
        <v>1</v>
      </c>
      <c r="X340" s="6" t="s">
        <v>39</v>
      </c>
      <c r="Y340" s="8" t="s">
        <v>40</v>
      </c>
      <c r="Z340" s="8" t="s">
        <v>71</v>
      </c>
      <c r="AA340" s="8" t="s">
        <v>42</v>
      </c>
      <c r="AB340" s="6" t="s">
        <v>42</v>
      </c>
    </row>
    <row r="341" spans="1:28">
      <c r="A341" s="9">
        <v>334</v>
      </c>
      <c r="B341" s="9" t="s">
        <v>573</v>
      </c>
      <c r="C341" s="9" t="s">
        <v>560</v>
      </c>
      <c r="D341" s="9" t="s">
        <v>198</v>
      </c>
      <c r="E341" s="9" t="s">
        <v>33</v>
      </c>
      <c r="F341" s="7" t="s">
        <v>50</v>
      </c>
      <c r="G341" s="7" t="s">
        <v>69</v>
      </c>
      <c r="H341" s="7" t="s">
        <v>69</v>
      </c>
      <c r="I341" s="9">
        <v>140</v>
      </c>
      <c r="J341" s="9" t="s">
        <v>225</v>
      </c>
      <c r="K341" s="9" t="s">
        <v>38</v>
      </c>
      <c r="L341" s="11">
        <v>1</v>
      </c>
      <c r="M341" s="14">
        <v>16000.0</v>
      </c>
      <c r="N341" s="14"/>
      <c r="O341" s="16">
        <f>IF(M341&gt;0, N341/M341, 0)</f>
        <v>0</v>
      </c>
      <c r="P341" s="14">
        <f>M341-N341</f>
        <v>16000</v>
      </c>
      <c r="Q341" s="14">
        <f>L341*M341</f>
        <v>16000</v>
      </c>
      <c r="R341" s="14">
        <f>L341*N341</f>
        <v>0</v>
      </c>
      <c r="S341" s="14">
        <f>L341*P341</f>
        <v>16000</v>
      </c>
      <c r="T341" s="14"/>
      <c r="U341" s="14">
        <f>L341*T341</f>
        <v>0</v>
      </c>
      <c r="V341" s="14">
        <f>S341-U341</f>
        <v>16000</v>
      </c>
      <c r="W341" s="16">
        <f>IF(S341&gt;0, V341/S341, 0)</f>
        <v>1</v>
      </c>
      <c r="X341" s="7" t="s">
        <v>39</v>
      </c>
      <c r="Y341" s="9" t="s">
        <v>40</v>
      </c>
      <c r="Z341" s="9" t="s">
        <v>41</v>
      </c>
      <c r="AA341" s="9" t="s">
        <v>42</v>
      </c>
      <c r="AB341" s="7" t="s">
        <v>42</v>
      </c>
    </row>
    <row r="342" spans="1:28">
      <c r="A342" s="8">
        <v>335</v>
      </c>
      <c r="B342" s="8" t="s">
        <v>574</v>
      </c>
      <c r="C342" s="8" t="s">
        <v>560</v>
      </c>
      <c r="D342" s="8" t="s">
        <v>198</v>
      </c>
      <c r="E342" s="8" t="s">
        <v>33</v>
      </c>
      <c r="F342" s="6" t="s">
        <v>50</v>
      </c>
      <c r="G342" s="6" t="s">
        <v>51</v>
      </c>
      <c r="H342" s="6" t="s">
        <v>51</v>
      </c>
      <c r="I342" s="8">
        <v>140</v>
      </c>
      <c r="J342" s="8" t="s">
        <v>279</v>
      </c>
      <c r="K342" s="8" t="s">
        <v>53</v>
      </c>
      <c r="L342" s="10">
        <v>1</v>
      </c>
      <c r="M342" s="13">
        <v>8000.0</v>
      </c>
      <c r="N342" s="13"/>
      <c r="O342" s="15">
        <f>IF(M342&gt;0, N342/M342, 0)</f>
        <v>0</v>
      </c>
      <c r="P342" s="13">
        <f>M342-N342</f>
        <v>8000</v>
      </c>
      <c r="Q342" s="13">
        <f>L342*M342</f>
        <v>8000</v>
      </c>
      <c r="R342" s="13">
        <f>L342*N342</f>
        <v>0</v>
      </c>
      <c r="S342" s="13">
        <f>L342*P342</f>
        <v>8000</v>
      </c>
      <c r="T342" s="13"/>
      <c r="U342" s="13">
        <f>L342*T342</f>
        <v>0</v>
      </c>
      <c r="V342" s="13">
        <f>S342-U342</f>
        <v>8000</v>
      </c>
      <c r="W342" s="15">
        <f>IF(S342&gt;0, V342/S342, 0)</f>
        <v>1</v>
      </c>
      <c r="X342" s="6" t="s">
        <v>39</v>
      </c>
      <c r="Y342" s="8" t="s">
        <v>40</v>
      </c>
      <c r="Z342" s="8" t="s">
        <v>41</v>
      </c>
      <c r="AA342" s="8" t="s">
        <v>42</v>
      </c>
      <c r="AB342" s="6" t="s">
        <v>42</v>
      </c>
    </row>
    <row r="343" spans="1:28">
      <c r="A343" s="9">
        <v>336</v>
      </c>
      <c r="B343" s="9" t="s">
        <v>575</v>
      </c>
      <c r="C343" s="9" t="s">
        <v>560</v>
      </c>
      <c r="D343" s="9" t="s">
        <v>198</v>
      </c>
      <c r="E343" s="9" t="s">
        <v>33</v>
      </c>
      <c r="F343" s="7" t="s">
        <v>50</v>
      </c>
      <c r="G343" s="7" t="s">
        <v>35</v>
      </c>
      <c r="H343" s="7" t="s">
        <v>36</v>
      </c>
      <c r="I343" s="9">
        <v>140</v>
      </c>
      <c r="J343" s="9" t="s">
        <v>223</v>
      </c>
      <c r="K343" s="9" t="s">
        <v>53</v>
      </c>
      <c r="L343" s="11">
        <v>1</v>
      </c>
      <c r="M343" s="14">
        <v>7000.0</v>
      </c>
      <c r="N343" s="14"/>
      <c r="O343" s="16">
        <f>IF(M343&gt;0, N343/M343, 0)</f>
        <v>0</v>
      </c>
      <c r="P343" s="14">
        <f>M343-N343</f>
        <v>7000</v>
      </c>
      <c r="Q343" s="14">
        <f>L343*M343</f>
        <v>7000</v>
      </c>
      <c r="R343" s="14">
        <f>L343*N343</f>
        <v>0</v>
      </c>
      <c r="S343" s="14">
        <f>L343*P343</f>
        <v>7000</v>
      </c>
      <c r="T343" s="14"/>
      <c r="U343" s="14">
        <f>L343*T343</f>
        <v>0</v>
      </c>
      <c r="V343" s="14">
        <f>S343-U343</f>
        <v>7000</v>
      </c>
      <c r="W343" s="16">
        <f>IF(S343&gt;0, V343/S343, 0)</f>
        <v>1</v>
      </c>
      <c r="X343" s="7" t="s">
        <v>39</v>
      </c>
      <c r="Y343" s="9" t="s">
        <v>40</v>
      </c>
      <c r="Z343" s="9" t="s">
        <v>41</v>
      </c>
      <c r="AA343" s="9" t="s">
        <v>42</v>
      </c>
      <c r="AB343" s="7" t="s">
        <v>42</v>
      </c>
    </row>
    <row r="344" spans="1:28">
      <c r="A344" s="8">
        <v>337</v>
      </c>
      <c r="B344" s="8" t="s">
        <v>576</v>
      </c>
      <c r="C344" s="8" t="s">
        <v>560</v>
      </c>
      <c r="D344" s="8" t="s">
        <v>198</v>
      </c>
      <c r="E344" s="8" t="s">
        <v>68</v>
      </c>
      <c r="F344" s="6" t="s">
        <v>50</v>
      </c>
      <c r="G344" s="6" t="s">
        <v>56</v>
      </c>
      <c r="H344" s="6" t="s">
        <v>56</v>
      </c>
      <c r="I344" s="8">
        <v>128</v>
      </c>
      <c r="J344" s="8" t="s">
        <v>577</v>
      </c>
      <c r="K344" s="8" t="s">
        <v>38</v>
      </c>
      <c r="L344" s="10">
        <v>1</v>
      </c>
      <c r="M344" s="13">
        <v>8000.0</v>
      </c>
      <c r="N344" s="13"/>
      <c r="O344" s="15">
        <f>IF(M344&gt;0, N344/M344, 0)</f>
        <v>0</v>
      </c>
      <c r="P344" s="13">
        <f>M344-N344</f>
        <v>8000</v>
      </c>
      <c r="Q344" s="13">
        <f>L344*M344</f>
        <v>8000</v>
      </c>
      <c r="R344" s="13">
        <f>L344*N344</f>
        <v>0</v>
      </c>
      <c r="S344" s="13">
        <f>L344*P344</f>
        <v>8000</v>
      </c>
      <c r="T344" s="13"/>
      <c r="U344" s="13">
        <f>L344*T344</f>
        <v>0</v>
      </c>
      <c r="V344" s="13">
        <f>S344-U344</f>
        <v>8000</v>
      </c>
      <c r="W344" s="15">
        <f>IF(S344&gt;0, V344/S344, 0)</f>
        <v>1</v>
      </c>
      <c r="X344" s="6" t="s">
        <v>39</v>
      </c>
      <c r="Y344" s="8" t="s">
        <v>40</v>
      </c>
      <c r="Z344" s="8" t="s">
        <v>71</v>
      </c>
      <c r="AA344" s="8" t="s">
        <v>42</v>
      </c>
      <c r="AB344" s="6" t="s">
        <v>42</v>
      </c>
    </row>
    <row r="345" spans="1:28">
      <c r="A345" s="9">
        <v>338</v>
      </c>
      <c r="B345" s="9" t="s">
        <v>578</v>
      </c>
      <c r="C345" s="9" t="s">
        <v>560</v>
      </c>
      <c r="D345" s="9" t="s">
        <v>198</v>
      </c>
      <c r="E345" s="9" t="s">
        <v>33</v>
      </c>
      <c r="F345" s="7" t="s">
        <v>50</v>
      </c>
      <c r="G345" s="7" t="s">
        <v>69</v>
      </c>
      <c r="H345" s="7" t="s">
        <v>69</v>
      </c>
      <c r="I345" s="9">
        <v>140</v>
      </c>
      <c r="J345" s="9" t="s">
        <v>225</v>
      </c>
      <c r="K345" s="9" t="s">
        <v>38</v>
      </c>
      <c r="L345" s="11">
        <v>1</v>
      </c>
      <c r="M345" s="14">
        <v>16000.0</v>
      </c>
      <c r="N345" s="14"/>
      <c r="O345" s="16">
        <f>IF(M345&gt;0, N345/M345, 0)</f>
        <v>0</v>
      </c>
      <c r="P345" s="14">
        <f>M345-N345</f>
        <v>16000</v>
      </c>
      <c r="Q345" s="14">
        <f>L345*M345</f>
        <v>16000</v>
      </c>
      <c r="R345" s="14">
        <f>L345*N345</f>
        <v>0</v>
      </c>
      <c r="S345" s="14">
        <f>L345*P345</f>
        <v>16000</v>
      </c>
      <c r="T345" s="14"/>
      <c r="U345" s="14">
        <f>L345*T345</f>
        <v>0</v>
      </c>
      <c r="V345" s="14">
        <f>S345-U345</f>
        <v>16000</v>
      </c>
      <c r="W345" s="16">
        <f>IF(S345&gt;0, V345/S345, 0)</f>
        <v>1</v>
      </c>
      <c r="X345" s="7" t="s">
        <v>39</v>
      </c>
      <c r="Y345" s="9" t="s">
        <v>40</v>
      </c>
      <c r="Z345" s="9" t="s">
        <v>41</v>
      </c>
      <c r="AA345" s="9" t="s">
        <v>42</v>
      </c>
      <c r="AB345" s="7" t="s">
        <v>42</v>
      </c>
    </row>
    <row r="346" spans="1:28">
      <c r="A346" s="8">
        <v>339</v>
      </c>
      <c r="B346" s="8" t="s">
        <v>579</v>
      </c>
      <c r="C346" s="8" t="s">
        <v>560</v>
      </c>
      <c r="D346" s="8" t="s">
        <v>198</v>
      </c>
      <c r="E346" s="8" t="s">
        <v>33</v>
      </c>
      <c r="F346" s="6" t="s">
        <v>50</v>
      </c>
      <c r="G346" s="6" t="s">
        <v>51</v>
      </c>
      <c r="H346" s="6" t="s">
        <v>51</v>
      </c>
      <c r="I346" s="8">
        <v>140</v>
      </c>
      <c r="J346" s="8" t="s">
        <v>279</v>
      </c>
      <c r="K346" s="8" t="s">
        <v>53</v>
      </c>
      <c r="L346" s="10">
        <v>1</v>
      </c>
      <c r="M346" s="13">
        <v>8000.0</v>
      </c>
      <c r="N346" s="13"/>
      <c r="O346" s="15">
        <f>IF(M346&gt;0, N346/M346, 0)</f>
        <v>0</v>
      </c>
      <c r="P346" s="13">
        <f>M346-N346</f>
        <v>8000</v>
      </c>
      <c r="Q346" s="13">
        <f>L346*M346</f>
        <v>8000</v>
      </c>
      <c r="R346" s="13">
        <f>L346*N346</f>
        <v>0</v>
      </c>
      <c r="S346" s="13">
        <f>L346*P346</f>
        <v>8000</v>
      </c>
      <c r="T346" s="13"/>
      <c r="U346" s="13">
        <f>L346*T346</f>
        <v>0</v>
      </c>
      <c r="V346" s="13">
        <f>S346-U346</f>
        <v>8000</v>
      </c>
      <c r="W346" s="15">
        <f>IF(S346&gt;0, V346/S346, 0)</f>
        <v>1</v>
      </c>
      <c r="X346" s="6" t="s">
        <v>39</v>
      </c>
      <c r="Y346" s="8" t="s">
        <v>40</v>
      </c>
      <c r="Z346" s="8" t="s">
        <v>41</v>
      </c>
      <c r="AA346" s="8" t="s">
        <v>42</v>
      </c>
      <c r="AB346" s="6" t="s">
        <v>42</v>
      </c>
    </row>
    <row r="347" spans="1:28">
      <c r="A347" s="9">
        <v>340</v>
      </c>
      <c r="B347" s="9" t="s">
        <v>580</v>
      </c>
      <c r="C347" s="9" t="s">
        <v>560</v>
      </c>
      <c r="D347" s="9" t="s">
        <v>198</v>
      </c>
      <c r="E347" s="9" t="s">
        <v>33</v>
      </c>
      <c r="F347" s="7" t="s">
        <v>50</v>
      </c>
      <c r="G347" s="7" t="s">
        <v>35</v>
      </c>
      <c r="H347" s="7" t="s">
        <v>73</v>
      </c>
      <c r="I347" s="9">
        <v>146</v>
      </c>
      <c r="J347" s="9" t="s">
        <v>340</v>
      </c>
      <c r="K347" s="9" t="s">
        <v>53</v>
      </c>
      <c r="L347" s="11">
        <v>1</v>
      </c>
      <c r="M347" s="14">
        <v>8000.0</v>
      </c>
      <c r="N347" s="14"/>
      <c r="O347" s="16">
        <f>IF(M347&gt;0, N347/M347, 0)</f>
        <v>0</v>
      </c>
      <c r="P347" s="14">
        <f>M347-N347</f>
        <v>8000</v>
      </c>
      <c r="Q347" s="14">
        <f>L347*M347</f>
        <v>8000</v>
      </c>
      <c r="R347" s="14">
        <f>L347*N347</f>
        <v>0</v>
      </c>
      <c r="S347" s="14">
        <f>L347*P347</f>
        <v>8000</v>
      </c>
      <c r="T347" s="14"/>
      <c r="U347" s="14">
        <f>L347*T347</f>
        <v>0</v>
      </c>
      <c r="V347" s="14">
        <f>S347-U347</f>
        <v>8000</v>
      </c>
      <c r="W347" s="16">
        <f>IF(S347&gt;0, V347/S347, 0)</f>
        <v>1</v>
      </c>
      <c r="X347" s="7" t="s">
        <v>39</v>
      </c>
      <c r="Y347" s="9" t="s">
        <v>40</v>
      </c>
      <c r="Z347" s="9" t="s">
        <v>41</v>
      </c>
      <c r="AA347" s="9" t="s">
        <v>42</v>
      </c>
      <c r="AB347" s="7" t="s">
        <v>42</v>
      </c>
    </row>
    <row r="348" spans="1:28">
      <c r="A348" s="8">
        <v>341</v>
      </c>
      <c r="B348" s="8" t="s">
        <v>581</v>
      </c>
      <c r="C348" s="8" t="s">
        <v>560</v>
      </c>
      <c r="D348" s="8" t="s">
        <v>198</v>
      </c>
      <c r="E348" s="8" t="s">
        <v>33</v>
      </c>
      <c r="F348" s="6" t="s">
        <v>50</v>
      </c>
      <c r="G348" s="6" t="s">
        <v>35</v>
      </c>
      <c r="H348" s="6" t="s">
        <v>36</v>
      </c>
      <c r="I348" s="8">
        <v>140</v>
      </c>
      <c r="J348" s="8" t="s">
        <v>223</v>
      </c>
      <c r="K348" s="8" t="s">
        <v>53</v>
      </c>
      <c r="L348" s="10">
        <v>2</v>
      </c>
      <c r="M348" s="13">
        <v>7000.0</v>
      </c>
      <c r="N348" s="13"/>
      <c r="O348" s="15">
        <f>IF(M348&gt;0, N348/M348, 0)</f>
        <v>0</v>
      </c>
      <c r="P348" s="13">
        <f>M348-N348</f>
        <v>7000</v>
      </c>
      <c r="Q348" s="13">
        <f>L348*M348</f>
        <v>14000</v>
      </c>
      <c r="R348" s="13">
        <f>L348*N348</f>
        <v>0</v>
      </c>
      <c r="S348" s="13">
        <f>L348*P348</f>
        <v>14000</v>
      </c>
      <c r="T348" s="13"/>
      <c r="U348" s="13">
        <f>L348*T348</f>
        <v>0</v>
      </c>
      <c r="V348" s="13">
        <f>S348-U348</f>
        <v>14000</v>
      </c>
      <c r="W348" s="15">
        <f>IF(S348&gt;0, V348/S348, 0)</f>
        <v>1</v>
      </c>
      <c r="X348" s="6" t="s">
        <v>39</v>
      </c>
      <c r="Y348" s="8" t="s">
        <v>40</v>
      </c>
      <c r="Z348" s="8" t="s">
        <v>41</v>
      </c>
      <c r="AA348" s="8" t="s">
        <v>42</v>
      </c>
      <c r="AB348" s="6" t="s">
        <v>42</v>
      </c>
    </row>
    <row r="349" spans="1:28">
      <c r="A349" s="9">
        <v>342</v>
      </c>
      <c r="B349" s="9" t="s">
        <v>582</v>
      </c>
      <c r="C349" s="9" t="s">
        <v>560</v>
      </c>
      <c r="D349" s="9" t="s">
        <v>198</v>
      </c>
      <c r="E349" s="9" t="s">
        <v>68</v>
      </c>
      <c r="F349" s="7" t="s">
        <v>50</v>
      </c>
      <c r="G349" s="7" t="s">
        <v>63</v>
      </c>
      <c r="H349" s="7" t="s">
        <v>148</v>
      </c>
      <c r="I349" s="9">
        <v>134</v>
      </c>
      <c r="J349" s="9" t="s">
        <v>246</v>
      </c>
      <c r="K349" s="9" t="s">
        <v>38</v>
      </c>
      <c r="L349" s="11">
        <v>1</v>
      </c>
      <c r="M349" s="14">
        <v>10000.0</v>
      </c>
      <c r="N349" s="14"/>
      <c r="O349" s="16">
        <f>IF(M349&gt;0, N349/M349, 0)</f>
        <v>0</v>
      </c>
      <c r="P349" s="14">
        <f>M349-N349</f>
        <v>10000</v>
      </c>
      <c r="Q349" s="14">
        <f>L349*M349</f>
        <v>10000</v>
      </c>
      <c r="R349" s="14">
        <f>L349*N349</f>
        <v>0</v>
      </c>
      <c r="S349" s="14">
        <f>L349*P349</f>
        <v>10000</v>
      </c>
      <c r="T349" s="14"/>
      <c r="U349" s="14">
        <f>L349*T349</f>
        <v>0</v>
      </c>
      <c r="V349" s="14">
        <f>S349-U349</f>
        <v>10000</v>
      </c>
      <c r="W349" s="16">
        <f>IF(S349&gt;0, V349/S349, 0)</f>
        <v>1</v>
      </c>
      <c r="X349" s="7" t="s">
        <v>39</v>
      </c>
      <c r="Y349" s="9" t="s">
        <v>40</v>
      </c>
      <c r="Z349" s="9" t="s">
        <v>71</v>
      </c>
      <c r="AA349" s="9" t="s">
        <v>42</v>
      </c>
      <c r="AB349" s="7" t="s">
        <v>42</v>
      </c>
    </row>
    <row r="350" spans="1:28">
      <c r="A350" s="8">
        <v>343</v>
      </c>
      <c r="B350" s="8" t="s">
        <v>583</v>
      </c>
      <c r="C350" s="8" t="s">
        <v>560</v>
      </c>
      <c r="D350" s="8" t="s">
        <v>198</v>
      </c>
      <c r="E350" s="8" t="s">
        <v>33</v>
      </c>
      <c r="F350" s="6" t="s">
        <v>50</v>
      </c>
      <c r="G350" s="6" t="s">
        <v>56</v>
      </c>
      <c r="H350" s="6" t="s">
        <v>56</v>
      </c>
      <c r="I350" s="8">
        <v>134</v>
      </c>
      <c r="J350" s="8" t="s">
        <v>281</v>
      </c>
      <c r="K350" s="8" t="s">
        <v>38</v>
      </c>
      <c r="L350" s="10">
        <v>1</v>
      </c>
      <c r="M350" s="13">
        <v>8000.0</v>
      </c>
      <c r="N350" s="13"/>
      <c r="O350" s="15">
        <f>IF(M350&gt;0, N350/M350, 0)</f>
        <v>0</v>
      </c>
      <c r="P350" s="13">
        <f>M350-N350</f>
        <v>8000</v>
      </c>
      <c r="Q350" s="13">
        <f>L350*M350</f>
        <v>8000</v>
      </c>
      <c r="R350" s="13">
        <f>L350*N350</f>
        <v>0</v>
      </c>
      <c r="S350" s="13">
        <f>L350*P350</f>
        <v>8000</v>
      </c>
      <c r="T350" s="13"/>
      <c r="U350" s="13">
        <f>L350*T350</f>
        <v>0</v>
      </c>
      <c r="V350" s="13">
        <f>S350-U350</f>
        <v>8000</v>
      </c>
      <c r="W350" s="15">
        <f>IF(S350&gt;0, V350/S350, 0)</f>
        <v>1</v>
      </c>
      <c r="X350" s="6" t="s">
        <v>39</v>
      </c>
      <c r="Y350" s="8" t="s">
        <v>40</v>
      </c>
      <c r="Z350" s="8" t="s">
        <v>41</v>
      </c>
      <c r="AA350" s="8" t="s">
        <v>42</v>
      </c>
      <c r="AB350" s="6" t="s">
        <v>42</v>
      </c>
    </row>
    <row r="351" spans="1:28">
      <c r="A351" s="9">
        <v>344</v>
      </c>
      <c r="B351" s="9" t="s">
        <v>584</v>
      </c>
      <c r="C351" s="9" t="s">
        <v>560</v>
      </c>
      <c r="D351" s="9" t="s">
        <v>198</v>
      </c>
      <c r="E351" s="9" t="s">
        <v>33</v>
      </c>
      <c r="F351" s="7" t="s">
        <v>50</v>
      </c>
      <c r="G351" s="7" t="s">
        <v>69</v>
      </c>
      <c r="H351" s="7" t="s">
        <v>69</v>
      </c>
      <c r="I351" s="9">
        <v>134</v>
      </c>
      <c r="J351" s="9" t="s">
        <v>209</v>
      </c>
      <c r="K351" s="9" t="s">
        <v>38</v>
      </c>
      <c r="L351" s="11">
        <v>1</v>
      </c>
      <c r="M351" s="14">
        <v>16000.0</v>
      </c>
      <c r="N351" s="14"/>
      <c r="O351" s="16">
        <f>IF(M351&gt;0, N351/M351, 0)</f>
        <v>0</v>
      </c>
      <c r="P351" s="14">
        <f>M351-N351</f>
        <v>16000</v>
      </c>
      <c r="Q351" s="14">
        <f>L351*M351</f>
        <v>16000</v>
      </c>
      <c r="R351" s="14">
        <f>L351*N351</f>
        <v>0</v>
      </c>
      <c r="S351" s="14">
        <f>L351*P351</f>
        <v>16000</v>
      </c>
      <c r="T351" s="14"/>
      <c r="U351" s="14">
        <f>L351*T351</f>
        <v>0</v>
      </c>
      <c r="V351" s="14">
        <f>S351-U351</f>
        <v>16000</v>
      </c>
      <c r="W351" s="16">
        <f>IF(S351&gt;0, V351/S351, 0)</f>
        <v>1</v>
      </c>
      <c r="X351" s="7" t="s">
        <v>39</v>
      </c>
      <c r="Y351" s="9" t="s">
        <v>40</v>
      </c>
      <c r="Z351" s="9" t="s">
        <v>41</v>
      </c>
      <c r="AA351" s="9" t="s">
        <v>42</v>
      </c>
      <c r="AB351" s="7" t="s">
        <v>42</v>
      </c>
    </row>
    <row r="352" spans="1:28">
      <c r="A352" s="8">
        <v>345</v>
      </c>
      <c r="B352" s="8" t="s">
        <v>585</v>
      </c>
      <c r="C352" s="8" t="s">
        <v>560</v>
      </c>
      <c r="D352" s="8" t="s">
        <v>198</v>
      </c>
      <c r="E352" s="8" t="s">
        <v>33</v>
      </c>
      <c r="F352" s="6" t="s">
        <v>50</v>
      </c>
      <c r="G352" s="6" t="s">
        <v>51</v>
      </c>
      <c r="H352" s="6" t="s">
        <v>51</v>
      </c>
      <c r="I352" s="8">
        <v>140</v>
      </c>
      <c r="J352" s="8" t="s">
        <v>279</v>
      </c>
      <c r="K352" s="8" t="s">
        <v>53</v>
      </c>
      <c r="L352" s="10">
        <v>1</v>
      </c>
      <c r="M352" s="13">
        <v>8000.0</v>
      </c>
      <c r="N352" s="13"/>
      <c r="O352" s="15">
        <f>IF(M352&gt;0, N352/M352, 0)</f>
        <v>0</v>
      </c>
      <c r="P352" s="13">
        <f>M352-N352</f>
        <v>8000</v>
      </c>
      <c r="Q352" s="13">
        <f>L352*M352</f>
        <v>8000</v>
      </c>
      <c r="R352" s="13">
        <f>L352*N352</f>
        <v>0</v>
      </c>
      <c r="S352" s="13">
        <f>L352*P352</f>
        <v>8000</v>
      </c>
      <c r="T352" s="13"/>
      <c r="U352" s="13">
        <f>L352*T352</f>
        <v>0</v>
      </c>
      <c r="V352" s="13">
        <f>S352-U352</f>
        <v>8000</v>
      </c>
      <c r="W352" s="15">
        <f>IF(S352&gt;0, V352/S352, 0)</f>
        <v>1</v>
      </c>
      <c r="X352" s="6" t="s">
        <v>39</v>
      </c>
      <c r="Y352" s="8" t="s">
        <v>40</v>
      </c>
      <c r="Z352" s="8" t="s">
        <v>41</v>
      </c>
      <c r="AA352" s="8" t="s">
        <v>42</v>
      </c>
      <c r="AB352" s="6" t="s">
        <v>42</v>
      </c>
    </row>
    <row r="353" spans="1:28">
      <c r="A353" s="9">
        <v>346</v>
      </c>
      <c r="B353" s="9" t="s">
        <v>586</v>
      </c>
      <c r="C353" s="9" t="s">
        <v>560</v>
      </c>
      <c r="D353" s="9" t="s">
        <v>198</v>
      </c>
      <c r="E353" s="9" t="s">
        <v>33</v>
      </c>
      <c r="F353" s="7" t="s">
        <v>50</v>
      </c>
      <c r="G353" s="7" t="s">
        <v>35</v>
      </c>
      <c r="H353" s="7" t="s">
        <v>36</v>
      </c>
      <c r="I353" s="9">
        <v>140</v>
      </c>
      <c r="J353" s="9" t="s">
        <v>223</v>
      </c>
      <c r="K353" s="9" t="s">
        <v>53</v>
      </c>
      <c r="L353" s="11">
        <v>2</v>
      </c>
      <c r="M353" s="14">
        <v>7000.0</v>
      </c>
      <c r="N353" s="14"/>
      <c r="O353" s="16">
        <f>IF(M353&gt;0, N353/M353, 0)</f>
        <v>0</v>
      </c>
      <c r="P353" s="14">
        <f>M353-N353</f>
        <v>7000</v>
      </c>
      <c r="Q353" s="14">
        <f>L353*M353</f>
        <v>14000</v>
      </c>
      <c r="R353" s="14">
        <f>L353*N353</f>
        <v>0</v>
      </c>
      <c r="S353" s="14">
        <f>L353*P353</f>
        <v>14000</v>
      </c>
      <c r="T353" s="14"/>
      <c r="U353" s="14">
        <f>L353*T353</f>
        <v>0</v>
      </c>
      <c r="V353" s="14">
        <f>S353-U353</f>
        <v>14000</v>
      </c>
      <c r="W353" s="16">
        <f>IF(S353&gt;0, V353/S353, 0)</f>
        <v>1</v>
      </c>
      <c r="X353" s="7" t="s">
        <v>39</v>
      </c>
      <c r="Y353" s="9" t="s">
        <v>40</v>
      </c>
      <c r="Z353" s="9" t="s">
        <v>41</v>
      </c>
      <c r="AA353" s="9" t="s">
        <v>42</v>
      </c>
      <c r="AB353" s="7" t="s">
        <v>42</v>
      </c>
    </row>
    <row r="354" spans="1:28">
      <c r="A354" s="8">
        <v>347</v>
      </c>
      <c r="B354" s="8" t="s">
        <v>587</v>
      </c>
      <c r="C354" s="8" t="s">
        <v>560</v>
      </c>
      <c r="D354" s="8" t="s">
        <v>198</v>
      </c>
      <c r="E354" s="8" t="s">
        <v>33</v>
      </c>
      <c r="F354" s="6" t="s">
        <v>34</v>
      </c>
      <c r="G354" s="6" t="s">
        <v>51</v>
      </c>
      <c r="H354" s="6" t="s">
        <v>51</v>
      </c>
      <c r="I354" s="8">
        <v>158</v>
      </c>
      <c r="J354" s="8" t="s">
        <v>122</v>
      </c>
      <c r="K354" s="8" t="s">
        <v>38</v>
      </c>
      <c r="L354" s="10">
        <v>1</v>
      </c>
      <c r="M354" s="13">
        <v>8500.0</v>
      </c>
      <c r="N354" s="13"/>
      <c r="O354" s="15">
        <f>IF(M354&gt;0, N354/M354, 0)</f>
        <v>0</v>
      </c>
      <c r="P354" s="13">
        <f>M354-N354</f>
        <v>8500</v>
      </c>
      <c r="Q354" s="13">
        <f>L354*M354</f>
        <v>8500</v>
      </c>
      <c r="R354" s="13">
        <f>L354*N354</f>
        <v>0</v>
      </c>
      <c r="S354" s="13">
        <f>L354*P354</f>
        <v>8500</v>
      </c>
      <c r="T354" s="13"/>
      <c r="U354" s="13">
        <f>L354*T354</f>
        <v>0</v>
      </c>
      <c r="V354" s="13">
        <f>S354-U354</f>
        <v>8500</v>
      </c>
      <c r="W354" s="15">
        <f>IF(S354&gt;0, V354/S354, 0)</f>
        <v>1</v>
      </c>
      <c r="X354" s="6" t="s">
        <v>39</v>
      </c>
      <c r="Y354" s="8" t="s">
        <v>40</v>
      </c>
      <c r="Z354" s="8" t="s">
        <v>41</v>
      </c>
      <c r="AA354" s="8" t="s">
        <v>42</v>
      </c>
      <c r="AB354" s="6" t="s">
        <v>42</v>
      </c>
    </row>
    <row r="355" spans="1:28">
      <c r="A355" s="9">
        <v>348</v>
      </c>
      <c r="B355" s="9" t="s">
        <v>588</v>
      </c>
      <c r="C355" s="9" t="s">
        <v>560</v>
      </c>
      <c r="D355" s="9" t="s">
        <v>198</v>
      </c>
      <c r="E355" s="9" t="s">
        <v>33</v>
      </c>
      <c r="F355" s="7" t="s">
        <v>50</v>
      </c>
      <c r="G355" s="7" t="s">
        <v>51</v>
      </c>
      <c r="H355" s="7" t="s">
        <v>51</v>
      </c>
      <c r="I355" s="9">
        <v>140</v>
      </c>
      <c r="J355" s="9" t="s">
        <v>279</v>
      </c>
      <c r="K355" s="9" t="s">
        <v>53</v>
      </c>
      <c r="L355" s="11">
        <v>2</v>
      </c>
      <c r="M355" s="14">
        <v>8000.0</v>
      </c>
      <c r="N355" s="14"/>
      <c r="O355" s="16">
        <f>IF(M355&gt;0, N355/M355, 0)</f>
        <v>0</v>
      </c>
      <c r="P355" s="14">
        <f>M355-N355</f>
        <v>8000</v>
      </c>
      <c r="Q355" s="14">
        <f>L355*M355</f>
        <v>16000</v>
      </c>
      <c r="R355" s="14">
        <f>L355*N355</f>
        <v>0</v>
      </c>
      <c r="S355" s="14">
        <f>L355*P355</f>
        <v>16000</v>
      </c>
      <c r="T355" s="14"/>
      <c r="U355" s="14">
        <f>L355*T355</f>
        <v>0</v>
      </c>
      <c r="V355" s="14">
        <f>S355-U355</f>
        <v>16000</v>
      </c>
      <c r="W355" s="16">
        <f>IF(S355&gt;0, V355/S355, 0)</f>
        <v>1</v>
      </c>
      <c r="X355" s="7" t="s">
        <v>39</v>
      </c>
      <c r="Y355" s="9" t="s">
        <v>40</v>
      </c>
      <c r="Z355" s="9" t="s">
        <v>41</v>
      </c>
      <c r="AA355" s="9" t="s">
        <v>42</v>
      </c>
      <c r="AB355" s="7" t="s">
        <v>42</v>
      </c>
    </row>
    <row r="356" spans="1:28">
      <c r="A356" s="8">
        <v>349</v>
      </c>
      <c r="B356" s="8" t="s">
        <v>589</v>
      </c>
      <c r="C356" s="8" t="s">
        <v>560</v>
      </c>
      <c r="D356" s="8" t="s">
        <v>198</v>
      </c>
      <c r="E356" s="8" t="s">
        <v>33</v>
      </c>
      <c r="F356" s="6" t="s">
        <v>50</v>
      </c>
      <c r="G356" s="6" t="s">
        <v>35</v>
      </c>
      <c r="H356" s="6" t="s">
        <v>73</v>
      </c>
      <c r="I356" s="8">
        <v>146</v>
      </c>
      <c r="J356" s="8" t="s">
        <v>340</v>
      </c>
      <c r="K356" s="8" t="s">
        <v>53</v>
      </c>
      <c r="L356" s="10">
        <v>1</v>
      </c>
      <c r="M356" s="13">
        <v>8000.0</v>
      </c>
      <c r="N356" s="13"/>
      <c r="O356" s="15">
        <f>IF(M356&gt;0, N356/M356, 0)</f>
        <v>0</v>
      </c>
      <c r="P356" s="13">
        <f>M356-N356</f>
        <v>8000</v>
      </c>
      <c r="Q356" s="13">
        <f>L356*M356</f>
        <v>8000</v>
      </c>
      <c r="R356" s="13">
        <f>L356*N356</f>
        <v>0</v>
      </c>
      <c r="S356" s="13">
        <f>L356*P356</f>
        <v>8000</v>
      </c>
      <c r="T356" s="13"/>
      <c r="U356" s="13">
        <f>L356*T356</f>
        <v>0</v>
      </c>
      <c r="V356" s="13">
        <f>S356-U356</f>
        <v>8000</v>
      </c>
      <c r="W356" s="15">
        <f>IF(S356&gt;0, V356/S356, 0)</f>
        <v>1</v>
      </c>
      <c r="X356" s="6" t="s">
        <v>39</v>
      </c>
      <c r="Y356" s="8" t="s">
        <v>40</v>
      </c>
      <c r="Z356" s="8" t="s">
        <v>41</v>
      </c>
      <c r="AA356" s="8" t="s">
        <v>42</v>
      </c>
      <c r="AB356" s="6" t="s">
        <v>42</v>
      </c>
    </row>
    <row r="357" spans="1:28">
      <c r="A357" s="9">
        <v>350</v>
      </c>
      <c r="B357" s="9" t="s">
        <v>590</v>
      </c>
      <c r="C357" s="9" t="s">
        <v>560</v>
      </c>
      <c r="D357" s="9" t="s">
        <v>198</v>
      </c>
      <c r="E357" s="9" t="s">
        <v>33</v>
      </c>
      <c r="F357" s="7" t="s">
        <v>50</v>
      </c>
      <c r="G357" s="7" t="s">
        <v>69</v>
      </c>
      <c r="H357" s="7" t="s">
        <v>69</v>
      </c>
      <c r="I357" s="9">
        <v>140</v>
      </c>
      <c r="J357" s="9" t="s">
        <v>225</v>
      </c>
      <c r="K357" s="9" t="s">
        <v>38</v>
      </c>
      <c r="L357" s="11">
        <v>1</v>
      </c>
      <c r="M357" s="14">
        <v>16000.0</v>
      </c>
      <c r="N357" s="14"/>
      <c r="O357" s="16">
        <f>IF(M357&gt;0, N357/M357, 0)</f>
        <v>0</v>
      </c>
      <c r="P357" s="14">
        <f>M357-N357</f>
        <v>16000</v>
      </c>
      <c r="Q357" s="14">
        <f>L357*M357</f>
        <v>16000</v>
      </c>
      <c r="R357" s="14">
        <f>L357*N357</f>
        <v>0</v>
      </c>
      <c r="S357" s="14">
        <f>L357*P357</f>
        <v>16000</v>
      </c>
      <c r="T357" s="14"/>
      <c r="U357" s="14">
        <f>L357*T357</f>
        <v>0</v>
      </c>
      <c r="V357" s="14">
        <f>S357-U357</f>
        <v>16000</v>
      </c>
      <c r="W357" s="16">
        <f>IF(S357&gt;0, V357/S357, 0)</f>
        <v>1</v>
      </c>
      <c r="X357" s="7" t="s">
        <v>39</v>
      </c>
      <c r="Y357" s="9" t="s">
        <v>40</v>
      </c>
      <c r="Z357" s="9" t="s">
        <v>41</v>
      </c>
      <c r="AA357" s="9" t="s">
        <v>42</v>
      </c>
      <c r="AB357" s="7" t="s">
        <v>42</v>
      </c>
    </row>
    <row r="358" spans="1:28">
      <c r="A358" s="8">
        <v>351</v>
      </c>
      <c r="B358" s="8" t="s">
        <v>591</v>
      </c>
      <c r="C358" s="8" t="s">
        <v>592</v>
      </c>
      <c r="D358" s="8" t="s">
        <v>198</v>
      </c>
      <c r="E358" s="8" t="s">
        <v>33</v>
      </c>
      <c r="F358" s="6" t="s">
        <v>50</v>
      </c>
      <c r="G358" s="6" t="s">
        <v>63</v>
      </c>
      <c r="H358" s="6" t="s">
        <v>148</v>
      </c>
      <c r="I358" s="8">
        <v>122</v>
      </c>
      <c r="J358" s="8" t="s">
        <v>241</v>
      </c>
      <c r="K358" s="8" t="s">
        <v>38</v>
      </c>
      <c r="L358" s="10">
        <v>1</v>
      </c>
      <c r="M358" s="13">
        <v>9000.0</v>
      </c>
      <c r="N358" s="13"/>
      <c r="O358" s="15">
        <f>IF(M358&gt;0, N358/M358, 0)</f>
        <v>0</v>
      </c>
      <c r="P358" s="13">
        <f>M358-N358</f>
        <v>9000</v>
      </c>
      <c r="Q358" s="13">
        <f>L358*M358</f>
        <v>9000</v>
      </c>
      <c r="R358" s="13">
        <f>L358*N358</f>
        <v>0</v>
      </c>
      <c r="S358" s="13">
        <f>L358*P358</f>
        <v>9000</v>
      </c>
      <c r="T358" s="13"/>
      <c r="U358" s="13">
        <f>L358*T358</f>
        <v>0</v>
      </c>
      <c r="V358" s="13">
        <f>S358-U358</f>
        <v>9000</v>
      </c>
      <c r="W358" s="15">
        <f>IF(S358&gt;0, V358/S358, 0)</f>
        <v>1</v>
      </c>
      <c r="X358" s="6" t="s">
        <v>39</v>
      </c>
      <c r="Y358" s="8" t="s">
        <v>40</v>
      </c>
      <c r="Z358" s="8" t="s">
        <v>41</v>
      </c>
      <c r="AA358" s="8" t="s">
        <v>42</v>
      </c>
      <c r="AB358" s="6" t="s">
        <v>42</v>
      </c>
    </row>
    <row r="359" spans="1:28">
      <c r="A359" s="9">
        <v>352</v>
      </c>
      <c r="B359" s="9" t="s">
        <v>593</v>
      </c>
      <c r="C359" s="9" t="s">
        <v>592</v>
      </c>
      <c r="D359" s="9" t="s">
        <v>198</v>
      </c>
      <c r="E359" s="9" t="s">
        <v>33</v>
      </c>
      <c r="F359" s="7" t="s">
        <v>50</v>
      </c>
      <c r="G359" s="7" t="s">
        <v>45</v>
      </c>
      <c r="H359" s="7" t="s">
        <v>46</v>
      </c>
      <c r="I359" s="9">
        <v>116</v>
      </c>
      <c r="J359" s="9" t="s">
        <v>594</v>
      </c>
      <c r="K359" s="9" t="s">
        <v>38</v>
      </c>
      <c r="L359" s="11">
        <v>1</v>
      </c>
      <c r="M359" s="14">
        <v>18000.0</v>
      </c>
      <c r="N359" s="14"/>
      <c r="O359" s="16">
        <f>IF(M359&gt;0, N359/M359, 0)</f>
        <v>0</v>
      </c>
      <c r="P359" s="14">
        <f>M359-N359</f>
        <v>18000</v>
      </c>
      <c r="Q359" s="14">
        <f>L359*M359</f>
        <v>18000</v>
      </c>
      <c r="R359" s="14">
        <f>L359*N359</f>
        <v>0</v>
      </c>
      <c r="S359" s="14">
        <f>L359*P359</f>
        <v>18000</v>
      </c>
      <c r="T359" s="14"/>
      <c r="U359" s="14">
        <f>L359*T359</f>
        <v>0</v>
      </c>
      <c r="V359" s="14">
        <f>S359-U359</f>
        <v>18000</v>
      </c>
      <c r="W359" s="16">
        <f>IF(S359&gt;0, V359/S359, 0)</f>
        <v>1</v>
      </c>
      <c r="X359" s="7" t="s">
        <v>39</v>
      </c>
      <c r="Y359" s="9" t="s">
        <v>40</v>
      </c>
      <c r="Z359" s="9" t="s">
        <v>41</v>
      </c>
      <c r="AA359" s="9" t="s">
        <v>42</v>
      </c>
      <c r="AB359" s="7" t="s">
        <v>42</v>
      </c>
    </row>
    <row r="360" spans="1:28">
      <c r="A360" s="8">
        <v>353</v>
      </c>
      <c r="B360" s="8" t="s">
        <v>595</v>
      </c>
      <c r="C360" s="8" t="s">
        <v>592</v>
      </c>
      <c r="D360" s="8" t="s">
        <v>198</v>
      </c>
      <c r="E360" s="8" t="s">
        <v>33</v>
      </c>
      <c r="F360" s="6" t="s">
        <v>50</v>
      </c>
      <c r="G360" s="6" t="s">
        <v>63</v>
      </c>
      <c r="H360" s="6" t="s">
        <v>148</v>
      </c>
      <c r="I360" s="8">
        <v>140</v>
      </c>
      <c r="J360" s="8" t="s">
        <v>221</v>
      </c>
      <c r="K360" s="8" t="s">
        <v>38</v>
      </c>
      <c r="L360" s="10">
        <v>1</v>
      </c>
      <c r="M360" s="13">
        <v>10000.0</v>
      </c>
      <c r="N360" s="13"/>
      <c r="O360" s="15">
        <f>IF(M360&gt;0, N360/M360, 0)</f>
        <v>0</v>
      </c>
      <c r="P360" s="13">
        <f>M360-N360</f>
        <v>10000</v>
      </c>
      <c r="Q360" s="13">
        <f>L360*M360</f>
        <v>10000</v>
      </c>
      <c r="R360" s="13">
        <f>L360*N360</f>
        <v>0</v>
      </c>
      <c r="S360" s="13">
        <f>L360*P360</f>
        <v>10000</v>
      </c>
      <c r="T360" s="13"/>
      <c r="U360" s="13">
        <f>L360*T360</f>
        <v>0</v>
      </c>
      <c r="V360" s="13">
        <f>S360-U360</f>
        <v>10000</v>
      </c>
      <c r="W360" s="15">
        <f>IF(S360&gt;0, V360/S360, 0)</f>
        <v>1</v>
      </c>
      <c r="X360" s="6" t="s">
        <v>39</v>
      </c>
      <c r="Y360" s="8" t="s">
        <v>40</v>
      </c>
      <c r="Z360" s="8" t="s">
        <v>41</v>
      </c>
      <c r="AA360" s="8" t="s">
        <v>42</v>
      </c>
      <c r="AB360" s="6" t="s">
        <v>42</v>
      </c>
    </row>
    <row r="361" spans="1:28">
      <c r="A361" s="9">
        <v>354</v>
      </c>
      <c r="B361" s="9" t="s">
        <v>596</v>
      </c>
      <c r="C361" s="9" t="s">
        <v>592</v>
      </c>
      <c r="D361" s="9" t="s">
        <v>198</v>
      </c>
      <c r="E361" s="9" t="s">
        <v>68</v>
      </c>
      <c r="F361" s="7" t="s">
        <v>50</v>
      </c>
      <c r="G361" s="7" t="s">
        <v>56</v>
      </c>
      <c r="H361" s="7" t="s">
        <v>56</v>
      </c>
      <c r="I361" s="9">
        <v>140</v>
      </c>
      <c r="J361" s="9" t="s">
        <v>597</v>
      </c>
      <c r="K361" s="9" t="s">
        <v>38</v>
      </c>
      <c r="L361" s="11">
        <v>1</v>
      </c>
      <c r="M361" s="14">
        <v>8000.0</v>
      </c>
      <c r="N361" s="14"/>
      <c r="O361" s="16">
        <f>IF(M361&gt;0, N361/M361, 0)</f>
        <v>0</v>
      </c>
      <c r="P361" s="14">
        <f>M361-N361</f>
        <v>8000</v>
      </c>
      <c r="Q361" s="14">
        <f>L361*M361</f>
        <v>8000</v>
      </c>
      <c r="R361" s="14">
        <f>L361*N361</f>
        <v>0</v>
      </c>
      <c r="S361" s="14">
        <f>L361*P361</f>
        <v>8000</v>
      </c>
      <c r="T361" s="14"/>
      <c r="U361" s="14">
        <f>L361*T361</f>
        <v>0</v>
      </c>
      <c r="V361" s="14">
        <f>S361-U361</f>
        <v>8000</v>
      </c>
      <c r="W361" s="16">
        <f>IF(S361&gt;0, V361/S361, 0)</f>
        <v>1</v>
      </c>
      <c r="X361" s="7" t="s">
        <v>39</v>
      </c>
      <c r="Y361" s="9" t="s">
        <v>40</v>
      </c>
      <c r="Z361" s="9" t="s">
        <v>71</v>
      </c>
      <c r="AA361" s="9" t="s">
        <v>42</v>
      </c>
      <c r="AB361" s="7" t="s">
        <v>42</v>
      </c>
    </row>
    <row r="362" spans="1:28">
      <c r="A362" s="8">
        <v>355</v>
      </c>
      <c r="B362" s="8" t="s">
        <v>598</v>
      </c>
      <c r="C362" s="8" t="s">
        <v>592</v>
      </c>
      <c r="D362" s="8" t="s">
        <v>198</v>
      </c>
      <c r="E362" s="8" t="s">
        <v>33</v>
      </c>
      <c r="F362" s="6" t="s">
        <v>50</v>
      </c>
      <c r="G362" s="6" t="s">
        <v>45</v>
      </c>
      <c r="H362" s="6" t="s">
        <v>599</v>
      </c>
      <c r="I362" s="8">
        <v>140</v>
      </c>
      <c r="J362" s="8" t="s">
        <v>600</v>
      </c>
      <c r="K362" s="8" t="s">
        <v>38</v>
      </c>
      <c r="L362" s="10">
        <v>1</v>
      </c>
      <c r="M362" s="13">
        <v>15000.0</v>
      </c>
      <c r="N362" s="13"/>
      <c r="O362" s="15">
        <f>IF(M362&gt;0, N362/M362, 0)</f>
        <v>0</v>
      </c>
      <c r="P362" s="13">
        <f>M362-N362</f>
        <v>15000</v>
      </c>
      <c r="Q362" s="13">
        <f>L362*M362</f>
        <v>15000</v>
      </c>
      <c r="R362" s="13">
        <f>L362*N362</f>
        <v>0</v>
      </c>
      <c r="S362" s="13">
        <f>L362*P362</f>
        <v>15000</v>
      </c>
      <c r="T362" s="13"/>
      <c r="U362" s="13">
        <f>L362*T362</f>
        <v>0</v>
      </c>
      <c r="V362" s="13">
        <f>S362-U362</f>
        <v>15000</v>
      </c>
      <c r="W362" s="15">
        <f>IF(S362&gt;0, V362/S362, 0)</f>
        <v>1</v>
      </c>
      <c r="X362" s="6" t="s">
        <v>39</v>
      </c>
      <c r="Y362" s="8" t="s">
        <v>40</v>
      </c>
      <c r="Z362" s="8" t="s">
        <v>41</v>
      </c>
      <c r="AA362" s="8" t="s">
        <v>42</v>
      </c>
      <c r="AB362" s="6" t="s">
        <v>42</v>
      </c>
    </row>
    <row r="363" spans="1:28">
      <c r="A363" s="9">
        <v>356</v>
      </c>
      <c r="B363" s="9" t="s">
        <v>601</v>
      </c>
      <c r="C363" s="9" t="s">
        <v>592</v>
      </c>
      <c r="D363" s="9" t="s">
        <v>198</v>
      </c>
      <c r="E363" s="9" t="s">
        <v>33</v>
      </c>
      <c r="F363" s="7" t="s">
        <v>50</v>
      </c>
      <c r="G363" s="7" t="s">
        <v>45</v>
      </c>
      <c r="H363" s="7" t="s">
        <v>46</v>
      </c>
      <c r="I363" s="9">
        <v>140</v>
      </c>
      <c r="J363" s="9" t="s">
        <v>414</v>
      </c>
      <c r="K363" s="9" t="s">
        <v>38</v>
      </c>
      <c r="L363" s="11">
        <v>1</v>
      </c>
      <c r="M363" s="14">
        <v>18000.0</v>
      </c>
      <c r="N363" s="14"/>
      <c r="O363" s="16">
        <f>IF(M363&gt;0, N363/M363, 0)</f>
        <v>0</v>
      </c>
      <c r="P363" s="14">
        <f>M363-N363</f>
        <v>18000</v>
      </c>
      <c r="Q363" s="14">
        <f>L363*M363</f>
        <v>18000</v>
      </c>
      <c r="R363" s="14">
        <f>L363*N363</f>
        <v>0</v>
      </c>
      <c r="S363" s="14">
        <f>L363*P363</f>
        <v>18000</v>
      </c>
      <c r="T363" s="14"/>
      <c r="U363" s="14">
        <f>L363*T363</f>
        <v>0</v>
      </c>
      <c r="V363" s="14">
        <f>S363-U363</f>
        <v>18000</v>
      </c>
      <c r="W363" s="16">
        <f>IF(S363&gt;0, V363/S363, 0)</f>
        <v>1</v>
      </c>
      <c r="X363" s="7" t="s">
        <v>39</v>
      </c>
      <c r="Y363" s="9" t="s">
        <v>40</v>
      </c>
      <c r="Z363" s="9" t="s">
        <v>41</v>
      </c>
      <c r="AA363" s="9" t="s">
        <v>42</v>
      </c>
      <c r="AB363" s="7" t="s">
        <v>42</v>
      </c>
    </row>
    <row r="364" spans="1:28">
      <c r="A364" s="8">
        <v>357</v>
      </c>
      <c r="B364" s="8" t="s">
        <v>602</v>
      </c>
      <c r="C364" s="8" t="s">
        <v>592</v>
      </c>
      <c r="D364" s="8" t="s">
        <v>198</v>
      </c>
      <c r="E364" s="8" t="s">
        <v>33</v>
      </c>
      <c r="F364" s="6" t="s">
        <v>50</v>
      </c>
      <c r="G364" s="6" t="s">
        <v>69</v>
      </c>
      <c r="H364" s="6" t="s">
        <v>69</v>
      </c>
      <c r="I364" s="8">
        <v>140</v>
      </c>
      <c r="J364" s="8" t="s">
        <v>225</v>
      </c>
      <c r="K364" s="8" t="s">
        <v>38</v>
      </c>
      <c r="L364" s="10">
        <v>1</v>
      </c>
      <c r="M364" s="13">
        <v>16000.0</v>
      </c>
      <c r="N364" s="13"/>
      <c r="O364" s="15">
        <f>IF(M364&gt;0, N364/M364, 0)</f>
        <v>0</v>
      </c>
      <c r="P364" s="13">
        <f>M364-N364</f>
        <v>16000</v>
      </c>
      <c r="Q364" s="13">
        <f>L364*M364</f>
        <v>16000</v>
      </c>
      <c r="R364" s="13">
        <f>L364*N364</f>
        <v>0</v>
      </c>
      <c r="S364" s="13">
        <f>L364*P364</f>
        <v>16000</v>
      </c>
      <c r="T364" s="13"/>
      <c r="U364" s="13">
        <f>L364*T364</f>
        <v>0</v>
      </c>
      <c r="V364" s="13">
        <f>S364-U364</f>
        <v>16000</v>
      </c>
      <c r="W364" s="15">
        <f>IF(S364&gt;0, V364/S364, 0)</f>
        <v>1</v>
      </c>
      <c r="X364" s="6" t="s">
        <v>39</v>
      </c>
      <c r="Y364" s="8" t="s">
        <v>40</v>
      </c>
      <c r="Z364" s="8" t="s">
        <v>41</v>
      </c>
      <c r="AA364" s="8" t="s">
        <v>42</v>
      </c>
      <c r="AB364" s="6" t="s">
        <v>42</v>
      </c>
    </row>
    <row r="365" spans="1:28">
      <c r="A365" s="9">
        <v>358</v>
      </c>
      <c r="B365" s="9" t="s">
        <v>603</v>
      </c>
      <c r="C365" s="9" t="s">
        <v>592</v>
      </c>
      <c r="D365" s="9" t="s">
        <v>198</v>
      </c>
      <c r="E365" s="9" t="s">
        <v>33</v>
      </c>
      <c r="F365" s="7" t="s">
        <v>50</v>
      </c>
      <c r="G365" s="7" t="s">
        <v>51</v>
      </c>
      <c r="H365" s="7" t="s">
        <v>51</v>
      </c>
      <c r="I365" s="9">
        <v>140</v>
      </c>
      <c r="J365" s="9" t="s">
        <v>279</v>
      </c>
      <c r="K365" s="9" t="s">
        <v>53</v>
      </c>
      <c r="L365" s="11">
        <v>1</v>
      </c>
      <c r="M365" s="14">
        <v>8000.0</v>
      </c>
      <c r="N365" s="14"/>
      <c r="O365" s="16">
        <f>IF(M365&gt;0, N365/M365, 0)</f>
        <v>0</v>
      </c>
      <c r="P365" s="14">
        <f>M365-N365</f>
        <v>8000</v>
      </c>
      <c r="Q365" s="14">
        <f>L365*M365</f>
        <v>8000</v>
      </c>
      <c r="R365" s="14">
        <f>L365*N365</f>
        <v>0</v>
      </c>
      <c r="S365" s="14">
        <f>L365*P365</f>
        <v>8000</v>
      </c>
      <c r="T365" s="14"/>
      <c r="U365" s="14">
        <f>L365*T365</f>
        <v>0</v>
      </c>
      <c r="V365" s="14">
        <f>S365-U365</f>
        <v>8000</v>
      </c>
      <c r="W365" s="16">
        <f>IF(S365&gt;0, V365/S365, 0)</f>
        <v>1</v>
      </c>
      <c r="X365" s="7" t="s">
        <v>39</v>
      </c>
      <c r="Y365" s="9" t="s">
        <v>40</v>
      </c>
      <c r="Z365" s="9" t="s">
        <v>41</v>
      </c>
      <c r="AA365" s="9" t="s">
        <v>42</v>
      </c>
      <c r="AB365" s="7" t="s">
        <v>42</v>
      </c>
    </row>
    <row r="366" spans="1:28">
      <c r="A366" s="8">
        <v>359</v>
      </c>
      <c r="B366" s="8" t="s">
        <v>604</v>
      </c>
      <c r="C366" s="8" t="s">
        <v>592</v>
      </c>
      <c r="D366" s="8" t="s">
        <v>198</v>
      </c>
      <c r="E366" s="8" t="s">
        <v>33</v>
      </c>
      <c r="F366" s="6" t="s">
        <v>50</v>
      </c>
      <c r="G366" s="6" t="s">
        <v>35</v>
      </c>
      <c r="H366" s="6" t="s">
        <v>73</v>
      </c>
      <c r="I366" s="8">
        <v>152</v>
      </c>
      <c r="J366" s="8" t="s">
        <v>605</v>
      </c>
      <c r="K366" s="8" t="s">
        <v>53</v>
      </c>
      <c r="L366" s="10">
        <v>1</v>
      </c>
      <c r="M366" s="13">
        <v>8000.0</v>
      </c>
      <c r="N366" s="13"/>
      <c r="O366" s="15">
        <f>IF(M366&gt;0, N366/M366, 0)</f>
        <v>0</v>
      </c>
      <c r="P366" s="13">
        <f>M366-N366</f>
        <v>8000</v>
      </c>
      <c r="Q366" s="13">
        <f>L366*M366</f>
        <v>8000</v>
      </c>
      <c r="R366" s="13">
        <f>L366*N366</f>
        <v>0</v>
      </c>
      <c r="S366" s="13">
        <f>L366*P366</f>
        <v>8000</v>
      </c>
      <c r="T366" s="13"/>
      <c r="U366" s="13">
        <f>L366*T366</f>
        <v>0</v>
      </c>
      <c r="V366" s="13">
        <f>S366-U366</f>
        <v>8000</v>
      </c>
      <c r="W366" s="15">
        <f>IF(S366&gt;0, V366/S366, 0)</f>
        <v>1</v>
      </c>
      <c r="X366" s="6" t="s">
        <v>39</v>
      </c>
      <c r="Y366" s="8" t="s">
        <v>40</v>
      </c>
      <c r="Z366" s="8" t="s">
        <v>41</v>
      </c>
      <c r="AA366" s="8" t="s">
        <v>42</v>
      </c>
      <c r="AB366" s="6" t="s">
        <v>42</v>
      </c>
    </row>
    <row r="367" spans="1:28">
      <c r="A367" s="9">
        <v>360</v>
      </c>
      <c r="B367" s="9" t="s">
        <v>606</v>
      </c>
      <c r="C367" s="9" t="s">
        <v>592</v>
      </c>
      <c r="D367" s="9" t="s">
        <v>198</v>
      </c>
      <c r="E367" s="9" t="s">
        <v>33</v>
      </c>
      <c r="F367" s="7" t="s">
        <v>50</v>
      </c>
      <c r="G367" s="7" t="s">
        <v>35</v>
      </c>
      <c r="H367" s="7" t="s">
        <v>36</v>
      </c>
      <c r="I367" s="9">
        <v>146</v>
      </c>
      <c r="J367" s="9" t="s">
        <v>257</v>
      </c>
      <c r="K367" s="9" t="s">
        <v>53</v>
      </c>
      <c r="L367" s="11">
        <v>1</v>
      </c>
      <c r="M367" s="14">
        <v>7000.0</v>
      </c>
      <c r="N367" s="14"/>
      <c r="O367" s="16">
        <f>IF(M367&gt;0, N367/M367, 0)</f>
        <v>0</v>
      </c>
      <c r="P367" s="14">
        <f>M367-N367</f>
        <v>7000</v>
      </c>
      <c r="Q367" s="14">
        <f>L367*M367</f>
        <v>7000</v>
      </c>
      <c r="R367" s="14">
        <f>L367*N367</f>
        <v>0</v>
      </c>
      <c r="S367" s="14">
        <f>L367*P367</f>
        <v>7000</v>
      </c>
      <c r="T367" s="14"/>
      <c r="U367" s="14">
        <f>L367*T367</f>
        <v>0</v>
      </c>
      <c r="V367" s="14">
        <f>S367-U367</f>
        <v>7000</v>
      </c>
      <c r="W367" s="16">
        <f>IF(S367&gt;0, V367/S367, 0)</f>
        <v>1</v>
      </c>
      <c r="X367" s="7" t="s">
        <v>39</v>
      </c>
      <c r="Y367" s="9" t="s">
        <v>40</v>
      </c>
      <c r="Z367" s="9" t="s">
        <v>41</v>
      </c>
      <c r="AA367" s="9" t="s">
        <v>42</v>
      </c>
      <c r="AB367" s="7" t="s">
        <v>42</v>
      </c>
    </row>
    <row r="368" spans="1:28">
      <c r="A368" s="8">
        <v>361</v>
      </c>
      <c r="B368" s="8" t="s">
        <v>607</v>
      </c>
      <c r="C368" s="8" t="s">
        <v>592</v>
      </c>
      <c r="D368" s="8" t="s">
        <v>198</v>
      </c>
      <c r="E368" s="8" t="s">
        <v>33</v>
      </c>
      <c r="F368" s="6" t="s">
        <v>50</v>
      </c>
      <c r="G368" s="6" t="s">
        <v>158</v>
      </c>
      <c r="H368" s="6" t="s">
        <v>608</v>
      </c>
      <c r="I368" s="8" t="s">
        <v>42</v>
      </c>
      <c r="J368" s="8" t="s">
        <v>609</v>
      </c>
      <c r="K368" s="8" t="s">
        <v>42</v>
      </c>
      <c r="L368" s="10">
        <v>1</v>
      </c>
      <c r="M368" s="13">
        <v>5000.0</v>
      </c>
      <c r="N368" s="13"/>
      <c r="O368" s="15">
        <f>IF(M368&gt;0, N368/M368, 0)</f>
        <v>0</v>
      </c>
      <c r="P368" s="13">
        <f>M368-N368</f>
        <v>5000</v>
      </c>
      <c r="Q368" s="13">
        <f>L368*M368</f>
        <v>5000</v>
      </c>
      <c r="R368" s="13">
        <f>L368*N368</f>
        <v>0</v>
      </c>
      <c r="S368" s="13">
        <f>L368*P368</f>
        <v>5000</v>
      </c>
      <c r="T368" s="13"/>
      <c r="U368" s="13">
        <f>L368*T368</f>
        <v>0</v>
      </c>
      <c r="V368" s="13">
        <f>S368-U368</f>
        <v>5000</v>
      </c>
      <c r="W368" s="15">
        <f>IF(S368&gt;0, V368/S368, 0)</f>
        <v>1</v>
      </c>
      <c r="X368" s="6" t="s">
        <v>39</v>
      </c>
      <c r="Y368" s="8" t="s">
        <v>40</v>
      </c>
      <c r="Z368" s="8" t="s">
        <v>41</v>
      </c>
      <c r="AA368" s="8" t="s">
        <v>42</v>
      </c>
      <c r="AB368" s="6" t="s">
        <v>42</v>
      </c>
    </row>
    <row r="369" spans="1:28">
      <c r="A369" s="9">
        <v>362</v>
      </c>
      <c r="B369" s="9" t="s">
        <v>610</v>
      </c>
      <c r="C369" s="9" t="s">
        <v>592</v>
      </c>
      <c r="D369" s="9" t="s">
        <v>198</v>
      </c>
      <c r="E369" s="9" t="s">
        <v>33</v>
      </c>
      <c r="F369" s="7" t="s">
        <v>50</v>
      </c>
      <c r="G369" s="7" t="s">
        <v>35</v>
      </c>
      <c r="H369" s="7" t="s">
        <v>73</v>
      </c>
      <c r="I369" s="9">
        <v>128</v>
      </c>
      <c r="J369" s="9" t="s">
        <v>185</v>
      </c>
      <c r="K369" s="9" t="s">
        <v>53</v>
      </c>
      <c r="L369" s="11">
        <v>1</v>
      </c>
      <c r="M369" s="14">
        <v>9000.0</v>
      </c>
      <c r="N369" s="14"/>
      <c r="O369" s="16">
        <f>IF(M369&gt;0, N369/M369, 0)</f>
        <v>0</v>
      </c>
      <c r="P369" s="14">
        <f>M369-N369</f>
        <v>9000</v>
      </c>
      <c r="Q369" s="14">
        <f>L369*M369</f>
        <v>9000</v>
      </c>
      <c r="R369" s="14">
        <f>L369*N369</f>
        <v>0</v>
      </c>
      <c r="S369" s="14">
        <f>L369*P369</f>
        <v>9000</v>
      </c>
      <c r="T369" s="14"/>
      <c r="U369" s="14">
        <f>L369*T369</f>
        <v>0</v>
      </c>
      <c r="V369" s="14">
        <f>S369-U369</f>
        <v>9000</v>
      </c>
      <c r="W369" s="16">
        <f>IF(S369&gt;0, V369/S369, 0)</f>
        <v>1</v>
      </c>
      <c r="X369" s="7" t="s">
        <v>39</v>
      </c>
      <c r="Y369" s="9" t="s">
        <v>40</v>
      </c>
      <c r="Z369" s="9" t="s">
        <v>41</v>
      </c>
      <c r="AA369" s="9" t="s">
        <v>42</v>
      </c>
      <c r="AB369" s="7" t="s">
        <v>42</v>
      </c>
    </row>
    <row r="370" spans="1:28">
      <c r="A370" s="8">
        <v>363</v>
      </c>
      <c r="B370" s="8" t="s">
        <v>611</v>
      </c>
      <c r="C370" s="8" t="s">
        <v>592</v>
      </c>
      <c r="D370" s="8" t="s">
        <v>198</v>
      </c>
      <c r="E370" s="8" t="s">
        <v>33</v>
      </c>
      <c r="F370" s="6" t="s">
        <v>50</v>
      </c>
      <c r="G370" s="6" t="s">
        <v>51</v>
      </c>
      <c r="H370" s="6" t="s">
        <v>51</v>
      </c>
      <c r="I370" s="8">
        <v>152</v>
      </c>
      <c r="J370" s="8" t="s">
        <v>402</v>
      </c>
      <c r="K370" s="8" t="s">
        <v>53</v>
      </c>
      <c r="L370" s="10">
        <v>1</v>
      </c>
      <c r="M370" s="13">
        <v>8000.0</v>
      </c>
      <c r="N370" s="13"/>
      <c r="O370" s="15">
        <f>IF(M370&gt;0, N370/M370, 0)</f>
        <v>0</v>
      </c>
      <c r="P370" s="13">
        <f>M370-N370</f>
        <v>8000</v>
      </c>
      <c r="Q370" s="13">
        <f>L370*M370</f>
        <v>8000</v>
      </c>
      <c r="R370" s="13">
        <f>L370*N370</f>
        <v>0</v>
      </c>
      <c r="S370" s="13">
        <f>L370*P370</f>
        <v>8000</v>
      </c>
      <c r="T370" s="13"/>
      <c r="U370" s="13">
        <f>L370*T370</f>
        <v>0</v>
      </c>
      <c r="V370" s="13">
        <f>S370-U370</f>
        <v>8000</v>
      </c>
      <c r="W370" s="15">
        <f>IF(S370&gt;0, V370/S370, 0)</f>
        <v>1</v>
      </c>
      <c r="X370" s="6" t="s">
        <v>39</v>
      </c>
      <c r="Y370" s="8" t="s">
        <v>40</v>
      </c>
      <c r="Z370" s="8" t="s">
        <v>41</v>
      </c>
      <c r="AA370" s="8" t="s">
        <v>42</v>
      </c>
      <c r="AB370" s="6" t="s">
        <v>42</v>
      </c>
    </row>
    <row r="371" spans="1:28">
      <c r="A371" s="9">
        <v>364</v>
      </c>
      <c r="B371" s="9" t="s">
        <v>612</v>
      </c>
      <c r="C371" s="9" t="s">
        <v>592</v>
      </c>
      <c r="D371" s="9" t="s">
        <v>198</v>
      </c>
      <c r="E371" s="9" t="s">
        <v>33</v>
      </c>
      <c r="F371" s="7" t="s">
        <v>50</v>
      </c>
      <c r="G371" s="7" t="s">
        <v>45</v>
      </c>
      <c r="H371" s="7" t="s">
        <v>46</v>
      </c>
      <c r="I371" s="9">
        <v>158</v>
      </c>
      <c r="J371" s="9" t="s">
        <v>441</v>
      </c>
      <c r="K371" s="9" t="s">
        <v>38</v>
      </c>
      <c r="L371" s="11">
        <v>1</v>
      </c>
      <c r="M371" s="14">
        <v>18000.0</v>
      </c>
      <c r="N371" s="14"/>
      <c r="O371" s="16">
        <f>IF(M371&gt;0, N371/M371, 0)</f>
        <v>0</v>
      </c>
      <c r="P371" s="14">
        <f>M371-N371</f>
        <v>18000</v>
      </c>
      <c r="Q371" s="14">
        <f>L371*M371</f>
        <v>18000</v>
      </c>
      <c r="R371" s="14">
        <f>L371*N371</f>
        <v>0</v>
      </c>
      <c r="S371" s="14">
        <f>L371*P371</f>
        <v>18000</v>
      </c>
      <c r="T371" s="14"/>
      <c r="U371" s="14">
        <f>L371*T371</f>
        <v>0</v>
      </c>
      <c r="V371" s="14">
        <f>S371-U371</f>
        <v>18000</v>
      </c>
      <c r="W371" s="16">
        <f>IF(S371&gt;0, V371/S371, 0)</f>
        <v>1</v>
      </c>
      <c r="X371" s="7" t="s">
        <v>39</v>
      </c>
      <c r="Y371" s="9" t="s">
        <v>40</v>
      </c>
      <c r="Z371" s="9" t="s">
        <v>41</v>
      </c>
      <c r="AA371" s="9" t="s">
        <v>42</v>
      </c>
      <c r="AB371" s="7" t="s">
        <v>42</v>
      </c>
    </row>
    <row r="372" spans="1:28">
      <c r="A372" s="8">
        <v>365</v>
      </c>
      <c r="B372" s="8" t="s">
        <v>613</v>
      </c>
      <c r="C372" s="8" t="s">
        <v>592</v>
      </c>
      <c r="D372" s="8" t="s">
        <v>198</v>
      </c>
      <c r="E372" s="8" t="s">
        <v>33</v>
      </c>
      <c r="F372" s="6" t="s">
        <v>50</v>
      </c>
      <c r="G372" s="6" t="s">
        <v>35</v>
      </c>
      <c r="H372" s="6" t="s">
        <v>73</v>
      </c>
      <c r="I372" s="8">
        <v>152</v>
      </c>
      <c r="J372" s="8" t="s">
        <v>605</v>
      </c>
      <c r="K372" s="8" t="s">
        <v>53</v>
      </c>
      <c r="L372" s="10">
        <v>2</v>
      </c>
      <c r="M372" s="13">
        <v>9000.0</v>
      </c>
      <c r="N372" s="13"/>
      <c r="O372" s="15">
        <f>IF(M372&gt;0, N372/M372, 0)</f>
        <v>0</v>
      </c>
      <c r="P372" s="13">
        <f>M372-N372</f>
        <v>9000</v>
      </c>
      <c r="Q372" s="13">
        <f>L372*M372</f>
        <v>18000</v>
      </c>
      <c r="R372" s="13">
        <f>L372*N372</f>
        <v>0</v>
      </c>
      <c r="S372" s="13">
        <f>L372*P372</f>
        <v>18000</v>
      </c>
      <c r="T372" s="13"/>
      <c r="U372" s="13">
        <f>L372*T372</f>
        <v>0</v>
      </c>
      <c r="V372" s="13">
        <f>S372-U372</f>
        <v>18000</v>
      </c>
      <c r="W372" s="15">
        <f>IF(S372&gt;0, V372/S372, 0)</f>
        <v>1</v>
      </c>
      <c r="X372" s="6" t="s">
        <v>39</v>
      </c>
      <c r="Y372" s="8" t="s">
        <v>40</v>
      </c>
      <c r="Z372" s="8" t="s">
        <v>41</v>
      </c>
      <c r="AA372" s="8" t="s">
        <v>42</v>
      </c>
      <c r="AB372" s="6" t="s">
        <v>42</v>
      </c>
    </row>
    <row r="373" spans="1:28">
      <c r="A373" s="9">
        <v>366</v>
      </c>
      <c r="B373" s="9" t="s">
        <v>614</v>
      </c>
      <c r="C373" s="9" t="s">
        <v>592</v>
      </c>
      <c r="D373" s="9" t="s">
        <v>198</v>
      </c>
      <c r="E373" s="9" t="s">
        <v>68</v>
      </c>
      <c r="F373" s="7" t="s">
        <v>50</v>
      </c>
      <c r="G373" s="7" t="s">
        <v>158</v>
      </c>
      <c r="H373" s="7" t="s">
        <v>567</v>
      </c>
      <c r="I373" s="9" t="s">
        <v>42</v>
      </c>
      <c r="J373" s="9" t="s">
        <v>568</v>
      </c>
      <c r="K373" s="9" t="s">
        <v>38</v>
      </c>
      <c r="L373" s="11">
        <v>1</v>
      </c>
      <c r="M373" s="14">
        <v>5000.0</v>
      </c>
      <c r="N373" s="14"/>
      <c r="O373" s="16">
        <f>IF(M373&gt;0, N373/M373, 0)</f>
        <v>0</v>
      </c>
      <c r="P373" s="14">
        <f>M373-N373</f>
        <v>5000</v>
      </c>
      <c r="Q373" s="14">
        <f>L373*M373</f>
        <v>5000</v>
      </c>
      <c r="R373" s="14">
        <f>L373*N373</f>
        <v>0</v>
      </c>
      <c r="S373" s="14">
        <f>L373*P373</f>
        <v>5000</v>
      </c>
      <c r="T373" s="14"/>
      <c r="U373" s="14">
        <f>L373*T373</f>
        <v>0</v>
      </c>
      <c r="V373" s="14">
        <f>S373-U373</f>
        <v>5000</v>
      </c>
      <c r="W373" s="16">
        <f>IF(S373&gt;0, V373/S373, 0)</f>
        <v>1</v>
      </c>
      <c r="X373" s="7" t="s">
        <v>39</v>
      </c>
      <c r="Y373" s="9" t="s">
        <v>40</v>
      </c>
      <c r="Z373" s="9" t="s">
        <v>71</v>
      </c>
      <c r="AA373" s="9" t="s">
        <v>42</v>
      </c>
      <c r="AB373" s="7" t="s">
        <v>42</v>
      </c>
    </row>
    <row r="374" spans="1:28">
      <c r="A374" s="8">
        <v>367</v>
      </c>
      <c r="B374" s="8" t="s">
        <v>615</v>
      </c>
      <c r="C374" s="8" t="s">
        <v>592</v>
      </c>
      <c r="D374" s="8" t="s">
        <v>198</v>
      </c>
      <c r="E374" s="8" t="s">
        <v>33</v>
      </c>
      <c r="F374" s="6" t="s">
        <v>50</v>
      </c>
      <c r="G374" s="6" t="s">
        <v>35</v>
      </c>
      <c r="H374" s="6" t="s">
        <v>36</v>
      </c>
      <c r="I374" s="8">
        <v>146</v>
      </c>
      <c r="J374" s="8" t="s">
        <v>257</v>
      </c>
      <c r="K374" s="8" t="s">
        <v>53</v>
      </c>
      <c r="L374" s="10">
        <v>2</v>
      </c>
      <c r="M374" s="13">
        <v>7000.0</v>
      </c>
      <c r="N374" s="13"/>
      <c r="O374" s="15">
        <f>IF(M374&gt;0, N374/M374, 0)</f>
        <v>0</v>
      </c>
      <c r="P374" s="13">
        <f>M374-N374</f>
        <v>7000</v>
      </c>
      <c r="Q374" s="13">
        <f>L374*M374</f>
        <v>14000</v>
      </c>
      <c r="R374" s="13">
        <f>L374*N374</f>
        <v>0</v>
      </c>
      <c r="S374" s="13">
        <f>L374*P374</f>
        <v>14000</v>
      </c>
      <c r="T374" s="13"/>
      <c r="U374" s="13">
        <f>L374*T374</f>
        <v>0</v>
      </c>
      <c r="V374" s="13">
        <f>S374-U374</f>
        <v>14000</v>
      </c>
      <c r="W374" s="15">
        <f>IF(S374&gt;0, V374/S374, 0)</f>
        <v>1</v>
      </c>
      <c r="X374" s="6" t="s">
        <v>39</v>
      </c>
      <c r="Y374" s="8" t="s">
        <v>40</v>
      </c>
      <c r="Z374" s="8" t="s">
        <v>41</v>
      </c>
      <c r="AA374" s="8" t="s">
        <v>42</v>
      </c>
      <c r="AB374" s="6" t="s">
        <v>42</v>
      </c>
    </row>
    <row r="375" spans="1:28">
      <c r="A375" s="9">
        <v>368</v>
      </c>
      <c r="B375" s="9" t="s">
        <v>616</v>
      </c>
      <c r="C375" s="9" t="s">
        <v>592</v>
      </c>
      <c r="D375" s="9" t="s">
        <v>198</v>
      </c>
      <c r="E375" s="9" t="s">
        <v>33</v>
      </c>
      <c r="F375" s="7" t="s">
        <v>50</v>
      </c>
      <c r="G375" s="7" t="s">
        <v>45</v>
      </c>
      <c r="H375" s="7" t="s">
        <v>46</v>
      </c>
      <c r="I375" s="9">
        <v>134</v>
      </c>
      <c r="J375" s="9" t="s">
        <v>376</v>
      </c>
      <c r="K375" s="9" t="s">
        <v>38</v>
      </c>
      <c r="L375" s="11">
        <v>1</v>
      </c>
      <c r="M375" s="14">
        <v>18000.0</v>
      </c>
      <c r="N375" s="14"/>
      <c r="O375" s="16">
        <f>IF(M375&gt;0, N375/M375, 0)</f>
        <v>0</v>
      </c>
      <c r="P375" s="14">
        <f>M375-N375</f>
        <v>18000</v>
      </c>
      <c r="Q375" s="14">
        <f>L375*M375</f>
        <v>18000</v>
      </c>
      <c r="R375" s="14">
        <f>L375*N375</f>
        <v>0</v>
      </c>
      <c r="S375" s="14">
        <f>L375*P375</f>
        <v>18000</v>
      </c>
      <c r="T375" s="14"/>
      <c r="U375" s="14">
        <f>L375*T375</f>
        <v>0</v>
      </c>
      <c r="V375" s="14">
        <f>S375-U375</f>
        <v>18000</v>
      </c>
      <c r="W375" s="16">
        <f>IF(S375&gt;0, V375/S375, 0)</f>
        <v>1</v>
      </c>
      <c r="X375" s="7" t="s">
        <v>39</v>
      </c>
      <c r="Y375" s="9" t="s">
        <v>40</v>
      </c>
      <c r="Z375" s="9" t="s">
        <v>41</v>
      </c>
      <c r="AA375" s="9" t="s">
        <v>42</v>
      </c>
      <c r="AB375" s="7" t="s">
        <v>42</v>
      </c>
    </row>
    <row r="376" spans="1:28">
      <c r="A376" s="8">
        <v>369</v>
      </c>
      <c r="B376" s="8" t="s">
        <v>617</v>
      </c>
      <c r="C376" s="8" t="s">
        <v>592</v>
      </c>
      <c r="D376" s="8" t="s">
        <v>198</v>
      </c>
      <c r="E376" s="8" t="s">
        <v>33</v>
      </c>
      <c r="F376" s="6" t="s">
        <v>50</v>
      </c>
      <c r="G376" s="6" t="s">
        <v>51</v>
      </c>
      <c r="H376" s="6" t="s">
        <v>51</v>
      </c>
      <c r="I376" s="8">
        <v>128</v>
      </c>
      <c r="J376" s="8" t="s">
        <v>390</v>
      </c>
      <c r="K376" s="8" t="s">
        <v>53</v>
      </c>
      <c r="L376" s="10">
        <v>1</v>
      </c>
      <c r="M376" s="13">
        <v>8000.0</v>
      </c>
      <c r="N376" s="13"/>
      <c r="O376" s="15">
        <f>IF(M376&gt;0, N376/M376, 0)</f>
        <v>0</v>
      </c>
      <c r="P376" s="13">
        <f>M376-N376</f>
        <v>8000</v>
      </c>
      <c r="Q376" s="13">
        <f>L376*M376</f>
        <v>8000</v>
      </c>
      <c r="R376" s="13">
        <f>L376*N376</f>
        <v>0</v>
      </c>
      <c r="S376" s="13">
        <f>L376*P376</f>
        <v>8000</v>
      </c>
      <c r="T376" s="13"/>
      <c r="U376" s="13">
        <f>L376*T376</f>
        <v>0</v>
      </c>
      <c r="V376" s="13">
        <f>S376-U376</f>
        <v>8000</v>
      </c>
      <c r="W376" s="15">
        <f>IF(S376&gt;0, V376/S376, 0)</f>
        <v>1</v>
      </c>
      <c r="X376" s="6" t="s">
        <v>39</v>
      </c>
      <c r="Y376" s="8" t="s">
        <v>40</v>
      </c>
      <c r="Z376" s="8" t="s">
        <v>41</v>
      </c>
      <c r="AA376" s="8" t="s">
        <v>42</v>
      </c>
      <c r="AB376" s="6" t="s">
        <v>42</v>
      </c>
    </row>
    <row r="377" spans="1:28">
      <c r="A377" s="9">
        <v>370</v>
      </c>
      <c r="B377" s="9" t="s">
        <v>618</v>
      </c>
      <c r="C377" s="9" t="s">
        <v>592</v>
      </c>
      <c r="D377" s="9" t="s">
        <v>198</v>
      </c>
      <c r="E377" s="9" t="s">
        <v>33</v>
      </c>
      <c r="F377" s="7" t="s">
        <v>50</v>
      </c>
      <c r="G377" s="7" t="s">
        <v>35</v>
      </c>
      <c r="H377" s="7" t="s">
        <v>36</v>
      </c>
      <c r="I377" s="9">
        <v>134</v>
      </c>
      <c r="J377" s="9" t="s">
        <v>177</v>
      </c>
      <c r="K377" s="9" t="s">
        <v>53</v>
      </c>
      <c r="L377" s="11">
        <v>2</v>
      </c>
      <c r="M377" s="14">
        <v>7000.0</v>
      </c>
      <c r="N377" s="14"/>
      <c r="O377" s="16">
        <f>IF(M377&gt;0, N377/M377, 0)</f>
        <v>0</v>
      </c>
      <c r="P377" s="14">
        <f>M377-N377</f>
        <v>7000</v>
      </c>
      <c r="Q377" s="14">
        <f>L377*M377</f>
        <v>14000</v>
      </c>
      <c r="R377" s="14">
        <f>L377*N377</f>
        <v>0</v>
      </c>
      <c r="S377" s="14">
        <f>L377*P377</f>
        <v>14000</v>
      </c>
      <c r="T377" s="14"/>
      <c r="U377" s="14">
        <f>L377*T377</f>
        <v>0</v>
      </c>
      <c r="V377" s="14">
        <f>S377-U377</f>
        <v>14000</v>
      </c>
      <c r="W377" s="16">
        <f>IF(S377&gt;0, V377/S377, 0)</f>
        <v>1</v>
      </c>
      <c r="X377" s="7" t="s">
        <v>39</v>
      </c>
      <c r="Y377" s="9" t="s">
        <v>40</v>
      </c>
      <c r="Z377" s="9" t="s">
        <v>41</v>
      </c>
      <c r="AA377" s="9" t="s">
        <v>42</v>
      </c>
      <c r="AB377" s="7" t="s">
        <v>42</v>
      </c>
    </row>
    <row r="378" spans="1:28">
      <c r="A378" s="8">
        <v>371</v>
      </c>
      <c r="B378" s="8" t="s">
        <v>619</v>
      </c>
      <c r="C378" s="8" t="s">
        <v>592</v>
      </c>
      <c r="D378" s="8" t="s">
        <v>198</v>
      </c>
      <c r="E378" s="8" t="s">
        <v>68</v>
      </c>
      <c r="F378" s="6" t="s">
        <v>50</v>
      </c>
      <c r="G378" s="6" t="s">
        <v>56</v>
      </c>
      <c r="H378" s="6" t="s">
        <v>56</v>
      </c>
      <c r="I378" s="8">
        <v>140</v>
      </c>
      <c r="J378" s="8" t="s">
        <v>597</v>
      </c>
      <c r="K378" s="8" t="s">
        <v>38</v>
      </c>
      <c r="L378" s="10">
        <v>1</v>
      </c>
      <c r="M378" s="13">
        <v>8000.0</v>
      </c>
      <c r="N378" s="13"/>
      <c r="O378" s="15">
        <f>IF(M378&gt;0, N378/M378, 0)</f>
        <v>0</v>
      </c>
      <c r="P378" s="13">
        <f>M378-N378</f>
        <v>8000</v>
      </c>
      <c r="Q378" s="13">
        <f>L378*M378</f>
        <v>8000</v>
      </c>
      <c r="R378" s="13">
        <f>L378*N378</f>
        <v>0</v>
      </c>
      <c r="S378" s="13">
        <f>L378*P378</f>
        <v>8000</v>
      </c>
      <c r="T378" s="13"/>
      <c r="U378" s="13">
        <f>L378*T378</f>
        <v>0</v>
      </c>
      <c r="V378" s="13">
        <f>S378-U378</f>
        <v>8000</v>
      </c>
      <c r="W378" s="15">
        <f>IF(S378&gt;0, V378/S378, 0)</f>
        <v>1</v>
      </c>
      <c r="X378" s="6" t="s">
        <v>39</v>
      </c>
      <c r="Y378" s="8" t="s">
        <v>40</v>
      </c>
      <c r="Z378" s="8" t="s">
        <v>71</v>
      </c>
      <c r="AA378" s="8" t="s">
        <v>42</v>
      </c>
      <c r="AB378" s="6" t="s">
        <v>42</v>
      </c>
    </row>
    <row r="379" spans="1:28">
      <c r="A379" s="9">
        <v>372</v>
      </c>
      <c r="B379" s="9" t="s">
        <v>620</v>
      </c>
      <c r="C379" s="9" t="s">
        <v>592</v>
      </c>
      <c r="D379" s="9" t="s">
        <v>198</v>
      </c>
      <c r="E379" s="9" t="s">
        <v>33</v>
      </c>
      <c r="F379" s="7" t="s">
        <v>50</v>
      </c>
      <c r="G379" s="7" t="s">
        <v>69</v>
      </c>
      <c r="H379" s="7" t="s">
        <v>69</v>
      </c>
      <c r="I379" s="9">
        <v>146</v>
      </c>
      <c r="J379" s="9" t="s">
        <v>382</v>
      </c>
      <c r="K379" s="9" t="s">
        <v>38</v>
      </c>
      <c r="L379" s="11">
        <v>1</v>
      </c>
      <c r="M379" s="14">
        <v>16000.0</v>
      </c>
      <c r="N379" s="14"/>
      <c r="O379" s="16">
        <f>IF(M379&gt;0, N379/M379, 0)</f>
        <v>0</v>
      </c>
      <c r="P379" s="14">
        <f>M379-N379</f>
        <v>16000</v>
      </c>
      <c r="Q379" s="14">
        <f>L379*M379</f>
        <v>16000</v>
      </c>
      <c r="R379" s="14">
        <f>L379*N379</f>
        <v>0</v>
      </c>
      <c r="S379" s="14">
        <f>L379*P379</f>
        <v>16000</v>
      </c>
      <c r="T379" s="14"/>
      <c r="U379" s="14">
        <f>L379*T379</f>
        <v>0</v>
      </c>
      <c r="V379" s="14">
        <f>S379-U379</f>
        <v>16000</v>
      </c>
      <c r="W379" s="16">
        <f>IF(S379&gt;0, V379/S379, 0)</f>
        <v>1</v>
      </c>
      <c r="X379" s="7" t="s">
        <v>39</v>
      </c>
      <c r="Y379" s="9" t="s">
        <v>40</v>
      </c>
      <c r="Z379" s="9" t="s">
        <v>41</v>
      </c>
      <c r="AA379" s="9" t="s">
        <v>42</v>
      </c>
      <c r="AB379" s="7" t="s">
        <v>42</v>
      </c>
    </row>
    <row r="380" spans="1:28">
      <c r="A380" s="8">
        <v>373</v>
      </c>
      <c r="B380" s="8" t="s">
        <v>621</v>
      </c>
      <c r="C380" s="8" t="s">
        <v>592</v>
      </c>
      <c r="D380" s="8" t="s">
        <v>198</v>
      </c>
      <c r="E380" s="8" t="s">
        <v>33</v>
      </c>
      <c r="F380" s="6" t="s">
        <v>50</v>
      </c>
      <c r="G380" s="6" t="s">
        <v>51</v>
      </c>
      <c r="H380" s="6" t="s">
        <v>51</v>
      </c>
      <c r="I380" s="8">
        <v>140</v>
      </c>
      <c r="J380" s="8" t="s">
        <v>279</v>
      </c>
      <c r="K380" s="8" t="s">
        <v>53</v>
      </c>
      <c r="L380" s="10">
        <v>1</v>
      </c>
      <c r="M380" s="13">
        <v>8000.0</v>
      </c>
      <c r="N380" s="13"/>
      <c r="O380" s="15">
        <f>IF(M380&gt;0, N380/M380, 0)</f>
        <v>0</v>
      </c>
      <c r="P380" s="13">
        <f>M380-N380</f>
        <v>8000</v>
      </c>
      <c r="Q380" s="13">
        <f>L380*M380</f>
        <v>8000</v>
      </c>
      <c r="R380" s="13">
        <f>L380*N380</f>
        <v>0</v>
      </c>
      <c r="S380" s="13">
        <f>L380*P380</f>
        <v>8000</v>
      </c>
      <c r="T380" s="13"/>
      <c r="U380" s="13">
        <f>L380*T380</f>
        <v>0</v>
      </c>
      <c r="V380" s="13">
        <f>S380-U380</f>
        <v>8000</v>
      </c>
      <c r="W380" s="15">
        <f>IF(S380&gt;0, V380/S380, 0)</f>
        <v>1</v>
      </c>
      <c r="X380" s="6" t="s">
        <v>39</v>
      </c>
      <c r="Y380" s="8" t="s">
        <v>40</v>
      </c>
      <c r="Z380" s="8" t="s">
        <v>41</v>
      </c>
      <c r="AA380" s="8" t="s">
        <v>42</v>
      </c>
      <c r="AB380" s="6" t="s">
        <v>42</v>
      </c>
    </row>
    <row r="381" spans="1:28">
      <c r="A381" s="9">
        <v>374</v>
      </c>
      <c r="B381" s="9" t="s">
        <v>622</v>
      </c>
      <c r="C381" s="9" t="s">
        <v>592</v>
      </c>
      <c r="D381" s="9" t="s">
        <v>198</v>
      </c>
      <c r="E381" s="9" t="s">
        <v>33</v>
      </c>
      <c r="F381" s="7" t="s">
        <v>50</v>
      </c>
      <c r="G381" s="7" t="s">
        <v>35</v>
      </c>
      <c r="H381" s="7" t="s">
        <v>73</v>
      </c>
      <c r="I381" s="9">
        <v>146</v>
      </c>
      <c r="J381" s="9" t="s">
        <v>340</v>
      </c>
      <c r="K381" s="9" t="s">
        <v>53</v>
      </c>
      <c r="L381" s="11">
        <v>1</v>
      </c>
      <c r="M381" s="14">
        <v>8000.0</v>
      </c>
      <c r="N381" s="14"/>
      <c r="O381" s="16">
        <f>IF(M381&gt;0, N381/M381, 0)</f>
        <v>0</v>
      </c>
      <c r="P381" s="14">
        <f>M381-N381</f>
        <v>8000</v>
      </c>
      <c r="Q381" s="14">
        <f>L381*M381</f>
        <v>8000</v>
      </c>
      <c r="R381" s="14">
        <f>L381*N381</f>
        <v>0</v>
      </c>
      <c r="S381" s="14">
        <f>L381*P381</f>
        <v>8000</v>
      </c>
      <c r="T381" s="14"/>
      <c r="U381" s="14">
        <f>L381*T381</f>
        <v>0</v>
      </c>
      <c r="V381" s="14">
        <f>S381-U381</f>
        <v>8000</v>
      </c>
      <c r="W381" s="16">
        <f>IF(S381&gt;0, V381/S381, 0)</f>
        <v>1</v>
      </c>
      <c r="X381" s="7" t="s">
        <v>39</v>
      </c>
      <c r="Y381" s="9" t="s">
        <v>40</v>
      </c>
      <c r="Z381" s="9" t="s">
        <v>41</v>
      </c>
      <c r="AA381" s="9" t="s">
        <v>42</v>
      </c>
      <c r="AB381" s="7" t="s">
        <v>42</v>
      </c>
    </row>
    <row r="382" spans="1:28">
      <c r="A382" s="8">
        <v>375</v>
      </c>
      <c r="B382" s="8" t="s">
        <v>623</v>
      </c>
      <c r="C382" s="8" t="s">
        <v>592</v>
      </c>
      <c r="D382" s="8" t="s">
        <v>198</v>
      </c>
      <c r="E382" s="8" t="s">
        <v>33</v>
      </c>
      <c r="F382" s="6" t="s">
        <v>50</v>
      </c>
      <c r="G382" s="6" t="s">
        <v>35</v>
      </c>
      <c r="H382" s="6" t="s">
        <v>36</v>
      </c>
      <c r="I382" s="8">
        <v>146</v>
      </c>
      <c r="J382" s="8" t="s">
        <v>257</v>
      </c>
      <c r="K382" s="8" t="s">
        <v>53</v>
      </c>
      <c r="L382" s="10">
        <v>2</v>
      </c>
      <c r="M382" s="13">
        <v>7000.0</v>
      </c>
      <c r="N382" s="13"/>
      <c r="O382" s="15">
        <f>IF(M382&gt;0, N382/M382, 0)</f>
        <v>0</v>
      </c>
      <c r="P382" s="13">
        <f>M382-N382</f>
        <v>7000</v>
      </c>
      <c r="Q382" s="13">
        <f>L382*M382</f>
        <v>14000</v>
      </c>
      <c r="R382" s="13">
        <f>L382*N382</f>
        <v>0</v>
      </c>
      <c r="S382" s="13">
        <f>L382*P382</f>
        <v>14000</v>
      </c>
      <c r="T382" s="13"/>
      <c r="U382" s="13">
        <f>L382*T382</f>
        <v>0</v>
      </c>
      <c r="V382" s="13">
        <f>S382-U382</f>
        <v>14000</v>
      </c>
      <c r="W382" s="15">
        <f>IF(S382&gt;0, V382/S382, 0)</f>
        <v>1</v>
      </c>
      <c r="X382" s="6" t="s">
        <v>39</v>
      </c>
      <c r="Y382" s="8" t="s">
        <v>40</v>
      </c>
      <c r="Z382" s="8" t="s">
        <v>41</v>
      </c>
      <c r="AA382" s="8" t="s">
        <v>42</v>
      </c>
      <c r="AB382" s="6" t="s">
        <v>42</v>
      </c>
    </row>
    <row r="383" spans="1:28">
      <c r="A383" s="9">
        <v>376</v>
      </c>
      <c r="B383" s="9" t="s">
        <v>624</v>
      </c>
      <c r="C383" s="9" t="s">
        <v>592</v>
      </c>
      <c r="D383" s="9" t="s">
        <v>198</v>
      </c>
      <c r="E383" s="9" t="s">
        <v>68</v>
      </c>
      <c r="F383" s="7" t="s">
        <v>50</v>
      </c>
      <c r="G383" s="7" t="s">
        <v>56</v>
      </c>
      <c r="H383" s="7" t="s">
        <v>56</v>
      </c>
      <c r="I383" s="9">
        <v>128</v>
      </c>
      <c r="J383" s="9" t="s">
        <v>577</v>
      </c>
      <c r="K383" s="9" t="s">
        <v>38</v>
      </c>
      <c r="L383" s="11">
        <v>1</v>
      </c>
      <c r="M383" s="14">
        <v>8000.0</v>
      </c>
      <c r="N383" s="14"/>
      <c r="O383" s="16">
        <f>IF(M383&gt;0, N383/M383, 0)</f>
        <v>0</v>
      </c>
      <c r="P383" s="14">
        <f>M383-N383</f>
        <v>8000</v>
      </c>
      <c r="Q383" s="14">
        <f>L383*M383</f>
        <v>8000</v>
      </c>
      <c r="R383" s="14">
        <f>L383*N383</f>
        <v>0</v>
      </c>
      <c r="S383" s="14">
        <f>L383*P383</f>
        <v>8000</v>
      </c>
      <c r="T383" s="14"/>
      <c r="U383" s="14">
        <f>L383*T383</f>
        <v>0</v>
      </c>
      <c r="V383" s="14">
        <f>S383-U383</f>
        <v>8000</v>
      </c>
      <c r="W383" s="16">
        <f>IF(S383&gt;0, V383/S383, 0)</f>
        <v>1</v>
      </c>
      <c r="X383" s="7" t="s">
        <v>39</v>
      </c>
      <c r="Y383" s="9" t="s">
        <v>40</v>
      </c>
      <c r="Z383" s="9" t="s">
        <v>71</v>
      </c>
      <c r="AA383" s="9" t="s">
        <v>42</v>
      </c>
      <c r="AB383" s="7" t="s">
        <v>42</v>
      </c>
    </row>
    <row r="384" spans="1:28">
      <c r="A384" s="8">
        <v>377</v>
      </c>
      <c r="B384" s="8" t="s">
        <v>625</v>
      </c>
      <c r="C384" s="8" t="s">
        <v>592</v>
      </c>
      <c r="D384" s="8" t="s">
        <v>198</v>
      </c>
      <c r="E384" s="8" t="s">
        <v>33</v>
      </c>
      <c r="F384" s="6" t="s">
        <v>50</v>
      </c>
      <c r="G384" s="6" t="s">
        <v>69</v>
      </c>
      <c r="H384" s="6" t="s">
        <v>69</v>
      </c>
      <c r="I384" s="8">
        <v>128</v>
      </c>
      <c r="J384" s="8" t="s">
        <v>110</v>
      </c>
      <c r="K384" s="8" t="s">
        <v>38</v>
      </c>
      <c r="L384" s="10">
        <v>1</v>
      </c>
      <c r="M384" s="13">
        <v>16000.0</v>
      </c>
      <c r="N384" s="13"/>
      <c r="O384" s="15">
        <f>IF(M384&gt;0, N384/M384, 0)</f>
        <v>0</v>
      </c>
      <c r="P384" s="13">
        <f>M384-N384</f>
        <v>16000</v>
      </c>
      <c r="Q384" s="13">
        <f>L384*M384</f>
        <v>16000</v>
      </c>
      <c r="R384" s="13">
        <f>L384*N384</f>
        <v>0</v>
      </c>
      <c r="S384" s="13">
        <f>L384*P384</f>
        <v>16000</v>
      </c>
      <c r="T384" s="13"/>
      <c r="U384" s="13">
        <f>L384*T384</f>
        <v>0</v>
      </c>
      <c r="V384" s="13">
        <f>S384-U384</f>
        <v>16000</v>
      </c>
      <c r="W384" s="15">
        <f>IF(S384&gt;0, V384/S384, 0)</f>
        <v>1</v>
      </c>
      <c r="X384" s="6" t="s">
        <v>39</v>
      </c>
      <c r="Y384" s="8" t="s">
        <v>40</v>
      </c>
      <c r="Z384" s="8" t="s">
        <v>41</v>
      </c>
      <c r="AA384" s="8" t="s">
        <v>42</v>
      </c>
      <c r="AB384" s="6" t="s">
        <v>42</v>
      </c>
    </row>
    <row r="385" spans="1:28">
      <c r="A385" s="9">
        <v>378</v>
      </c>
      <c r="B385" s="9" t="s">
        <v>626</v>
      </c>
      <c r="C385" s="9" t="s">
        <v>592</v>
      </c>
      <c r="D385" s="9" t="s">
        <v>198</v>
      </c>
      <c r="E385" s="9" t="s">
        <v>33</v>
      </c>
      <c r="F385" s="7" t="s">
        <v>50</v>
      </c>
      <c r="G385" s="7" t="s">
        <v>35</v>
      </c>
      <c r="H385" s="7" t="s">
        <v>36</v>
      </c>
      <c r="I385" s="9">
        <v>134</v>
      </c>
      <c r="J385" s="9" t="s">
        <v>177</v>
      </c>
      <c r="K385" s="9" t="s">
        <v>53</v>
      </c>
      <c r="L385" s="11">
        <v>2</v>
      </c>
      <c r="M385" s="14">
        <v>7000.0</v>
      </c>
      <c r="N385" s="14"/>
      <c r="O385" s="16">
        <f>IF(M385&gt;0, N385/M385, 0)</f>
        <v>0</v>
      </c>
      <c r="P385" s="14">
        <f>M385-N385</f>
        <v>7000</v>
      </c>
      <c r="Q385" s="14">
        <f>L385*M385</f>
        <v>14000</v>
      </c>
      <c r="R385" s="14">
        <f>L385*N385</f>
        <v>0</v>
      </c>
      <c r="S385" s="14">
        <f>L385*P385</f>
        <v>14000</v>
      </c>
      <c r="T385" s="14"/>
      <c r="U385" s="14">
        <f>L385*T385</f>
        <v>0</v>
      </c>
      <c r="V385" s="14">
        <f>S385-U385</f>
        <v>14000</v>
      </c>
      <c r="W385" s="16">
        <f>IF(S385&gt;0, V385/S385, 0)</f>
        <v>1</v>
      </c>
      <c r="X385" s="7" t="s">
        <v>39</v>
      </c>
      <c r="Y385" s="9" t="s">
        <v>40</v>
      </c>
      <c r="Z385" s="9" t="s">
        <v>41</v>
      </c>
      <c r="AA385" s="9" t="s">
        <v>42</v>
      </c>
      <c r="AB385" s="7" t="s">
        <v>42</v>
      </c>
    </row>
    <row r="386" spans="1:28">
      <c r="A386" s="8">
        <v>379</v>
      </c>
      <c r="B386" s="8" t="s">
        <v>627</v>
      </c>
      <c r="C386" s="8" t="s">
        <v>592</v>
      </c>
      <c r="D386" s="8" t="s">
        <v>198</v>
      </c>
      <c r="E386" s="8" t="s">
        <v>33</v>
      </c>
      <c r="F386" s="6" t="s">
        <v>50</v>
      </c>
      <c r="G386" s="6" t="s">
        <v>35</v>
      </c>
      <c r="H386" s="6" t="s">
        <v>36</v>
      </c>
      <c r="I386" s="8">
        <v>140</v>
      </c>
      <c r="J386" s="8" t="s">
        <v>223</v>
      </c>
      <c r="K386" s="8" t="s">
        <v>53</v>
      </c>
      <c r="L386" s="10">
        <v>3</v>
      </c>
      <c r="M386" s="13">
        <v>7000.0</v>
      </c>
      <c r="N386" s="13"/>
      <c r="O386" s="15">
        <f>IF(M386&gt;0, N386/M386, 0)</f>
        <v>0</v>
      </c>
      <c r="P386" s="13">
        <f>M386-N386</f>
        <v>7000</v>
      </c>
      <c r="Q386" s="13">
        <f>L386*M386</f>
        <v>21000</v>
      </c>
      <c r="R386" s="13">
        <f>L386*N386</f>
        <v>0</v>
      </c>
      <c r="S386" s="13">
        <f>L386*P386</f>
        <v>21000</v>
      </c>
      <c r="T386" s="13"/>
      <c r="U386" s="13">
        <f>L386*T386</f>
        <v>0</v>
      </c>
      <c r="V386" s="13">
        <f>S386-U386</f>
        <v>21000</v>
      </c>
      <c r="W386" s="15">
        <f>IF(S386&gt;0, V386/S386, 0)</f>
        <v>1</v>
      </c>
      <c r="X386" s="6" t="s">
        <v>39</v>
      </c>
      <c r="Y386" s="8" t="s">
        <v>40</v>
      </c>
      <c r="Z386" s="8" t="s">
        <v>41</v>
      </c>
      <c r="AA386" s="8" t="s">
        <v>42</v>
      </c>
      <c r="AB386" s="6" t="s">
        <v>42</v>
      </c>
    </row>
    <row r="387" spans="1:28">
      <c r="A387" s="9">
        <v>380</v>
      </c>
      <c r="B387" s="9" t="s">
        <v>628</v>
      </c>
      <c r="C387" s="9" t="s">
        <v>592</v>
      </c>
      <c r="D387" s="9" t="s">
        <v>198</v>
      </c>
      <c r="E387" s="9" t="s">
        <v>33</v>
      </c>
      <c r="F387" s="7" t="s">
        <v>50</v>
      </c>
      <c r="G387" s="7" t="s">
        <v>69</v>
      </c>
      <c r="H387" s="7" t="s">
        <v>69</v>
      </c>
      <c r="I387" s="9">
        <v>146</v>
      </c>
      <c r="J387" s="9" t="s">
        <v>382</v>
      </c>
      <c r="K387" s="9" t="s">
        <v>38</v>
      </c>
      <c r="L387" s="11">
        <v>1</v>
      </c>
      <c r="M387" s="14">
        <v>16000.0</v>
      </c>
      <c r="N387" s="14"/>
      <c r="O387" s="16">
        <f>IF(M387&gt;0, N387/M387, 0)</f>
        <v>0</v>
      </c>
      <c r="P387" s="14">
        <f>M387-N387</f>
        <v>16000</v>
      </c>
      <c r="Q387" s="14">
        <f>L387*M387</f>
        <v>16000</v>
      </c>
      <c r="R387" s="14">
        <f>L387*N387</f>
        <v>0</v>
      </c>
      <c r="S387" s="14">
        <f>L387*P387</f>
        <v>16000</v>
      </c>
      <c r="T387" s="14"/>
      <c r="U387" s="14">
        <f>L387*T387</f>
        <v>0</v>
      </c>
      <c r="V387" s="14">
        <f>S387-U387</f>
        <v>16000</v>
      </c>
      <c r="W387" s="16">
        <f>IF(S387&gt;0, V387/S387, 0)</f>
        <v>1</v>
      </c>
      <c r="X387" s="7" t="s">
        <v>39</v>
      </c>
      <c r="Y387" s="9" t="s">
        <v>40</v>
      </c>
      <c r="Z387" s="9" t="s">
        <v>41</v>
      </c>
      <c r="AA387" s="9" t="s">
        <v>42</v>
      </c>
      <c r="AB387" s="7" t="s">
        <v>42</v>
      </c>
    </row>
    <row r="388" spans="1:28">
      <c r="A388" s="8">
        <v>381</v>
      </c>
      <c r="B388" s="8" t="s">
        <v>629</v>
      </c>
      <c r="C388" s="8" t="s">
        <v>630</v>
      </c>
      <c r="D388" s="8" t="s">
        <v>198</v>
      </c>
      <c r="E388" s="8" t="s">
        <v>33</v>
      </c>
      <c r="F388" s="6" t="s">
        <v>50</v>
      </c>
      <c r="G388" s="6" t="s">
        <v>56</v>
      </c>
      <c r="H388" s="6" t="s">
        <v>56</v>
      </c>
      <c r="I388" s="8">
        <v>140</v>
      </c>
      <c r="J388" s="8" t="s">
        <v>597</v>
      </c>
      <c r="K388" s="8" t="s">
        <v>38</v>
      </c>
      <c r="L388" s="10">
        <v>1</v>
      </c>
      <c r="M388" s="13">
        <v>9000.0</v>
      </c>
      <c r="N388" s="13"/>
      <c r="O388" s="15">
        <f>IF(M388&gt;0, N388/M388, 0)</f>
        <v>0</v>
      </c>
      <c r="P388" s="13">
        <f>M388-N388</f>
        <v>9000</v>
      </c>
      <c r="Q388" s="13">
        <f>L388*M388</f>
        <v>9000</v>
      </c>
      <c r="R388" s="13">
        <f>L388*N388</f>
        <v>0</v>
      </c>
      <c r="S388" s="13">
        <f>L388*P388</f>
        <v>9000</v>
      </c>
      <c r="T388" s="13"/>
      <c r="U388" s="13">
        <f>L388*T388</f>
        <v>0</v>
      </c>
      <c r="V388" s="13">
        <f>S388-U388</f>
        <v>9000</v>
      </c>
      <c r="W388" s="15">
        <f>IF(S388&gt;0, V388/S388, 0)</f>
        <v>1</v>
      </c>
      <c r="X388" s="6" t="s">
        <v>39</v>
      </c>
      <c r="Y388" s="8" t="s">
        <v>40</v>
      </c>
      <c r="Z388" s="8" t="s">
        <v>41</v>
      </c>
      <c r="AA388" s="8" t="s">
        <v>42</v>
      </c>
      <c r="AB388" s="6" t="s">
        <v>42</v>
      </c>
    </row>
    <row r="389" spans="1:28">
      <c r="A389" s="9">
        <v>382</v>
      </c>
      <c r="B389" s="9" t="s">
        <v>631</v>
      </c>
      <c r="C389" s="9" t="s">
        <v>630</v>
      </c>
      <c r="D389" s="9" t="s">
        <v>198</v>
      </c>
      <c r="E389" s="9" t="s">
        <v>68</v>
      </c>
      <c r="F389" s="7" t="s">
        <v>34</v>
      </c>
      <c r="G389" s="7" t="s">
        <v>35</v>
      </c>
      <c r="H389" s="7" t="s">
        <v>73</v>
      </c>
      <c r="I389" s="9">
        <v>146</v>
      </c>
      <c r="J389" s="9" t="s">
        <v>632</v>
      </c>
      <c r="K389" s="9" t="s">
        <v>38</v>
      </c>
      <c r="L389" s="11">
        <v>1</v>
      </c>
      <c r="M389" s="14">
        <v>11000.0</v>
      </c>
      <c r="N389" s="14"/>
      <c r="O389" s="16">
        <f>IF(M389&gt;0, N389/M389, 0)</f>
        <v>0</v>
      </c>
      <c r="P389" s="14">
        <f>M389-N389</f>
        <v>11000</v>
      </c>
      <c r="Q389" s="14">
        <f>L389*M389</f>
        <v>11000</v>
      </c>
      <c r="R389" s="14">
        <f>L389*N389</f>
        <v>0</v>
      </c>
      <c r="S389" s="14">
        <f>L389*P389</f>
        <v>11000</v>
      </c>
      <c r="T389" s="14"/>
      <c r="U389" s="14">
        <f>L389*T389</f>
        <v>0</v>
      </c>
      <c r="V389" s="14">
        <f>S389-U389</f>
        <v>11000</v>
      </c>
      <c r="W389" s="16">
        <f>IF(S389&gt;0, V389/S389, 0)</f>
        <v>1</v>
      </c>
      <c r="X389" s="7" t="s">
        <v>39</v>
      </c>
      <c r="Y389" s="9" t="s">
        <v>40</v>
      </c>
      <c r="Z389" s="9" t="s">
        <v>71</v>
      </c>
      <c r="AA389" s="9" t="s">
        <v>42</v>
      </c>
      <c r="AB389" s="7" t="s">
        <v>42</v>
      </c>
    </row>
    <row r="390" spans="1:28">
      <c r="A390" s="8">
        <v>383</v>
      </c>
      <c r="B390" s="8" t="s">
        <v>633</v>
      </c>
      <c r="C390" s="8" t="s">
        <v>630</v>
      </c>
      <c r="D390" s="8" t="s">
        <v>198</v>
      </c>
      <c r="E390" s="8" t="s">
        <v>33</v>
      </c>
      <c r="F390" s="6" t="s">
        <v>34</v>
      </c>
      <c r="G390" s="6" t="s">
        <v>35</v>
      </c>
      <c r="H390" s="6" t="s">
        <v>73</v>
      </c>
      <c r="I390" s="8">
        <v>164</v>
      </c>
      <c r="J390" s="8" t="s">
        <v>74</v>
      </c>
      <c r="K390" s="8" t="s">
        <v>38</v>
      </c>
      <c r="L390" s="10">
        <v>1</v>
      </c>
      <c r="M390" s="13">
        <v>9000.0</v>
      </c>
      <c r="N390" s="13"/>
      <c r="O390" s="15">
        <f>IF(M390&gt;0, N390/M390, 0)</f>
        <v>0</v>
      </c>
      <c r="P390" s="13">
        <f>M390-N390</f>
        <v>9000</v>
      </c>
      <c r="Q390" s="13">
        <f>L390*M390</f>
        <v>9000</v>
      </c>
      <c r="R390" s="13">
        <f>L390*N390</f>
        <v>0</v>
      </c>
      <c r="S390" s="13">
        <f>L390*P390</f>
        <v>9000</v>
      </c>
      <c r="T390" s="13"/>
      <c r="U390" s="13">
        <f>L390*T390</f>
        <v>0</v>
      </c>
      <c r="V390" s="13">
        <f>S390-U390</f>
        <v>9000</v>
      </c>
      <c r="W390" s="15">
        <f>IF(S390&gt;0, V390/S390, 0)</f>
        <v>1</v>
      </c>
      <c r="X390" s="6" t="s">
        <v>39</v>
      </c>
      <c r="Y390" s="8" t="s">
        <v>40</v>
      </c>
      <c r="Z390" s="8" t="s">
        <v>41</v>
      </c>
      <c r="AA390" s="8" t="s">
        <v>42</v>
      </c>
      <c r="AB390" s="6" t="s">
        <v>42</v>
      </c>
    </row>
    <row r="391" spans="1:28">
      <c r="A391" s="9">
        <v>384</v>
      </c>
      <c r="B391" s="9" t="s">
        <v>634</v>
      </c>
      <c r="C391" s="9" t="s">
        <v>630</v>
      </c>
      <c r="D391" s="9" t="s">
        <v>198</v>
      </c>
      <c r="E391" s="9" t="s">
        <v>33</v>
      </c>
      <c r="F391" s="7" t="s">
        <v>34</v>
      </c>
      <c r="G391" s="7" t="s">
        <v>69</v>
      </c>
      <c r="H391" s="7" t="s">
        <v>69</v>
      </c>
      <c r="I391" s="9">
        <v>152</v>
      </c>
      <c r="J391" s="9" t="s">
        <v>207</v>
      </c>
      <c r="K391" s="9" t="s">
        <v>38</v>
      </c>
      <c r="L391" s="11">
        <v>1</v>
      </c>
      <c r="M391" s="14">
        <v>16500.0</v>
      </c>
      <c r="N391" s="14"/>
      <c r="O391" s="16">
        <f>IF(M391&gt;0, N391/M391, 0)</f>
        <v>0</v>
      </c>
      <c r="P391" s="14">
        <f>M391-N391</f>
        <v>16500</v>
      </c>
      <c r="Q391" s="14">
        <f>L391*M391</f>
        <v>16500</v>
      </c>
      <c r="R391" s="14">
        <f>L391*N391</f>
        <v>0</v>
      </c>
      <c r="S391" s="14">
        <f>L391*P391</f>
        <v>16500</v>
      </c>
      <c r="T391" s="14"/>
      <c r="U391" s="14">
        <f>L391*T391</f>
        <v>0</v>
      </c>
      <c r="V391" s="14">
        <f>S391-U391</f>
        <v>16500</v>
      </c>
      <c r="W391" s="16">
        <f>IF(S391&gt;0, V391/S391, 0)</f>
        <v>1</v>
      </c>
      <c r="X391" s="7" t="s">
        <v>39</v>
      </c>
      <c r="Y391" s="9" t="s">
        <v>40</v>
      </c>
      <c r="Z391" s="9" t="s">
        <v>41</v>
      </c>
      <c r="AA391" s="9" t="s">
        <v>42</v>
      </c>
      <c r="AB391" s="7" t="s">
        <v>42</v>
      </c>
    </row>
    <row r="392" spans="1:28">
      <c r="A392" s="8">
        <v>385</v>
      </c>
      <c r="B392" s="8" t="s">
        <v>635</v>
      </c>
      <c r="C392" s="8" t="s">
        <v>630</v>
      </c>
      <c r="D392" s="8" t="s">
        <v>198</v>
      </c>
      <c r="E392" s="8" t="s">
        <v>33</v>
      </c>
      <c r="F392" s="6" t="s">
        <v>50</v>
      </c>
      <c r="G392" s="6" t="s">
        <v>69</v>
      </c>
      <c r="H392" s="6" t="s">
        <v>69</v>
      </c>
      <c r="I392" s="8">
        <v>146</v>
      </c>
      <c r="J392" s="8" t="s">
        <v>382</v>
      </c>
      <c r="K392" s="8" t="s">
        <v>38</v>
      </c>
      <c r="L392" s="10">
        <v>1</v>
      </c>
      <c r="M392" s="13">
        <v>16000.0</v>
      </c>
      <c r="N392" s="13"/>
      <c r="O392" s="15">
        <f>IF(M392&gt;0, N392/M392, 0)</f>
        <v>0</v>
      </c>
      <c r="P392" s="13">
        <f>M392-N392</f>
        <v>16000</v>
      </c>
      <c r="Q392" s="13">
        <f>L392*M392</f>
        <v>16000</v>
      </c>
      <c r="R392" s="13">
        <f>L392*N392</f>
        <v>0</v>
      </c>
      <c r="S392" s="13">
        <f>L392*P392</f>
        <v>16000</v>
      </c>
      <c r="T392" s="13"/>
      <c r="U392" s="13">
        <f>L392*T392</f>
        <v>0</v>
      </c>
      <c r="V392" s="13">
        <f>S392-U392</f>
        <v>16000</v>
      </c>
      <c r="W392" s="15">
        <f>IF(S392&gt;0, V392/S392, 0)</f>
        <v>1</v>
      </c>
      <c r="X392" s="6" t="s">
        <v>39</v>
      </c>
      <c r="Y392" s="8" t="s">
        <v>40</v>
      </c>
      <c r="Z392" s="8" t="s">
        <v>41</v>
      </c>
      <c r="AA392" s="8" t="s">
        <v>42</v>
      </c>
      <c r="AB392" s="6" t="s">
        <v>42</v>
      </c>
    </row>
    <row r="393" spans="1:28">
      <c r="A393" s="9">
        <v>386</v>
      </c>
      <c r="B393" s="9" t="s">
        <v>636</v>
      </c>
      <c r="C393" s="9" t="s">
        <v>630</v>
      </c>
      <c r="D393" s="9" t="s">
        <v>198</v>
      </c>
      <c r="E393" s="9" t="s">
        <v>33</v>
      </c>
      <c r="F393" s="7" t="s">
        <v>50</v>
      </c>
      <c r="G393" s="7" t="s">
        <v>35</v>
      </c>
      <c r="H393" s="7" t="s">
        <v>73</v>
      </c>
      <c r="I393" s="9">
        <v>146</v>
      </c>
      <c r="J393" s="9" t="s">
        <v>340</v>
      </c>
      <c r="K393" s="9" t="s">
        <v>53</v>
      </c>
      <c r="L393" s="11">
        <v>1</v>
      </c>
      <c r="M393" s="14">
        <v>8000.0</v>
      </c>
      <c r="N393" s="14"/>
      <c r="O393" s="16">
        <f>IF(M393&gt;0, N393/M393, 0)</f>
        <v>0</v>
      </c>
      <c r="P393" s="14">
        <f>M393-N393</f>
        <v>8000</v>
      </c>
      <c r="Q393" s="14">
        <f>L393*M393</f>
        <v>8000</v>
      </c>
      <c r="R393" s="14">
        <f>L393*N393</f>
        <v>0</v>
      </c>
      <c r="S393" s="14">
        <f>L393*P393</f>
        <v>8000</v>
      </c>
      <c r="T393" s="14"/>
      <c r="U393" s="14">
        <f>L393*T393</f>
        <v>0</v>
      </c>
      <c r="V393" s="14">
        <f>S393-U393</f>
        <v>8000</v>
      </c>
      <c r="W393" s="16">
        <f>IF(S393&gt;0, V393/S393, 0)</f>
        <v>1</v>
      </c>
      <c r="X393" s="7" t="s">
        <v>39</v>
      </c>
      <c r="Y393" s="9" t="s">
        <v>40</v>
      </c>
      <c r="Z393" s="9" t="s">
        <v>41</v>
      </c>
      <c r="AA393" s="9" t="s">
        <v>42</v>
      </c>
      <c r="AB393" s="7" t="s">
        <v>42</v>
      </c>
    </row>
    <row r="394" spans="1:28">
      <c r="A394" s="8">
        <v>387</v>
      </c>
      <c r="B394" s="8" t="s">
        <v>637</v>
      </c>
      <c r="C394" s="8" t="s">
        <v>630</v>
      </c>
      <c r="D394" s="8" t="s">
        <v>198</v>
      </c>
      <c r="E394" s="8" t="s">
        <v>33</v>
      </c>
      <c r="F394" s="6" t="s">
        <v>50</v>
      </c>
      <c r="G394" s="6" t="s">
        <v>35</v>
      </c>
      <c r="H394" s="6" t="s">
        <v>36</v>
      </c>
      <c r="I394" s="8">
        <v>152</v>
      </c>
      <c r="J394" s="8" t="s">
        <v>151</v>
      </c>
      <c r="K394" s="8" t="s">
        <v>53</v>
      </c>
      <c r="L394" s="10">
        <v>2</v>
      </c>
      <c r="M394" s="13">
        <v>7000.0</v>
      </c>
      <c r="N394" s="13"/>
      <c r="O394" s="15">
        <f>IF(M394&gt;0, N394/M394, 0)</f>
        <v>0</v>
      </c>
      <c r="P394" s="13">
        <f>M394-N394</f>
        <v>7000</v>
      </c>
      <c r="Q394" s="13">
        <f>L394*M394</f>
        <v>14000</v>
      </c>
      <c r="R394" s="13">
        <f>L394*N394</f>
        <v>0</v>
      </c>
      <c r="S394" s="13">
        <f>L394*P394</f>
        <v>14000</v>
      </c>
      <c r="T394" s="13"/>
      <c r="U394" s="13">
        <f>L394*T394</f>
        <v>0</v>
      </c>
      <c r="V394" s="13">
        <f>S394-U394</f>
        <v>14000</v>
      </c>
      <c r="W394" s="15">
        <f>IF(S394&gt;0, V394/S394, 0)</f>
        <v>1</v>
      </c>
      <c r="X394" s="6" t="s">
        <v>39</v>
      </c>
      <c r="Y394" s="8" t="s">
        <v>40</v>
      </c>
      <c r="Z394" s="8" t="s">
        <v>41</v>
      </c>
      <c r="AA394" s="8" t="s">
        <v>42</v>
      </c>
      <c r="AB394" s="6" t="s">
        <v>42</v>
      </c>
    </row>
    <row r="395" spans="1:28">
      <c r="A395" s="9">
        <v>388</v>
      </c>
      <c r="B395" s="9" t="s">
        <v>638</v>
      </c>
      <c r="C395" s="9" t="s">
        <v>630</v>
      </c>
      <c r="D395" s="9" t="s">
        <v>198</v>
      </c>
      <c r="E395" s="9" t="s">
        <v>33</v>
      </c>
      <c r="F395" s="7" t="s">
        <v>34</v>
      </c>
      <c r="G395" s="7" t="s">
        <v>51</v>
      </c>
      <c r="H395" s="7" t="s">
        <v>51</v>
      </c>
      <c r="I395" s="9">
        <v>158</v>
      </c>
      <c r="J395" s="9" t="s">
        <v>122</v>
      </c>
      <c r="K395" s="9" t="s">
        <v>38</v>
      </c>
      <c r="L395" s="11">
        <v>1</v>
      </c>
      <c r="M395" s="14">
        <v>8500.0</v>
      </c>
      <c r="N395" s="14"/>
      <c r="O395" s="16">
        <f>IF(M395&gt;0, N395/M395, 0)</f>
        <v>0</v>
      </c>
      <c r="P395" s="14">
        <f>M395-N395</f>
        <v>8500</v>
      </c>
      <c r="Q395" s="14">
        <f>L395*M395</f>
        <v>8500</v>
      </c>
      <c r="R395" s="14">
        <f>L395*N395</f>
        <v>0</v>
      </c>
      <c r="S395" s="14">
        <f>L395*P395</f>
        <v>8500</v>
      </c>
      <c r="T395" s="14"/>
      <c r="U395" s="14">
        <f>L395*T395</f>
        <v>0</v>
      </c>
      <c r="V395" s="14">
        <f>S395-U395</f>
        <v>8500</v>
      </c>
      <c r="W395" s="16">
        <f>IF(S395&gt;0, V395/S395, 0)</f>
        <v>1</v>
      </c>
      <c r="X395" s="7" t="s">
        <v>39</v>
      </c>
      <c r="Y395" s="9" t="s">
        <v>40</v>
      </c>
      <c r="Z395" s="9" t="s">
        <v>41</v>
      </c>
      <c r="AA395" s="9" t="s">
        <v>42</v>
      </c>
      <c r="AB395" s="7" t="s">
        <v>42</v>
      </c>
    </row>
    <row r="396" spans="1:28">
      <c r="A396" s="8">
        <v>389</v>
      </c>
      <c r="B396" s="8" t="s">
        <v>639</v>
      </c>
      <c r="C396" s="8" t="s">
        <v>630</v>
      </c>
      <c r="D396" s="8" t="s">
        <v>198</v>
      </c>
      <c r="E396" s="8" t="s">
        <v>33</v>
      </c>
      <c r="F396" s="6" t="s">
        <v>50</v>
      </c>
      <c r="G396" s="6" t="s">
        <v>51</v>
      </c>
      <c r="H396" s="6" t="s">
        <v>51</v>
      </c>
      <c r="I396" s="8">
        <v>146</v>
      </c>
      <c r="J396" s="8" t="s">
        <v>254</v>
      </c>
      <c r="K396" s="8" t="s">
        <v>53</v>
      </c>
      <c r="L396" s="10">
        <v>2</v>
      </c>
      <c r="M396" s="13">
        <v>8000.0</v>
      </c>
      <c r="N396" s="13"/>
      <c r="O396" s="15">
        <f>IF(M396&gt;0, N396/M396, 0)</f>
        <v>0</v>
      </c>
      <c r="P396" s="13">
        <f>M396-N396</f>
        <v>8000</v>
      </c>
      <c r="Q396" s="13">
        <f>L396*M396</f>
        <v>16000</v>
      </c>
      <c r="R396" s="13">
        <f>L396*N396</f>
        <v>0</v>
      </c>
      <c r="S396" s="13">
        <f>L396*P396</f>
        <v>16000</v>
      </c>
      <c r="T396" s="13"/>
      <c r="U396" s="13">
        <f>L396*T396</f>
        <v>0</v>
      </c>
      <c r="V396" s="13">
        <f>S396-U396</f>
        <v>16000</v>
      </c>
      <c r="W396" s="15">
        <f>IF(S396&gt;0, V396/S396, 0)</f>
        <v>1</v>
      </c>
      <c r="X396" s="6" t="s">
        <v>39</v>
      </c>
      <c r="Y396" s="8" t="s">
        <v>40</v>
      </c>
      <c r="Z396" s="8" t="s">
        <v>41</v>
      </c>
      <c r="AA396" s="8" t="s">
        <v>42</v>
      </c>
      <c r="AB396" s="6" t="s">
        <v>42</v>
      </c>
    </row>
    <row r="397" spans="1:28">
      <c r="A397" s="9">
        <v>390</v>
      </c>
      <c r="B397" s="9" t="s">
        <v>640</v>
      </c>
      <c r="C397" s="9" t="s">
        <v>630</v>
      </c>
      <c r="D397" s="9" t="s">
        <v>198</v>
      </c>
      <c r="E397" s="9" t="s">
        <v>68</v>
      </c>
      <c r="F397" s="7" t="s">
        <v>34</v>
      </c>
      <c r="G397" s="7" t="s">
        <v>69</v>
      </c>
      <c r="H397" s="7" t="s">
        <v>69</v>
      </c>
      <c r="I397" s="9">
        <v>176</v>
      </c>
      <c r="J397" s="9" t="s">
        <v>203</v>
      </c>
      <c r="K397" s="9" t="s">
        <v>38</v>
      </c>
      <c r="L397" s="11">
        <v>1</v>
      </c>
      <c r="M397" s="14">
        <v>18000.0</v>
      </c>
      <c r="N397" s="14"/>
      <c r="O397" s="16">
        <f>IF(M397&gt;0, N397/M397, 0)</f>
        <v>0</v>
      </c>
      <c r="P397" s="14">
        <f>M397-N397</f>
        <v>18000</v>
      </c>
      <c r="Q397" s="14">
        <f>L397*M397</f>
        <v>18000</v>
      </c>
      <c r="R397" s="14">
        <f>L397*N397</f>
        <v>0</v>
      </c>
      <c r="S397" s="14">
        <f>L397*P397</f>
        <v>18000</v>
      </c>
      <c r="T397" s="14"/>
      <c r="U397" s="14">
        <f>L397*T397</f>
        <v>0</v>
      </c>
      <c r="V397" s="14">
        <f>S397-U397</f>
        <v>18000</v>
      </c>
      <c r="W397" s="16">
        <f>IF(S397&gt;0, V397/S397, 0)</f>
        <v>1</v>
      </c>
      <c r="X397" s="7" t="s">
        <v>39</v>
      </c>
      <c r="Y397" s="9" t="s">
        <v>40</v>
      </c>
      <c r="Z397" s="9" t="s">
        <v>71</v>
      </c>
      <c r="AA397" s="9" t="s">
        <v>42</v>
      </c>
      <c r="AB397" s="7" t="s">
        <v>42</v>
      </c>
    </row>
    <row r="398" spans="1:28">
      <c r="A398" s="8">
        <v>391</v>
      </c>
      <c r="B398" s="8" t="s">
        <v>641</v>
      </c>
      <c r="C398" s="8" t="s">
        <v>630</v>
      </c>
      <c r="D398" s="8" t="s">
        <v>198</v>
      </c>
      <c r="E398" s="8" t="s">
        <v>33</v>
      </c>
      <c r="F398" s="6" t="s">
        <v>50</v>
      </c>
      <c r="G398" s="6" t="s">
        <v>35</v>
      </c>
      <c r="H398" s="6" t="s">
        <v>36</v>
      </c>
      <c r="I398" s="8">
        <v>170</v>
      </c>
      <c r="J398" s="8" t="s">
        <v>642</v>
      </c>
      <c r="K398" s="8" t="s">
        <v>53</v>
      </c>
      <c r="L398" s="10">
        <v>1</v>
      </c>
      <c r="M398" s="13">
        <v>8000.0</v>
      </c>
      <c r="N398" s="13"/>
      <c r="O398" s="15">
        <f>IF(M398&gt;0, N398/M398, 0)</f>
        <v>0</v>
      </c>
      <c r="P398" s="13">
        <f>M398-N398</f>
        <v>8000</v>
      </c>
      <c r="Q398" s="13">
        <f>L398*M398</f>
        <v>8000</v>
      </c>
      <c r="R398" s="13">
        <f>L398*N398</f>
        <v>0</v>
      </c>
      <c r="S398" s="13">
        <f>L398*P398</f>
        <v>8000</v>
      </c>
      <c r="T398" s="13"/>
      <c r="U398" s="13">
        <f>L398*T398</f>
        <v>0</v>
      </c>
      <c r="V398" s="13">
        <f>S398-U398</f>
        <v>8000</v>
      </c>
      <c r="W398" s="15">
        <f>IF(S398&gt;0, V398/S398, 0)</f>
        <v>1</v>
      </c>
      <c r="X398" s="6" t="s">
        <v>39</v>
      </c>
      <c r="Y398" s="8" t="s">
        <v>40</v>
      </c>
      <c r="Z398" s="8" t="s">
        <v>41</v>
      </c>
      <c r="AA398" s="8" t="s">
        <v>42</v>
      </c>
      <c r="AB398" s="6" t="s">
        <v>42</v>
      </c>
    </row>
    <row r="399" spans="1:28">
      <c r="A399" s="9">
        <v>392</v>
      </c>
      <c r="B399" s="9" t="s">
        <v>643</v>
      </c>
      <c r="C399" s="9" t="s">
        <v>630</v>
      </c>
      <c r="D399" s="9" t="s">
        <v>198</v>
      </c>
      <c r="E399" s="9" t="s">
        <v>33</v>
      </c>
      <c r="F399" s="7" t="s">
        <v>50</v>
      </c>
      <c r="G399" s="7" t="s">
        <v>56</v>
      </c>
      <c r="H399" s="7" t="s">
        <v>56</v>
      </c>
      <c r="I399" s="9">
        <v>164</v>
      </c>
      <c r="J399" s="9" t="s">
        <v>409</v>
      </c>
      <c r="K399" s="9" t="s">
        <v>38</v>
      </c>
      <c r="L399" s="11">
        <v>1</v>
      </c>
      <c r="M399" s="14">
        <v>7500.0</v>
      </c>
      <c r="N399" s="14"/>
      <c r="O399" s="16">
        <f>IF(M399&gt;0, N399/M399, 0)</f>
        <v>0</v>
      </c>
      <c r="P399" s="14">
        <f>M399-N399</f>
        <v>7500</v>
      </c>
      <c r="Q399" s="14">
        <f>L399*M399</f>
        <v>7500</v>
      </c>
      <c r="R399" s="14">
        <f>L399*N399</f>
        <v>0</v>
      </c>
      <c r="S399" s="14">
        <f>L399*P399</f>
        <v>7500</v>
      </c>
      <c r="T399" s="14"/>
      <c r="U399" s="14">
        <f>L399*T399</f>
        <v>0</v>
      </c>
      <c r="V399" s="14">
        <f>S399-U399</f>
        <v>7500</v>
      </c>
      <c r="W399" s="16">
        <f>IF(S399&gt;0, V399/S399, 0)</f>
        <v>1</v>
      </c>
      <c r="X399" s="7" t="s">
        <v>39</v>
      </c>
      <c r="Y399" s="9" t="s">
        <v>40</v>
      </c>
      <c r="Z399" s="9" t="s">
        <v>41</v>
      </c>
      <c r="AA399" s="9" t="s">
        <v>42</v>
      </c>
      <c r="AB399" s="7" t="s">
        <v>42</v>
      </c>
    </row>
    <row r="400" spans="1:28">
      <c r="A400" s="8">
        <v>393</v>
      </c>
      <c r="B400" s="8" t="s">
        <v>644</v>
      </c>
      <c r="C400" s="8" t="s">
        <v>630</v>
      </c>
      <c r="D400" s="8" t="s">
        <v>198</v>
      </c>
      <c r="E400" s="8" t="s">
        <v>33</v>
      </c>
      <c r="F400" s="6" t="s">
        <v>50</v>
      </c>
      <c r="G400" s="6" t="s">
        <v>35</v>
      </c>
      <c r="H400" s="6" t="s">
        <v>73</v>
      </c>
      <c r="I400" s="8">
        <v>170</v>
      </c>
      <c r="J400" s="8" t="s">
        <v>645</v>
      </c>
      <c r="K400" s="8" t="s">
        <v>53</v>
      </c>
      <c r="L400" s="10">
        <v>1</v>
      </c>
      <c r="M400" s="13">
        <v>8500.0</v>
      </c>
      <c r="N400" s="13"/>
      <c r="O400" s="15">
        <f>IF(M400&gt;0, N400/M400, 0)</f>
        <v>0</v>
      </c>
      <c r="P400" s="13">
        <f>M400-N400</f>
        <v>8500</v>
      </c>
      <c r="Q400" s="13">
        <f>L400*M400</f>
        <v>8500</v>
      </c>
      <c r="R400" s="13">
        <f>L400*N400</f>
        <v>0</v>
      </c>
      <c r="S400" s="13">
        <f>L400*P400</f>
        <v>8500</v>
      </c>
      <c r="T400" s="13"/>
      <c r="U400" s="13">
        <f>L400*T400</f>
        <v>0</v>
      </c>
      <c r="V400" s="13">
        <f>S400-U400</f>
        <v>8500</v>
      </c>
      <c r="W400" s="15">
        <f>IF(S400&gt;0, V400/S400, 0)</f>
        <v>1</v>
      </c>
      <c r="X400" s="6" t="s">
        <v>39</v>
      </c>
      <c r="Y400" s="8" t="s">
        <v>40</v>
      </c>
      <c r="Z400" s="8" t="s">
        <v>41</v>
      </c>
      <c r="AA400" s="8" t="s">
        <v>42</v>
      </c>
      <c r="AB400" s="6" t="s">
        <v>42</v>
      </c>
    </row>
    <row r="401" spans="1:28">
      <c r="A401" s="9">
        <v>394</v>
      </c>
      <c r="B401" s="9" t="s">
        <v>646</v>
      </c>
      <c r="C401" s="9" t="s">
        <v>630</v>
      </c>
      <c r="D401" s="9" t="s">
        <v>198</v>
      </c>
      <c r="E401" s="9" t="s">
        <v>33</v>
      </c>
      <c r="F401" s="7" t="s">
        <v>34</v>
      </c>
      <c r="G401" s="7" t="s">
        <v>51</v>
      </c>
      <c r="H401" s="7" t="s">
        <v>51</v>
      </c>
      <c r="I401" s="9">
        <v>176</v>
      </c>
      <c r="J401" s="9" t="s">
        <v>418</v>
      </c>
      <c r="K401" s="9" t="s">
        <v>38</v>
      </c>
      <c r="L401" s="11">
        <v>1</v>
      </c>
      <c r="M401" s="14">
        <v>8500.0</v>
      </c>
      <c r="N401" s="14"/>
      <c r="O401" s="16">
        <f>IF(M401&gt;0, N401/M401, 0)</f>
        <v>0</v>
      </c>
      <c r="P401" s="14">
        <f>M401-N401</f>
        <v>8500</v>
      </c>
      <c r="Q401" s="14">
        <f>L401*M401</f>
        <v>8500</v>
      </c>
      <c r="R401" s="14">
        <f>L401*N401</f>
        <v>0</v>
      </c>
      <c r="S401" s="14">
        <f>L401*P401</f>
        <v>8500</v>
      </c>
      <c r="T401" s="14"/>
      <c r="U401" s="14">
        <f>L401*T401</f>
        <v>0</v>
      </c>
      <c r="V401" s="14">
        <f>S401-U401</f>
        <v>8500</v>
      </c>
      <c r="W401" s="16">
        <f>IF(S401&gt;0, V401/S401, 0)</f>
        <v>1</v>
      </c>
      <c r="X401" s="7" t="s">
        <v>39</v>
      </c>
      <c r="Y401" s="9" t="s">
        <v>40</v>
      </c>
      <c r="Z401" s="9" t="s">
        <v>41</v>
      </c>
      <c r="AA401" s="9" t="s">
        <v>42</v>
      </c>
      <c r="AB401" s="7" t="s">
        <v>42</v>
      </c>
    </row>
    <row r="402" spans="1:28">
      <c r="A402" s="8">
        <v>395</v>
      </c>
      <c r="B402" s="8" t="s">
        <v>647</v>
      </c>
      <c r="C402" s="8" t="s">
        <v>630</v>
      </c>
      <c r="D402" s="8" t="s">
        <v>198</v>
      </c>
      <c r="E402" s="8" t="s">
        <v>33</v>
      </c>
      <c r="F402" s="6" t="s">
        <v>34</v>
      </c>
      <c r="G402" s="6" t="s">
        <v>35</v>
      </c>
      <c r="H402" s="6" t="s">
        <v>73</v>
      </c>
      <c r="I402" s="8">
        <v>170</v>
      </c>
      <c r="J402" s="8" t="s">
        <v>648</v>
      </c>
      <c r="K402" s="8" t="s">
        <v>38</v>
      </c>
      <c r="L402" s="10">
        <v>1</v>
      </c>
      <c r="M402" s="13">
        <v>9000.0</v>
      </c>
      <c r="N402" s="13"/>
      <c r="O402" s="15">
        <f>IF(M402&gt;0, N402/M402, 0)</f>
        <v>0</v>
      </c>
      <c r="P402" s="13">
        <f>M402-N402</f>
        <v>9000</v>
      </c>
      <c r="Q402" s="13">
        <f>L402*M402</f>
        <v>9000</v>
      </c>
      <c r="R402" s="13">
        <f>L402*N402</f>
        <v>0</v>
      </c>
      <c r="S402" s="13">
        <f>L402*P402</f>
        <v>9000</v>
      </c>
      <c r="T402" s="13"/>
      <c r="U402" s="13">
        <f>L402*T402</f>
        <v>0</v>
      </c>
      <c r="V402" s="13">
        <f>S402-U402</f>
        <v>9000</v>
      </c>
      <c r="W402" s="15">
        <f>IF(S402&gt;0, V402/S402, 0)</f>
        <v>1</v>
      </c>
      <c r="X402" s="6" t="s">
        <v>39</v>
      </c>
      <c r="Y402" s="8" t="s">
        <v>40</v>
      </c>
      <c r="Z402" s="8" t="s">
        <v>41</v>
      </c>
      <c r="AA402" s="8" t="s">
        <v>42</v>
      </c>
      <c r="AB402" s="6" t="s">
        <v>42</v>
      </c>
    </row>
    <row r="403" spans="1:28">
      <c r="A403" s="9">
        <v>396</v>
      </c>
      <c r="B403" s="9" t="s">
        <v>649</v>
      </c>
      <c r="C403" s="9" t="s">
        <v>630</v>
      </c>
      <c r="D403" s="9" t="s">
        <v>198</v>
      </c>
      <c r="E403" s="9" t="s">
        <v>33</v>
      </c>
      <c r="F403" s="7" t="s">
        <v>34</v>
      </c>
      <c r="G403" s="7" t="s">
        <v>35</v>
      </c>
      <c r="H403" s="7" t="s">
        <v>36</v>
      </c>
      <c r="I403" s="9">
        <v>170</v>
      </c>
      <c r="J403" s="9" t="s">
        <v>142</v>
      </c>
      <c r="K403" s="9" t="s">
        <v>38</v>
      </c>
      <c r="L403" s="11">
        <v>1</v>
      </c>
      <c r="M403" s="14">
        <v>8000.0</v>
      </c>
      <c r="N403" s="14"/>
      <c r="O403" s="16">
        <f>IF(M403&gt;0, N403/M403, 0)</f>
        <v>0</v>
      </c>
      <c r="P403" s="14">
        <f>M403-N403</f>
        <v>8000</v>
      </c>
      <c r="Q403" s="14">
        <f>L403*M403</f>
        <v>8000</v>
      </c>
      <c r="R403" s="14">
        <f>L403*N403</f>
        <v>0</v>
      </c>
      <c r="S403" s="14">
        <f>L403*P403</f>
        <v>8000</v>
      </c>
      <c r="T403" s="14"/>
      <c r="U403" s="14">
        <f>L403*T403</f>
        <v>0</v>
      </c>
      <c r="V403" s="14">
        <f>S403-U403</f>
        <v>8000</v>
      </c>
      <c r="W403" s="16">
        <f>IF(S403&gt;0, V403/S403, 0)</f>
        <v>1</v>
      </c>
      <c r="X403" s="7" t="s">
        <v>39</v>
      </c>
      <c r="Y403" s="9" t="s">
        <v>40</v>
      </c>
      <c r="Z403" s="9" t="s">
        <v>41</v>
      </c>
      <c r="AA403" s="9" t="s">
        <v>42</v>
      </c>
      <c r="AB403" s="7" t="s">
        <v>42</v>
      </c>
    </row>
    <row r="404" spans="1:28">
      <c r="A404" s="8">
        <v>397</v>
      </c>
      <c r="B404" s="8" t="s">
        <v>650</v>
      </c>
      <c r="C404" s="8" t="s">
        <v>651</v>
      </c>
      <c r="D404" s="8" t="s">
        <v>652</v>
      </c>
      <c r="E404" s="8" t="s">
        <v>33</v>
      </c>
      <c r="F404" s="6" t="s">
        <v>50</v>
      </c>
      <c r="G404" s="6" t="s">
        <v>45</v>
      </c>
      <c r="H404" s="6" t="s">
        <v>46</v>
      </c>
      <c r="I404" s="8">
        <v>146</v>
      </c>
      <c r="J404" s="8" t="s">
        <v>140</v>
      </c>
      <c r="K404" s="8" t="s">
        <v>38</v>
      </c>
      <c r="L404" s="10">
        <v>1</v>
      </c>
      <c r="M404" s="13">
        <v>18000.0</v>
      </c>
      <c r="N404" s="13"/>
      <c r="O404" s="15">
        <f>IF(M404&gt;0, N404/M404, 0)</f>
        <v>0</v>
      </c>
      <c r="P404" s="13">
        <f>M404-N404</f>
        <v>18000</v>
      </c>
      <c r="Q404" s="13">
        <f>L404*M404</f>
        <v>18000</v>
      </c>
      <c r="R404" s="13">
        <f>L404*N404</f>
        <v>0</v>
      </c>
      <c r="S404" s="13">
        <f>L404*P404</f>
        <v>18000</v>
      </c>
      <c r="T404" s="13"/>
      <c r="U404" s="13">
        <f>L404*T404</f>
        <v>0</v>
      </c>
      <c r="V404" s="13">
        <f>S404-U404</f>
        <v>18000</v>
      </c>
      <c r="W404" s="15">
        <f>IF(S404&gt;0, V404/S404, 0)</f>
        <v>1</v>
      </c>
      <c r="X404" s="6" t="s">
        <v>39</v>
      </c>
      <c r="Y404" s="8" t="s">
        <v>40</v>
      </c>
      <c r="Z404" s="8" t="s">
        <v>41</v>
      </c>
      <c r="AA404" s="8" t="s">
        <v>42</v>
      </c>
      <c r="AB404" s="6" t="s">
        <v>42</v>
      </c>
    </row>
    <row r="405" spans="1:28">
      <c r="A405" s="9">
        <v>398</v>
      </c>
      <c r="B405" s="9" t="s">
        <v>653</v>
      </c>
      <c r="C405" s="9" t="s">
        <v>651</v>
      </c>
      <c r="D405" s="9" t="s">
        <v>652</v>
      </c>
      <c r="E405" s="9" t="s">
        <v>33</v>
      </c>
      <c r="F405" s="7" t="s">
        <v>50</v>
      </c>
      <c r="G405" s="7" t="s">
        <v>69</v>
      </c>
      <c r="H405" s="7" t="s">
        <v>69</v>
      </c>
      <c r="I405" s="9">
        <v>146</v>
      </c>
      <c r="J405" s="9" t="s">
        <v>382</v>
      </c>
      <c r="K405" s="9" t="s">
        <v>38</v>
      </c>
      <c r="L405" s="11">
        <v>1</v>
      </c>
      <c r="M405" s="14">
        <v>16000.0</v>
      </c>
      <c r="N405" s="14"/>
      <c r="O405" s="16">
        <f>IF(M405&gt;0, N405/M405, 0)</f>
        <v>0</v>
      </c>
      <c r="P405" s="14">
        <f>M405-N405</f>
        <v>16000</v>
      </c>
      <c r="Q405" s="14">
        <f>L405*M405</f>
        <v>16000</v>
      </c>
      <c r="R405" s="14">
        <f>L405*N405</f>
        <v>0</v>
      </c>
      <c r="S405" s="14">
        <f>L405*P405</f>
        <v>16000</v>
      </c>
      <c r="T405" s="14"/>
      <c r="U405" s="14">
        <f>L405*T405</f>
        <v>0</v>
      </c>
      <c r="V405" s="14">
        <f>S405-U405</f>
        <v>16000</v>
      </c>
      <c r="W405" s="16">
        <f>IF(S405&gt;0, V405/S405, 0)</f>
        <v>1</v>
      </c>
      <c r="X405" s="7" t="s">
        <v>39</v>
      </c>
      <c r="Y405" s="9" t="s">
        <v>40</v>
      </c>
      <c r="Z405" s="9" t="s">
        <v>41</v>
      </c>
      <c r="AA405" s="9" t="s">
        <v>42</v>
      </c>
      <c r="AB405" s="7" t="s">
        <v>42</v>
      </c>
    </row>
    <row r="406" spans="1:28">
      <c r="A406" s="8">
        <v>399</v>
      </c>
      <c r="B406" s="8" t="s">
        <v>654</v>
      </c>
      <c r="C406" s="8" t="s">
        <v>651</v>
      </c>
      <c r="D406" s="8" t="s">
        <v>652</v>
      </c>
      <c r="E406" s="8" t="s">
        <v>33</v>
      </c>
      <c r="F406" s="6" t="s">
        <v>34</v>
      </c>
      <c r="G406" s="6" t="s">
        <v>56</v>
      </c>
      <c r="H406" s="6" t="s">
        <v>56</v>
      </c>
      <c r="I406" s="8">
        <v>182</v>
      </c>
      <c r="J406" s="8" t="s">
        <v>655</v>
      </c>
      <c r="K406" s="8" t="s">
        <v>38</v>
      </c>
      <c r="L406" s="10">
        <v>1</v>
      </c>
      <c r="M406" s="13">
        <v>7000.0</v>
      </c>
      <c r="N406" s="13"/>
      <c r="O406" s="15">
        <f>IF(M406&gt;0, N406/M406, 0)</f>
        <v>0</v>
      </c>
      <c r="P406" s="13">
        <f>M406-N406</f>
        <v>7000</v>
      </c>
      <c r="Q406" s="13">
        <f>L406*M406</f>
        <v>7000</v>
      </c>
      <c r="R406" s="13">
        <f>L406*N406</f>
        <v>0</v>
      </c>
      <c r="S406" s="13">
        <f>L406*P406</f>
        <v>7000</v>
      </c>
      <c r="T406" s="13"/>
      <c r="U406" s="13">
        <f>L406*T406</f>
        <v>0</v>
      </c>
      <c r="V406" s="13">
        <f>S406-U406</f>
        <v>7000</v>
      </c>
      <c r="W406" s="15">
        <f>IF(S406&gt;0, V406/S406, 0)</f>
        <v>1</v>
      </c>
      <c r="X406" s="6" t="s">
        <v>39</v>
      </c>
      <c r="Y406" s="8" t="s">
        <v>40</v>
      </c>
      <c r="Z406" s="8" t="s">
        <v>41</v>
      </c>
      <c r="AA406" s="8" t="s">
        <v>42</v>
      </c>
      <c r="AB406" s="6" t="s">
        <v>42</v>
      </c>
    </row>
    <row r="407" spans="1:28">
      <c r="A407" s="9">
        <v>400</v>
      </c>
      <c r="B407" s="9" t="s">
        <v>656</v>
      </c>
      <c r="C407" s="9" t="s">
        <v>651</v>
      </c>
      <c r="D407" s="9" t="s">
        <v>652</v>
      </c>
      <c r="E407" s="9" t="s">
        <v>33</v>
      </c>
      <c r="F407" s="7" t="s">
        <v>34</v>
      </c>
      <c r="G407" s="7" t="s">
        <v>35</v>
      </c>
      <c r="H407" s="7" t="s">
        <v>36</v>
      </c>
      <c r="I407" s="9">
        <v>182</v>
      </c>
      <c r="J407" s="9" t="s">
        <v>335</v>
      </c>
      <c r="K407" s="9" t="s">
        <v>38</v>
      </c>
      <c r="L407" s="11">
        <v>1</v>
      </c>
      <c r="M407" s="14">
        <v>7000.0</v>
      </c>
      <c r="N407" s="14"/>
      <c r="O407" s="16">
        <f>IF(M407&gt;0, N407/M407, 0)</f>
        <v>0</v>
      </c>
      <c r="P407" s="14">
        <f>M407-N407</f>
        <v>7000</v>
      </c>
      <c r="Q407" s="14">
        <f>L407*M407</f>
        <v>7000</v>
      </c>
      <c r="R407" s="14">
        <f>L407*N407</f>
        <v>0</v>
      </c>
      <c r="S407" s="14">
        <f>L407*P407</f>
        <v>7000</v>
      </c>
      <c r="T407" s="14"/>
      <c r="U407" s="14">
        <f>L407*T407</f>
        <v>0</v>
      </c>
      <c r="V407" s="14">
        <f>S407-U407</f>
        <v>7000</v>
      </c>
      <c r="W407" s="16">
        <f>IF(S407&gt;0, V407/S407, 0)</f>
        <v>1</v>
      </c>
      <c r="X407" s="7" t="s">
        <v>39</v>
      </c>
      <c r="Y407" s="9" t="s">
        <v>40</v>
      </c>
      <c r="Z407" s="9" t="s">
        <v>41</v>
      </c>
      <c r="AA407" s="9" t="s">
        <v>42</v>
      </c>
      <c r="AB407" s="7" t="s">
        <v>42</v>
      </c>
    </row>
    <row r="408" spans="1:28">
      <c r="A408" s="8">
        <v>401</v>
      </c>
      <c r="B408" s="8" t="s">
        <v>657</v>
      </c>
      <c r="C408" s="8" t="s">
        <v>651</v>
      </c>
      <c r="D408" s="8" t="s">
        <v>652</v>
      </c>
      <c r="E408" s="8" t="s">
        <v>68</v>
      </c>
      <c r="F408" s="6" t="s">
        <v>34</v>
      </c>
      <c r="G408" s="6" t="s">
        <v>35</v>
      </c>
      <c r="H408" s="6" t="s">
        <v>36</v>
      </c>
      <c r="I408" s="8">
        <v>158</v>
      </c>
      <c r="J408" s="8" t="s">
        <v>37</v>
      </c>
      <c r="K408" s="8" t="s">
        <v>38</v>
      </c>
      <c r="L408" s="10">
        <v>1</v>
      </c>
      <c r="M408" s="13">
        <v>10000.0</v>
      </c>
      <c r="N408" s="13"/>
      <c r="O408" s="15">
        <f>IF(M408&gt;0, N408/M408, 0)</f>
        <v>0</v>
      </c>
      <c r="P408" s="13">
        <f>M408-N408</f>
        <v>10000</v>
      </c>
      <c r="Q408" s="13">
        <f>L408*M408</f>
        <v>10000</v>
      </c>
      <c r="R408" s="13">
        <f>L408*N408</f>
        <v>0</v>
      </c>
      <c r="S408" s="13">
        <f>L408*P408</f>
        <v>10000</v>
      </c>
      <c r="T408" s="13"/>
      <c r="U408" s="13">
        <f>L408*T408</f>
        <v>0</v>
      </c>
      <c r="V408" s="13">
        <f>S408-U408</f>
        <v>10000</v>
      </c>
      <c r="W408" s="15">
        <f>IF(S408&gt;0, V408/S408, 0)</f>
        <v>1</v>
      </c>
      <c r="X408" s="6" t="s">
        <v>39</v>
      </c>
      <c r="Y408" s="8" t="s">
        <v>40</v>
      </c>
      <c r="Z408" s="8" t="s">
        <v>71</v>
      </c>
      <c r="AA408" s="8" t="s">
        <v>42</v>
      </c>
      <c r="AB408" s="6" t="s">
        <v>42</v>
      </c>
    </row>
    <row r="409" spans="1:28">
      <c r="A409" s="9">
        <v>402</v>
      </c>
      <c r="B409" s="9" t="s">
        <v>658</v>
      </c>
      <c r="C409" s="9" t="s">
        <v>651</v>
      </c>
      <c r="D409" s="9" t="s">
        <v>652</v>
      </c>
      <c r="E409" s="9" t="s">
        <v>33</v>
      </c>
      <c r="F409" s="7" t="s">
        <v>34</v>
      </c>
      <c r="G409" s="7" t="s">
        <v>35</v>
      </c>
      <c r="H409" s="7" t="s">
        <v>73</v>
      </c>
      <c r="I409" s="9">
        <v>176</v>
      </c>
      <c r="J409" s="9" t="s">
        <v>420</v>
      </c>
      <c r="K409" s="9" t="s">
        <v>38</v>
      </c>
      <c r="L409" s="11">
        <v>3</v>
      </c>
      <c r="M409" s="14">
        <v>9000.0</v>
      </c>
      <c r="N409" s="14"/>
      <c r="O409" s="16">
        <f>IF(M409&gt;0, N409/M409, 0)</f>
        <v>0</v>
      </c>
      <c r="P409" s="14">
        <f>M409-N409</f>
        <v>9000</v>
      </c>
      <c r="Q409" s="14">
        <f>L409*M409</f>
        <v>27000</v>
      </c>
      <c r="R409" s="14">
        <f>L409*N409</f>
        <v>0</v>
      </c>
      <c r="S409" s="14">
        <f>L409*P409</f>
        <v>27000</v>
      </c>
      <c r="T409" s="14"/>
      <c r="U409" s="14">
        <f>L409*T409</f>
        <v>0</v>
      </c>
      <c r="V409" s="14">
        <f>S409-U409</f>
        <v>27000</v>
      </c>
      <c r="W409" s="16">
        <f>IF(S409&gt;0, V409/S409, 0)</f>
        <v>1</v>
      </c>
      <c r="X409" s="7" t="s">
        <v>39</v>
      </c>
      <c r="Y409" s="9" t="s">
        <v>40</v>
      </c>
      <c r="Z409" s="9" t="s">
        <v>41</v>
      </c>
      <c r="AA409" s="9" t="s">
        <v>42</v>
      </c>
      <c r="AB409" s="7" t="s">
        <v>42</v>
      </c>
    </row>
    <row r="410" spans="1:28">
      <c r="A410" s="8">
        <v>403</v>
      </c>
      <c r="B410" s="8" t="s">
        <v>659</v>
      </c>
      <c r="C410" s="8" t="s">
        <v>660</v>
      </c>
      <c r="D410" s="8" t="s">
        <v>652</v>
      </c>
      <c r="E410" s="8" t="s">
        <v>33</v>
      </c>
      <c r="F410" s="6" t="s">
        <v>34</v>
      </c>
      <c r="G410" s="6" t="s">
        <v>63</v>
      </c>
      <c r="H410" s="6" t="s">
        <v>148</v>
      </c>
      <c r="I410" s="8">
        <v>176</v>
      </c>
      <c r="J410" s="8" t="s">
        <v>233</v>
      </c>
      <c r="K410" s="8" t="s">
        <v>38</v>
      </c>
      <c r="L410" s="10">
        <v>1</v>
      </c>
      <c r="M410" s="13">
        <v>9500.0</v>
      </c>
      <c r="N410" s="13"/>
      <c r="O410" s="15">
        <f>IF(M410&gt;0, N410/M410, 0)</f>
        <v>0</v>
      </c>
      <c r="P410" s="13">
        <f>M410-N410</f>
        <v>9500</v>
      </c>
      <c r="Q410" s="13">
        <f>L410*M410</f>
        <v>9500</v>
      </c>
      <c r="R410" s="13">
        <f>L410*N410</f>
        <v>0</v>
      </c>
      <c r="S410" s="13">
        <f>L410*P410</f>
        <v>9500</v>
      </c>
      <c r="T410" s="13"/>
      <c r="U410" s="13">
        <f>L410*T410</f>
        <v>0</v>
      </c>
      <c r="V410" s="13">
        <f>S410-U410</f>
        <v>9500</v>
      </c>
      <c r="W410" s="15">
        <f>IF(S410&gt;0, V410/S410, 0)</f>
        <v>1</v>
      </c>
      <c r="X410" s="6" t="s">
        <v>39</v>
      </c>
      <c r="Y410" s="8" t="s">
        <v>40</v>
      </c>
      <c r="Z410" s="8" t="s">
        <v>41</v>
      </c>
      <c r="AA410" s="8" t="s">
        <v>42</v>
      </c>
      <c r="AB410" s="6" t="s">
        <v>42</v>
      </c>
    </row>
    <row r="411" spans="1:28">
      <c r="A411" s="9">
        <v>404</v>
      </c>
      <c r="B411" s="9" t="s">
        <v>661</v>
      </c>
      <c r="C411" s="9" t="s">
        <v>660</v>
      </c>
      <c r="D411" s="9" t="s">
        <v>652</v>
      </c>
      <c r="E411" s="9" t="s">
        <v>33</v>
      </c>
      <c r="F411" s="7" t="s">
        <v>34</v>
      </c>
      <c r="G411" s="7" t="s">
        <v>35</v>
      </c>
      <c r="H411" s="7" t="s">
        <v>73</v>
      </c>
      <c r="I411" s="9">
        <v>182</v>
      </c>
      <c r="J411" s="9" t="s">
        <v>354</v>
      </c>
      <c r="K411" s="9" t="s">
        <v>38</v>
      </c>
      <c r="L411" s="11">
        <v>1</v>
      </c>
      <c r="M411" s="14">
        <v>9000.0</v>
      </c>
      <c r="N411" s="14"/>
      <c r="O411" s="16">
        <f>IF(M411&gt;0, N411/M411, 0)</f>
        <v>0</v>
      </c>
      <c r="P411" s="14">
        <f>M411-N411</f>
        <v>9000</v>
      </c>
      <c r="Q411" s="14">
        <f>L411*M411</f>
        <v>9000</v>
      </c>
      <c r="R411" s="14">
        <f>L411*N411</f>
        <v>0</v>
      </c>
      <c r="S411" s="14">
        <f>L411*P411</f>
        <v>9000</v>
      </c>
      <c r="T411" s="14"/>
      <c r="U411" s="14">
        <f>L411*T411</f>
        <v>0</v>
      </c>
      <c r="V411" s="14">
        <f>S411-U411</f>
        <v>9000</v>
      </c>
      <c r="W411" s="16">
        <f>IF(S411&gt;0, V411/S411, 0)</f>
        <v>1</v>
      </c>
      <c r="X411" s="7" t="s">
        <v>39</v>
      </c>
      <c r="Y411" s="9" t="s">
        <v>40</v>
      </c>
      <c r="Z411" s="9" t="s">
        <v>41</v>
      </c>
      <c r="AA411" s="9" t="s">
        <v>42</v>
      </c>
      <c r="AB411" s="7" t="s">
        <v>42</v>
      </c>
    </row>
    <row r="412" spans="1:28">
      <c r="A412" s="8">
        <v>405</v>
      </c>
      <c r="B412" s="8" t="s">
        <v>662</v>
      </c>
      <c r="C412" s="8" t="s">
        <v>660</v>
      </c>
      <c r="D412" s="8" t="s">
        <v>652</v>
      </c>
      <c r="E412" s="8" t="s">
        <v>33</v>
      </c>
      <c r="F412" s="6" t="s">
        <v>34</v>
      </c>
      <c r="G412" s="6" t="s">
        <v>35</v>
      </c>
      <c r="H412" s="6" t="s">
        <v>36</v>
      </c>
      <c r="I412" s="8">
        <v>176</v>
      </c>
      <c r="J412" s="8" t="s">
        <v>352</v>
      </c>
      <c r="K412" s="8" t="s">
        <v>38</v>
      </c>
      <c r="L412" s="10">
        <v>1</v>
      </c>
      <c r="M412" s="13">
        <v>7500.0</v>
      </c>
      <c r="N412" s="13"/>
      <c r="O412" s="15">
        <f>IF(M412&gt;0, N412/M412, 0)</f>
        <v>0</v>
      </c>
      <c r="P412" s="13">
        <f>M412-N412</f>
        <v>7500</v>
      </c>
      <c r="Q412" s="13">
        <f>L412*M412</f>
        <v>7500</v>
      </c>
      <c r="R412" s="13">
        <f>L412*N412</f>
        <v>0</v>
      </c>
      <c r="S412" s="13">
        <f>L412*P412</f>
        <v>7500</v>
      </c>
      <c r="T412" s="13"/>
      <c r="U412" s="13">
        <f>L412*T412</f>
        <v>0</v>
      </c>
      <c r="V412" s="13">
        <f>S412-U412</f>
        <v>7500</v>
      </c>
      <c r="W412" s="15">
        <f>IF(S412&gt;0, V412/S412, 0)</f>
        <v>1</v>
      </c>
      <c r="X412" s="6" t="s">
        <v>39</v>
      </c>
      <c r="Y412" s="8" t="s">
        <v>40</v>
      </c>
      <c r="Z412" s="8" t="s">
        <v>41</v>
      </c>
      <c r="AA412" s="8" t="s">
        <v>42</v>
      </c>
      <c r="AB412" s="6" t="s">
        <v>42</v>
      </c>
    </row>
    <row r="413" spans="1:28">
      <c r="A413" s="9">
        <v>406</v>
      </c>
      <c r="B413" s="9" t="s">
        <v>663</v>
      </c>
      <c r="C413" s="9" t="s">
        <v>660</v>
      </c>
      <c r="D413" s="9" t="s">
        <v>652</v>
      </c>
      <c r="E413" s="9" t="s">
        <v>33</v>
      </c>
      <c r="F413" s="7" t="s">
        <v>34</v>
      </c>
      <c r="G413" s="7" t="s">
        <v>69</v>
      </c>
      <c r="H413" s="7" t="s">
        <v>69</v>
      </c>
      <c r="I413" s="9">
        <v>182</v>
      </c>
      <c r="J413" s="9" t="s">
        <v>422</v>
      </c>
      <c r="K413" s="9" t="s">
        <v>38</v>
      </c>
      <c r="L413" s="11">
        <v>1</v>
      </c>
      <c r="M413" s="14">
        <v>16500.0</v>
      </c>
      <c r="N413" s="14"/>
      <c r="O413" s="16">
        <f>IF(M413&gt;0, N413/M413, 0)</f>
        <v>0</v>
      </c>
      <c r="P413" s="14">
        <f>M413-N413</f>
        <v>16500</v>
      </c>
      <c r="Q413" s="14">
        <f>L413*M413</f>
        <v>16500</v>
      </c>
      <c r="R413" s="14">
        <f>L413*N413</f>
        <v>0</v>
      </c>
      <c r="S413" s="14">
        <f>L413*P413</f>
        <v>16500</v>
      </c>
      <c r="T413" s="14"/>
      <c r="U413" s="14">
        <f>L413*T413</f>
        <v>0</v>
      </c>
      <c r="V413" s="14">
        <f>S413-U413</f>
        <v>16500</v>
      </c>
      <c r="W413" s="16">
        <f>IF(S413&gt;0, V413/S413, 0)</f>
        <v>1</v>
      </c>
      <c r="X413" s="7" t="s">
        <v>39</v>
      </c>
      <c r="Y413" s="9" t="s">
        <v>40</v>
      </c>
      <c r="Z413" s="9" t="s">
        <v>41</v>
      </c>
      <c r="AA413" s="9" t="s">
        <v>42</v>
      </c>
      <c r="AB413" s="7" t="s">
        <v>42</v>
      </c>
    </row>
    <row r="414" spans="1:28">
      <c r="A414" s="8">
        <v>407</v>
      </c>
      <c r="B414" s="8" t="s">
        <v>664</v>
      </c>
      <c r="C414" s="8" t="s">
        <v>660</v>
      </c>
      <c r="D414" s="8" t="s">
        <v>652</v>
      </c>
      <c r="E414" s="8" t="s">
        <v>33</v>
      </c>
      <c r="F414" s="6" t="s">
        <v>34</v>
      </c>
      <c r="G414" s="6" t="s">
        <v>56</v>
      </c>
      <c r="H414" s="6" t="s">
        <v>56</v>
      </c>
      <c r="I414" s="8">
        <v>176</v>
      </c>
      <c r="J414" s="8" t="s">
        <v>665</v>
      </c>
      <c r="K414" s="8" t="s">
        <v>38</v>
      </c>
      <c r="L414" s="10">
        <v>1</v>
      </c>
      <c r="M414" s="13">
        <v>7500.0</v>
      </c>
      <c r="N414" s="13"/>
      <c r="O414" s="15">
        <f>IF(M414&gt;0, N414/M414, 0)</f>
        <v>0</v>
      </c>
      <c r="P414" s="13">
        <f>M414-N414</f>
        <v>7500</v>
      </c>
      <c r="Q414" s="13">
        <f>L414*M414</f>
        <v>7500</v>
      </c>
      <c r="R414" s="13">
        <f>L414*N414</f>
        <v>0</v>
      </c>
      <c r="S414" s="13">
        <f>L414*P414</f>
        <v>7500</v>
      </c>
      <c r="T414" s="13"/>
      <c r="U414" s="13">
        <f>L414*T414</f>
        <v>0</v>
      </c>
      <c r="V414" s="13">
        <f>S414-U414</f>
        <v>7500</v>
      </c>
      <c r="W414" s="15">
        <f>IF(S414&gt;0, V414/S414, 0)</f>
        <v>1</v>
      </c>
      <c r="X414" s="6" t="s">
        <v>39</v>
      </c>
      <c r="Y414" s="8" t="s">
        <v>40</v>
      </c>
      <c r="Z414" s="8" t="s">
        <v>41</v>
      </c>
      <c r="AA414" s="8" t="s">
        <v>42</v>
      </c>
      <c r="AB414" s="6" t="s">
        <v>42</v>
      </c>
    </row>
    <row r="415" spans="1:28">
      <c r="A415" s="9">
        <v>408</v>
      </c>
      <c r="B415" s="9" t="s">
        <v>666</v>
      </c>
      <c r="C415" s="9" t="s">
        <v>660</v>
      </c>
      <c r="D415" s="9" t="s">
        <v>652</v>
      </c>
      <c r="E415" s="9" t="s">
        <v>33</v>
      </c>
      <c r="F415" s="7" t="s">
        <v>50</v>
      </c>
      <c r="G415" s="7" t="s">
        <v>51</v>
      </c>
      <c r="H415" s="7" t="s">
        <v>51</v>
      </c>
      <c r="I415" s="9">
        <v>182</v>
      </c>
      <c r="J415" s="9" t="s">
        <v>667</v>
      </c>
      <c r="K415" s="9" t="s">
        <v>53</v>
      </c>
      <c r="L415" s="11">
        <v>1</v>
      </c>
      <c r="M415" s="14">
        <v>8500.0</v>
      </c>
      <c r="N415" s="14"/>
      <c r="O415" s="16">
        <f>IF(M415&gt;0, N415/M415, 0)</f>
        <v>0</v>
      </c>
      <c r="P415" s="14">
        <f>M415-N415</f>
        <v>8500</v>
      </c>
      <c r="Q415" s="14">
        <f>L415*M415</f>
        <v>8500</v>
      </c>
      <c r="R415" s="14">
        <f>L415*N415</f>
        <v>0</v>
      </c>
      <c r="S415" s="14">
        <f>L415*P415</f>
        <v>8500</v>
      </c>
      <c r="T415" s="14"/>
      <c r="U415" s="14">
        <f>L415*T415</f>
        <v>0</v>
      </c>
      <c r="V415" s="14">
        <f>S415-U415</f>
        <v>8500</v>
      </c>
      <c r="W415" s="16">
        <f>IF(S415&gt;0, V415/S415, 0)</f>
        <v>1</v>
      </c>
      <c r="X415" s="7" t="s">
        <v>39</v>
      </c>
      <c r="Y415" s="9" t="s">
        <v>40</v>
      </c>
      <c r="Z415" s="9" t="s">
        <v>41</v>
      </c>
      <c r="AA415" s="9" t="s">
        <v>42</v>
      </c>
      <c r="AB415" s="7" t="s">
        <v>42</v>
      </c>
    </row>
    <row r="416" spans="1:28">
      <c r="A416" s="8">
        <v>409</v>
      </c>
      <c r="B416" s="8" t="s">
        <v>668</v>
      </c>
      <c r="C416" s="8" t="s">
        <v>660</v>
      </c>
      <c r="D416" s="8" t="s">
        <v>652</v>
      </c>
      <c r="E416" s="8" t="s">
        <v>33</v>
      </c>
      <c r="F416" s="6" t="s">
        <v>50</v>
      </c>
      <c r="G416" s="6" t="s">
        <v>56</v>
      </c>
      <c r="H416" s="6" t="s">
        <v>56</v>
      </c>
      <c r="I416" s="8">
        <v>152</v>
      </c>
      <c r="J416" s="8" t="s">
        <v>311</v>
      </c>
      <c r="K416" s="8" t="s">
        <v>38</v>
      </c>
      <c r="L416" s="10">
        <v>1</v>
      </c>
      <c r="M416" s="13">
        <v>7000.0</v>
      </c>
      <c r="N416" s="13"/>
      <c r="O416" s="15">
        <f>IF(M416&gt;0, N416/M416, 0)</f>
        <v>0</v>
      </c>
      <c r="P416" s="13">
        <f>M416-N416</f>
        <v>7000</v>
      </c>
      <c r="Q416" s="13">
        <f>L416*M416</f>
        <v>7000</v>
      </c>
      <c r="R416" s="13">
        <f>L416*N416</f>
        <v>0</v>
      </c>
      <c r="S416" s="13">
        <f>L416*P416</f>
        <v>7000</v>
      </c>
      <c r="T416" s="13"/>
      <c r="U416" s="13">
        <f>L416*T416</f>
        <v>0</v>
      </c>
      <c r="V416" s="13">
        <f>S416-U416</f>
        <v>7000</v>
      </c>
      <c r="W416" s="15">
        <f>IF(S416&gt;0, V416/S416, 0)</f>
        <v>1</v>
      </c>
      <c r="X416" s="6" t="s">
        <v>39</v>
      </c>
      <c r="Y416" s="8" t="s">
        <v>40</v>
      </c>
      <c r="Z416" s="8" t="s">
        <v>41</v>
      </c>
      <c r="AA416" s="8" t="s">
        <v>42</v>
      </c>
      <c r="AB416" s="6" t="s">
        <v>42</v>
      </c>
    </row>
    <row r="417" spans="1:28">
      <c r="A417" s="9">
        <v>410</v>
      </c>
      <c r="B417" s="9" t="s">
        <v>669</v>
      </c>
      <c r="C417" s="9" t="s">
        <v>660</v>
      </c>
      <c r="D417" s="9" t="s">
        <v>652</v>
      </c>
      <c r="E417" s="9" t="s">
        <v>33</v>
      </c>
      <c r="F417" s="7" t="s">
        <v>50</v>
      </c>
      <c r="G417" s="7" t="s">
        <v>35</v>
      </c>
      <c r="H417" s="7" t="s">
        <v>73</v>
      </c>
      <c r="I417" s="9">
        <v>152</v>
      </c>
      <c r="J417" s="9" t="s">
        <v>605</v>
      </c>
      <c r="K417" s="9" t="s">
        <v>53</v>
      </c>
      <c r="L417" s="11">
        <v>1</v>
      </c>
      <c r="M417" s="14">
        <v>8000.0</v>
      </c>
      <c r="N417" s="14"/>
      <c r="O417" s="16">
        <f>IF(M417&gt;0, N417/M417, 0)</f>
        <v>0</v>
      </c>
      <c r="P417" s="14">
        <f>M417-N417</f>
        <v>8000</v>
      </c>
      <c r="Q417" s="14">
        <f>L417*M417</f>
        <v>8000</v>
      </c>
      <c r="R417" s="14">
        <f>L417*N417</f>
        <v>0</v>
      </c>
      <c r="S417" s="14">
        <f>L417*P417</f>
        <v>8000</v>
      </c>
      <c r="T417" s="14"/>
      <c r="U417" s="14">
        <f>L417*T417</f>
        <v>0</v>
      </c>
      <c r="V417" s="14">
        <f>S417-U417</f>
        <v>8000</v>
      </c>
      <c r="W417" s="16">
        <f>IF(S417&gt;0, V417/S417, 0)</f>
        <v>1</v>
      </c>
      <c r="X417" s="7" t="s">
        <v>39</v>
      </c>
      <c r="Y417" s="9" t="s">
        <v>40</v>
      </c>
      <c r="Z417" s="9" t="s">
        <v>41</v>
      </c>
      <c r="AA417" s="9" t="s">
        <v>42</v>
      </c>
      <c r="AB417" s="7" t="s">
        <v>42</v>
      </c>
    </row>
    <row r="418" spans="1:28">
      <c r="A418" s="8">
        <v>411</v>
      </c>
      <c r="B418" s="8" t="s">
        <v>670</v>
      </c>
      <c r="C418" s="8" t="s">
        <v>660</v>
      </c>
      <c r="D418" s="8" t="s">
        <v>652</v>
      </c>
      <c r="E418" s="8" t="s">
        <v>33</v>
      </c>
      <c r="F418" s="6" t="s">
        <v>50</v>
      </c>
      <c r="G418" s="6" t="s">
        <v>51</v>
      </c>
      <c r="H418" s="6" t="s">
        <v>51</v>
      </c>
      <c r="I418" s="8">
        <v>158</v>
      </c>
      <c r="J418" s="8" t="s">
        <v>125</v>
      </c>
      <c r="K418" s="8" t="s">
        <v>53</v>
      </c>
      <c r="L418" s="10">
        <v>1</v>
      </c>
      <c r="M418" s="13">
        <v>8000.0</v>
      </c>
      <c r="N418" s="13"/>
      <c r="O418" s="15">
        <f>IF(M418&gt;0, N418/M418, 0)</f>
        <v>0</v>
      </c>
      <c r="P418" s="13">
        <f>M418-N418</f>
        <v>8000</v>
      </c>
      <c r="Q418" s="13">
        <f>L418*M418</f>
        <v>8000</v>
      </c>
      <c r="R418" s="13">
        <f>L418*N418</f>
        <v>0</v>
      </c>
      <c r="S418" s="13">
        <f>L418*P418</f>
        <v>8000</v>
      </c>
      <c r="T418" s="13"/>
      <c r="U418" s="13">
        <f>L418*T418</f>
        <v>0</v>
      </c>
      <c r="V418" s="13">
        <f>S418-U418</f>
        <v>8000</v>
      </c>
      <c r="W418" s="15">
        <f>IF(S418&gt;0, V418/S418, 0)</f>
        <v>1</v>
      </c>
      <c r="X418" s="6" t="s">
        <v>39</v>
      </c>
      <c r="Y418" s="8" t="s">
        <v>40</v>
      </c>
      <c r="Z418" s="8" t="s">
        <v>41</v>
      </c>
      <c r="AA418" s="8" t="s">
        <v>42</v>
      </c>
      <c r="AB418" s="6" t="s">
        <v>42</v>
      </c>
    </row>
    <row r="419" spans="1:28">
      <c r="A419" s="9">
        <v>412</v>
      </c>
      <c r="B419" s="9" t="s">
        <v>671</v>
      </c>
      <c r="C419" s="9" t="s">
        <v>660</v>
      </c>
      <c r="D419" s="9" t="s">
        <v>652</v>
      </c>
      <c r="E419" s="9" t="s">
        <v>33</v>
      </c>
      <c r="F419" s="7" t="s">
        <v>50</v>
      </c>
      <c r="G419" s="7" t="s">
        <v>69</v>
      </c>
      <c r="H419" s="7" t="s">
        <v>69</v>
      </c>
      <c r="I419" s="9">
        <v>152</v>
      </c>
      <c r="J419" s="9" t="s">
        <v>350</v>
      </c>
      <c r="K419" s="9" t="s">
        <v>38</v>
      </c>
      <c r="L419" s="11">
        <v>1</v>
      </c>
      <c r="M419" s="14">
        <v>16000.0</v>
      </c>
      <c r="N419" s="14"/>
      <c r="O419" s="16">
        <f>IF(M419&gt;0, N419/M419, 0)</f>
        <v>0</v>
      </c>
      <c r="P419" s="14">
        <f>M419-N419</f>
        <v>16000</v>
      </c>
      <c r="Q419" s="14">
        <f>L419*M419</f>
        <v>16000</v>
      </c>
      <c r="R419" s="14">
        <f>L419*N419</f>
        <v>0</v>
      </c>
      <c r="S419" s="14">
        <f>L419*P419</f>
        <v>16000</v>
      </c>
      <c r="T419" s="14"/>
      <c r="U419" s="14">
        <f>L419*T419</f>
        <v>0</v>
      </c>
      <c r="V419" s="14">
        <f>S419-U419</f>
        <v>16000</v>
      </c>
      <c r="W419" s="16">
        <f>IF(S419&gt;0, V419/S419, 0)</f>
        <v>1</v>
      </c>
      <c r="X419" s="7" t="s">
        <v>39</v>
      </c>
      <c r="Y419" s="9" t="s">
        <v>40</v>
      </c>
      <c r="Z419" s="9" t="s">
        <v>41</v>
      </c>
      <c r="AA419" s="9" t="s">
        <v>42</v>
      </c>
      <c r="AB419" s="7" t="s">
        <v>42</v>
      </c>
    </row>
    <row r="420" spans="1:28">
      <c r="A420" s="8">
        <v>413</v>
      </c>
      <c r="B420" s="8" t="s">
        <v>672</v>
      </c>
      <c r="C420" s="8" t="s">
        <v>660</v>
      </c>
      <c r="D420" s="8" t="s">
        <v>652</v>
      </c>
      <c r="E420" s="8" t="s">
        <v>33</v>
      </c>
      <c r="F420" s="6" t="s">
        <v>50</v>
      </c>
      <c r="G420" s="6" t="s">
        <v>35</v>
      </c>
      <c r="H420" s="6" t="s">
        <v>36</v>
      </c>
      <c r="I420" s="8">
        <v>158</v>
      </c>
      <c r="J420" s="8" t="s">
        <v>130</v>
      </c>
      <c r="K420" s="8" t="s">
        <v>53</v>
      </c>
      <c r="L420" s="10">
        <v>1</v>
      </c>
      <c r="M420" s="13">
        <v>7000.0</v>
      </c>
      <c r="N420" s="13"/>
      <c r="O420" s="15">
        <f>IF(M420&gt;0, N420/M420, 0)</f>
        <v>0</v>
      </c>
      <c r="P420" s="13">
        <f>M420-N420</f>
        <v>7000</v>
      </c>
      <c r="Q420" s="13">
        <f>L420*M420</f>
        <v>7000</v>
      </c>
      <c r="R420" s="13">
        <f>L420*N420</f>
        <v>0</v>
      </c>
      <c r="S420" s="13">
        <f>L420*P420</f>
        <v>7000</v>
      </c>
      <c r="T420" s="13"/>
      <c r="U420" s="13">
        <f>L420*T420</f>
        <v>0</v>
      </c>
      <c r="V420" s="13">
        <f>S420-U420</f>
        <v>7000</v>
      </c>
      <c r="W420" s="15">
        <f>IF(S420&gt;0, V420/S420, 0)</f>
        <v>1</v>
      </c>
      <c r="X420" s="6" t="s">
        <v>39</v>
      </c>
      <c r="Y420" s="8" t="s">
        <v>40</v>
      </c>
      <c r="Z420" s="8" t="s">
        <v>41</v>
      </c>
      <c r="AA420" s="8" t="s">
        <v>42</v>
      </c>
      <c r="AB420" s="6" t="s">
        <v>42</v>
      </c>
    </row>
    <row r="421" spans="1:28">
      <c r="A421" s="9">
        <v>414</v>
      </c>
      <c r="B421" s="9" t="s">
        <v>673</v>
      </c>
      <c r="C421" s="9" t="s">
        <v>660</v>
      </c>
      <c r="D421" s="9" t="s">
        <v>652</v>
      </c>
      <c r="E421" s="9" t="s">
        <v>33</v>
      </c>
      <c r="F421" s="7" t="s">
        <v>50</v>
      </c>
      <c r="G421" s="7" t="s">
        <v>69</v>
      </c>
      <c r="H421" s="7" t="s">
        <v>69</v>
      </c>
      <c r="I421" s="9">
        <v>140</v>
      </c>
      <c r="J421" s="9" t="s">
        <v>225</v>
      </c>
      <c r="K421" s="9" t="s">
        <v>38</v>
      </c>
      <c r="L421" s="11">
        <v>1</v>
      </c>
      <c r="M421" s="14">
        <v>16000.0</v>
      </c>
      <c r="N421" s="14"/>
      <c r="O421" s="16">
        <f>IF(M421&gt;0, N421/M421, 0)</f>
        <v>0</v>
      </c>
      <c r="P421" s="14">
        <f>M421-N421</f>
        <v>16000</v>
      </c>
      <c r="Q421" s="14">
        <f>L421*M421</f>
        <v>16000</v>
      </c>
      <c r="R421" s="14">
        <f>L421*N421</f>
        <v>0</v>
      </c>
      <c r="S421" s="14">
        <f>L421*P421</f>
        <v>16000</v>
      </c>
      <c r="T421" s="14"/>
      <c r="U421" s="14">
        <f>L421*T421</f>
        <v>0</v>
      </c>
      <c r="V421" s="14">
        <f>S421-U421</f>
        <v>16000</v>
      </c>
      <c r="W421" s="16">
        <f>IF(S421&gt;0, V421/S421, 0)</f>
        <v>1</v>
      </c>
      <c r="X421" s="7" t="s">
        <v>39</v>
      </c>
      <c r="Y421" s="9" t="s">
        <v>40</v>
      </c>
      <c r="Z421" s="9" t="s">
        <v>41</v>
      </c>
      <c r="AA421" s="9" t="s">
        <v>42</v>
      </c>
      <c r="AB421" s="7" t="s">
        <v>42</v>
      </c>
    </row>
    <row r="422" spans="1:28">
      <c r="A422" s="8">
        <v>415</v>
      </c>
      <c r="B422" s="8" t="s">
        <v>674</v>
      </c>
      <c r="C422" s="8" t="s">
        <v>660</v>
      </c>
      <c r="D422" s="8" t="s">
        <v>652</v>
      </c>
      <c r="E422" s="8" t="s">
        <v>33</v>
      </c>
      <c r="F422" s="6" t="s">
        <v>50</v>
      </c>
      <c r="G422" s="6" t="s">
        <v>35</v>
      </c>
      <c r="H422" s="6" t="s">
        <v>73</v>
      </c>
      <c r="I422" s="8">
        <v>140</v>
      </c>
      <c r="J422" s="8" t="s">
        <v>570</v>
      </c>
      <c r="K422" s="8" t="s">
        <v>53</v>
      </c>
      <c r="L422" s="10">
        <v>1</v>
      </c>
      <c r="M422" s="13">
        <v>8000.0</v>
      </c>
      <c r="N422" s="13"/>
      <c r="O422" s="15">
        <f>IF(M422&gt;0, N422/M422, 0)</f>
        <v>0</v>
      </c>
      <c r="P422" s="13">
        <f>M422-N422</f>
        <v>8000</v>
      </c>
      <c r="Q422" s="13">
        <f>L422*M422</f>
        <v>8000</v>
      </c>
      <c r="R422" s="13">
        <f>L422*N422</f>
        <v>0</v>
      </c>
      <c r="S422" s="13">
        <f>L422*P422</f>
        <v>8000</v>
      </c>
      <c r="T422" s="13"/>
      <c r="U422" s="13">
        <f>L422*T422</f>
        <v>0</v>
      </c>
      <c r="V422" s="13">
        <f>S422-U422</f>
        <v>8000</v>
      </c>
      <c r="W422" s="15">
        <f>IF(S422&gt;0, V422/S422, 0)</f>
        <v>1</v>
      </c>
      <c r="X422" s="6" t="s">
        <v>39</v>
      </c>
      <c r="Y422" s="8" t="s">
        <v>40</v>
      </c>
      <c r="Z422" s="8" t="s">
        <v>41</v>
      </c>
      <c r="AA422" s="8" t="s">
        <v>42</v>
      </c>
      <c r="AB422" s="6" t="s">
        <v>42</v>
      </c>
    </row>
    <row r="423" spans="1:28">
      <c r="A423" s="9">
        <v>416</v>
      </c>
      <c r="B423" s="9" t="s">
        <v>675</v>
      </c>
      <c r="C423" s="9" t="s">
        <v>660</v>
      </c>
      <c r="D423" s="9" t="s">
        <v>652</v>
      </c>
      <c r="E423" s="9" t="s">
        <v>33</v>
      </c>
      <c r="F423" s="7" t="s">
        <v>50</v>
      </c>
      <c r="G423" s="7" t="s">
        <v>51</v>
      </c>
      <c r="H423" s="7" t="s">
        <v>51</v>
      </c>
      <c r="I423" s="9">
        <v>146</v>
      </c>
      <c r="J423" s="9" t="s">
        <v>254</v>
      </c>
      <c r="K423" s="9" t="s">
        <v>53</v>
      </c>
      <c r="L423" s="11">
        <v>1</v>
      </c>
      <c r="M423" s="14">
        <v>8000.0</v>
      </c>
      <c r="N423" s="14"/>
      <c r="O423" s="16">
        <f>IF(M423&gt;0, N423/M423, 0)</f>
        <v>0</v>
      </c>
      <c r="P423" s="14">
        <f>M423-N423</f>
        <v>8000</v>
      </c>
      <c r="Q423" s="14">
        <f>L423*M423</f>
        <v>8000</v>
      </c>
      <c r="R423" s="14">
        <f>L423*N423</f>
        <v>0</v>
      </c>
      <c r="S423" s="14">
        <f>L423*P423</f>
        <v>8000</v>
      </c>
      <c r="T423" s="14"/>
      <c r="U423" s="14">
        <f>L423*T423</f>
        <v>0</v>
      </c>
      <c r="V423" s="14">
        <f>S423-U423</f>
        <v>8000</v>
      </c>
      <c r="W423" s="16">
        <f>IF(S423&gt;0, V423/S423, 0)</f>
        <v>1</v>
      </c>
      <c r="X423" s="7" t="s">
        <v>39</v>
      </c>
      <c r="Y423" s="9" t="s">
        <v>40</v>
      </c>
      <c r="Z423" s="9" t="s">
        <v>41</v>
      </c>
      <c r="AA423" s="9" t="s">
        <v>42</v>
      </c>
      <c r="AB423" s="7" t="s">
        <v>42</v>
      </c>
    </row>
    <row r="424" spans="1:28">
      <c r="A424" s="8">
        <v>417</v>
      </c>
      <c r="B424" s="8" t="s">
        <v>676</v>
      </c>
      <c r="C424" s="8" t="s">
        <v>660</v>
      </c>
      <c r="D424" s="8" t="s">
        <v>652</v>
      </c>
      <c r="E424" s="8" t="s">
        <v>33</v>
      </c>
      <c r="F424" s="6" t="s">
        <v>34</v>
      </c>
      <c r="G424" s="6" t="s">
        <v>35</v>
      </c>
      <c r="H424" s="6" t="s">
        <v>36</v>
      </c>
      <c r="I424" s="8">
        <v>146</v>
      </c>
      <c r="J424" s="8" t="s">
        <v>528</v>
      </c>
      <c r="K424" s="8" t="s">
        <v>38</v>
      </c>
      <c r="L424" s="10">
        <v>1</v>
      </c>
      <c r="M424" s="13">
        <v>7000.0</v>
      </c>
      <c r="N424" s="13"/>
      <c r="O424" s="15">
        <f>IF(M424&gt;0, N424/M424, 0)</f>
        <v>0</v>
      </c>
      <c r="P424" s="13">
        <f>M424-N424</f>
        <v>7000</v>
      </c>
      <c r="Q424" s="13">
        <f>L424*M424</f>
        <v>7000</v>
      </c>
      <c r="R424" s="13">
        <f>L424*N424</f>
        <v>0</v>
      </c>
      <c r="S424" s="13">
        <f>L424*P424</f>
        <v>7000</v>
      </c>
      <c r="T424" s="13"/>
      <c r="U424" s="13">
        <f>L424*T424</f>
        <v>0</v>
      </c>
      <c r="V424" s="13">
        <f>S424-U424</f>
        <v>7000</v>
      </c>
      <c r="W424" s="15">
        <f>IF(S424&gt;0, V424/S424, 0)</f>
        <v>1</v>
      </c>
      <c r="X424" s="6" t="s">
        <v>39</v>
      </c>
      <c r="Y424" s="8" t="s">
        <v>40</v>
      </c>
      <c r="Z424" s="8" t="s">
        <v>41</v>
      </c>
      <c r="AA424" s="8" t="s">
        <v>42</v>
      </c>
      <c r="AB424" s="6" t="s">
        <v>42</v>
      </c>
    </row>
    <row r="425" spans="1:28">
      <c r="A425" s="9">
        <v>418</v>
      </c>
      <c r="B425" s="9" t="s">
        <v>677</v>
      </c>
      <c r="C425" s="9" t="s">
        <v>678</v>
      </c>
      <c r="D425" s="9" t="s">
        <v>652</v>
      </c>
      <c r="E425" s="9" t="s">
        <v>33</v>
      </c>
      <c r="F425" s="7" t="s">
        <v>34</v>
      </c>
      <c r="G425" s="7" t="s">
        <v>35</v>
      </c>
      <c r="H425" s="7" t="s">
        <v>73</v>
      </c>
      <c r="I425" s="9">
        <v>146</v>
      </c>
      <c r="J425" s="9" t="s">
        <v>632</v>
      </c>
      <c r="K425" s="9" t="s">
        <v>38</v>
      </c>
      <c r="L425" s="11">
        <v>1</v>
      </c>
      <c r="M425" s="14">
        <v>8000.0</v>
      </c>
      <c r="N425" s="14"/>
      <c r="O425" s="16">
        <f>IF(M425&gt;0, N425/M425, 0)</f>
        <v>0</v>
      </c>
      <c r="P425" s="14">
        <f>M425-N425</f>
        <v>8000</v>
      </c>
      <c r="Q425" s="14">
        <f>L425*M425</f>
        <v>8000</v>
      </c>
      <c r="R425" s="14">
        <f>L425*N425</f>
        <v>0</v>
      </c>
      <c r="S425" s="14">
        <f>L425*P425</f>
        <v>8000</v>
      </c>
      <c r="T425" s="14"/>
      <c r="U425" s="14">
        <f>L425*T425</f>
        <v>0</v>
      </c>
      <c r="V425" s="14">
        <f>S425-U425</f>
        <v>8000</v>
      </c>
      <c r="W425" s="16">
        <f>IF(S425&gt;0, V425/S425, 0)</f>
        <v>1</v>
      </c>
      <c r="X425" s="7" t="s">
        <v>39</v>
      </c>
      <c r="Y425" s="9" t="s">
        <v>40</v>
      </c>
      <c r="Z425" s="9" t="s">
        <v>41</v>
      </c>
      <c r="AA425" s="9" t="s">
        <v>42</v>
      </c>
      <c r="AB425" s="7" t="s">
        <v>42</v>
      </c>
    </row>
    <row r="426" spans="1:28">
      <c r="A426" s="8">
        <v>419</v>
      </c>
      <c r="B426" s="8" t="s">
        <v>679</v>
      </c>
      <c r="C426" s="8" t="s">
        <v>678</v>
      </c>
      <c r="D426" s="8" t="s">
        <v>652</v>
      </c>
      <c r="E426" s="8" t="s">
        <v>33</v>
      </c>
      <c r="F426" s="6" t="s">
        <v>34</v>
      </c>
      <c r="G426" s="6" t="s">
        <v>51</v>
      </c>
      <c r="H426" s="6" t="s">
        <v>51</v>
      </c>
      <c r="I426" s="8">
        <v>140</v>
      </c>
      <c r="J426" s="8" t="s">
        <v>680</v>
      </c>
      <c r="K426" s="8" t="s">
        <v>38</v>
      </c>
      <c r="L426" s="10">
        <v>1</v>
      </c>
      <c r="M426" s="13">
        <v>8000.0</v>
      </c>
      <c r="N426" s="13"/>
      <c r="O426" s="15">
        <f>IF(M426&gt;0, N426/M426, 0)</f>
        <v>0</v>
      </c>
      <c r="P426" s="13">
        <f>M426-N426</f>
        <v>8000</v>
      </c>
      <c r="Q426" s="13">
        <f>L426*M426</f>
        <v>8000</v>
      </c>
      <c r="R426" s="13">
        <f>L426*N426</f>
        <v>0</v>
      </c>
      <c r="S426" s="13">
        <f>L426*P426</f>
        <v>8000</v>
      </c>
      <c r="T426" s="13"/>
      <c r="U426" s="13">
        <f>L426*T426</f>
        <v>0</v>
      </c>
      <c r="V426" s="13">
        <f>S426-U426</f>
        <v>8000</v>
      </c>
      <c r="W426" s="15">
        <f>IF(S426&gt;0, V426/S426, 0)</f>
        <v>1</v>
      </c>
      <c r="X426" s="6" t="s">
        <v>39</v>
      </c>
      <c r="Y426" s="8" t="s">
        <v>40</v>
      </c>
      <c r="Z426" s="8" t="s">
        <v>41</v>
      </c>
      <c r="AA426" s="8" t="s">
        <v>42</v>
      </c>
      <c r="AB426" s="6" t="s">
        <v>42</v>
      </c>
    </row>
    <row r="427" spans="1:28">
      <c r="A427" s="9">
        <v>420</v>
      </c>
      <c r="B427" s="9" t="s">
        <v>681</v>
      </c>
      <c r="C427" s="9" t="s">
        <v>678</v>
      </c>
      <c r="D427" s="9" t="s">
        <v>652</v>
      </c>
      <c r="E427" s="9" t="s">
        <v>33</v>
      </c>
      <c r="F427" s="7" t="s">
        <v>34</v>
      </c>
      <c r="G427" s="7" t="s">
        <v>69</v>
      </c>
      <c r="H427" s="7" t="s">
        <v>69</v>
      </c>
      <c r="I427" s="9">
        <v>146</v>
      </c>
      <c r="J427" s="9" t="s">
        <v>264</v>
      </c>
      <c r="K427" s="9" t="s">
        <v>38</v>
      </c>
      <c r="L427" s="11">
        <v>1</v>
      </c>
      <c r="M427" s="14">
        <v>16000.0</v>
      </c>
      <c r="N427" s="14"/>
      <c r="O427" s="16">
        <f>IF(M427&gt;0, N427/M427, 0)</f>
        <v>0</v>
      </c>
      <c r="P427" s="14">
        <f>M427-N427</f>
        <v>16000</v>
      </c>
      <c r="Q427" s="14">
        <f>L427*M427</f>
        <v>16000</v>
      </c>
      <c r="R427" s="14">
        <f>L427*N427</f>
        <v>0</v>
      </c>
      <c r="S427" s="14">
        <f>L427*P427</f>
        <v>16000</v>
      </c>
      <c r="T427" s="14"/>
      <c r="U427" s="14">
        <f>L427*T427</f>
        <v>0</v>
      </c>
      <c r="V427" s="14">
        <f>S427-U427</f>
        <v>16000</v>
      </c>
      <c r="W427" s="16">
        <f>IF(S427&gt;0, V427/S427, 0)</f>
        <v>1</v>
      </c>
      <c r="X427" s="7" t="s">
        <v>39</v>
      </c>
      <c r="Y427" s="9" t="s">
        <v>40</v>
      </c>
      <c r="Z427" s="9" t="s">
        <v>41</v>
      </c>
      <c r="AA427" s="9" t="s">
        <v>42</v>
      </c>
      <c r="AB427" s="7" t="s">
        <v>42</v>
      </c>
    </row>
    <row r="428" spans="1:28">
      <c r="A428" s="8">
        <v>421</v>
      </c>
      <c r="B428" s="8" t="s">
        <v>682</v>
      </c>
      <c r="C428" s="8" t="s">
        <v>678</v>
      </c>
      <c r="D428" s="8" t="s">
        <v>652</v>
      </c>
      <c r="E428" s="8" t="s">
        <v>33</v>
      </c>
      <c r="F428" s="6" t="s">
        <v>34</v>
      </c>
      <c r="G428" s="6" t="s">
        <v>35</v>
      </c>
      <c r="H428" s="6" t="s">
        <v>36</v>
      </c>
      <c r="I428" s="8">
        <v>146</v>
      </c>
      <c r="J428" s="8" t="s">
        <v>528</v>
      </c>
      <c r="K428" s="8" t="s">
        <v>38</v>
      </c>
      <c r="L428" s="10">
        <v>1</v>
      </c>
      <c r="M428" s="13">
        <v>7000.0</v>
      </c>
      <c r="N428" s="13"/>
      <c r="O428" s="15">
        <f>IF(M428&gt;0, N428/M428, 0)</f>
        <v>0</v>
      </c>
      <c r="P428" s="13">
        <f>M428-N428</f>
        <v>7000</v>
      </c>
      <c r="Q428" s="13">
        <f>L428*M428</f>
        <v>7000</v>
      </c>
      <c r="R428" s="13">
        <f>L428*N428</f>
        <v>0</v>
      </c>
      <c r="S428" s="13">
        <f>L428*P428</f>
        <v>7000</v>
      </c>
      <c r="T428" s="13"/>
      <c r="U428" s="13">
        <f>L428*T428</f>
        <v>0</v>
      </c>
      <c r="V428" s="13">
        <f>S428-U428</f>
        <v>7000</v>
      </c>
      <c r="W428" s="15">
        <f>IF(S428&gt;0, V428/S428, 0)</f>
        <v>1</v>
      </c>
      <c r="X428" s="6" t="s">
        <v>39</v>
      </c>
      <c r="Y428" s="8" t="s">
        <v>40</v>
      </c>
      <c r="Z428" s="8" t="s">
        <v>41</v>
      </c>
      <c r="AA428" s="8" t="s">
        <v>42</v>
      </c>
      <c r="AB428" s="6" t="s">
        <v>42</v>
      </c>
    </row>
    <row r="429" spans="1:28">
      <c r="A429" s="9">
        <v>422</v>
      </c>
      <c r="B429" s="9" t="s">
        <v>683</v>
      </c>
      <c r="C429" s="9" t="s">
        <v>678</v>
      </c>
      <c r="D429" s="9" t="s">
        <v>652</v>
      </c>
      <c r="E429" s="9" t="s">
        <v>33</v>
      </c>
      <c r="F429" s="7" t="s">
        <v>34</v>
      </c>
      <c r="G429" s="7" t="s">
        <v>69</v>
      </c>
      <c r="H429" s="7" t="s">
        <v>69</v>
      </c>
      <c r="I429" s="9">
        <v>152</v>
      </c>
      <c r="J429" s="9" t="s">
        <v>207</v>
      </c>
      <c r="K429" s="9" t="s">
        <v>38</v>
      </c>
      <c r="L429" s="11">
        <v>1</v>
      </c>
      <c r="M429" s="14">
        <v>16500.0</v>
      </c>
      <c r="N429" s="14"/>
      <c r="O429" s="16">
        <f>IF(M429&gt;0, N429/M429, 0)</f>
        <v>0</v>
      </c>
      <c r="P429" s="14">
        <f>M429-N429</f>
        <v>16500</v>
      </c>
      <c r="Q429" s="14">
        <f>L429*M429</f>
        <v>16500</v>
      </c>
      <c r="R429" s="14">
        <f>L429*N429</f>
        <v>0</v>
      </c>
      <c r="S429" s="14">
        <f>L429*P429</f>
        <v>16500</v>
      </c>
      <c r="T429" s="14"/>
      <c r="U429" s="14">
        <f>L429*T429</f>
        <v>0</v>
      </c>
      <c r="V429" s="14">
        <f>S429-U429</f>
        <v>16500</v>
      </c>
      <c r="W429" s="16">
        <f>IF(S429&gt;0, V429/S429, 0)</f>
        <v>1</v>
      </c>
      <c r="X429" s="7" t="s">
        <v>39</v>
      </c>
      <c r="Y429" s="9" t="s">
        <v>40</v>
      </c>
      <c r="Z429" s="9" t="s">
        <v>41</v>
      </c>
      <c r="AA429" s="9" t="s">
        <v>42</v>
      </c>
      <c r="AB429" s="7" t="s">
        <v>42</v>
      </c>
    </row>
    <row r="430" spans="1:28">
      <c r="A430" s="8">
        <v>423</v>
      </c>
      <c r="B430" s="8" t="s">
        <v>684</v>
      </c>
      <c r="C430" s="8" t="s">
        <v>678</v>
      </c>
      <c r="D430" s="8" t="s">
        <v>652</v>
      </c>
      <c r="E430" s="8" t="s">
        <v>33</v>
      </c>
      <c r="F430" s="6" t="s">
        <v>34</v>
      </c>
      <c r="G430" s="6" t="s">
        <v>35</v>
      </c>
      <c r="H430" s="6" t="s">
        <v>36</v>
      </c>
      <c r="I430" s="8">
        <v>110</v>
      </c>
      <c r="J430" s="8" t="s">
        <v>685</v>
      </c>
      <c r="K430" s="8" t="s">
        <v>38</v>
      </c>
      <c r="L430" s="10">
        <v>1</v>
      </c>
      <c r="M430" s="13">
        <v>7000.0</v>
      </c>
      <c r="N430" s="13"/>
      <c r="O430" s="15">
        <f>IF(M430&gt;0, N430/M430, 0)</f>
        <v>0</v>
      </c>
      <c r="P430" s="13">
        <f>M430-N430</f>
        <v>7000</v>
      </c>
      <c r="Q430" s="13">
        <f>L430*M430</f>
        <v>7000</v>
      </c>
      <c r="R430" s="13">
        <f>L430*N430</f>
        <v>0</v>
      </c>
      <c r="S430" s="13">
        <f>L430*P430</f>
        <v>7000</v>
      </c>
      <c r="T430" s="13"/>
      <c r="U430" s="13">
        <f>L430*T430</f>
        <v>0</v>
      </c>
      <c r="V430" s="13">
        <f>S430-U430</f>
        <v>7000</v>
      </c>
      <c r="W430" s="15">
        <f>IF(S430&gt;0, V430/S430, 0)</f>
        <v>1</v>
      </c>
      <c r="X430" s="6" t="s">
        <v>39</v>
      </c>
      <c r="Y430" s="8" t="s">
        <v>40</v>
      </c>
      <c r="Z430" s="8" t="s">
        <v>41</v>
      </c>
      <c r="AA430" s="8" t="s">
        <v>42</v>
      </c>
      <c r="AB430" s="6" t="s">
        <v>42</v>
      </c>
    </row>
    <row r="431" spans="1:28">
      <c r="A431" s="9">
        <v>424</v>
      </c>
      <c r="B431" s="9" t="s">
        <v>686</v>
      </c>
      <c r="C431" s="9" t="s">
        <v>678</v>
      </c>
      <c r="D431" s="9" t="s">
        <v>652</v>
      </c>
      <c r="E431" s="9" t="s">
        <v>33</v>
      </c>
      <c r="F431" s="7" t="s">
        <v>34</v>
      </c>
      <c r="G431" s="7" t="s">
        <v>35</v>
      </c>
      <c r="H431" s="7" t="s">
        <v>36</v>
      </c>
      <c r="I431" s="9">
        <v>164</v>
      </c>
      <c r="J431" s="9" t="s">
        <v>77</v>
      </c>
      <c r="K431" s="9" t="s">
        <v>38</v>
      </c>
      <c r="L431" s="11">
        <v>1</v>
      </c>
      <c r="M431" s="14">
        <v>8000.0</v>
      </c>
      <c r="N431" s="14"/>
      <c r="O431" s="16">
        <f>IF(M431&gt;0, N431/M431, 0)</f>
        <v>0</v>
      </c>
      <c r="P431" s="14">
        <f>M431-N431</f>
        <v>8000</v>
      </c>
      <c r="Q431" s="14">
        <f>L431*M431</f>
        <v>8000</v>
      </c>
      <c r="R431" s="14">
        <f>L431*N431</f>
        <v>0</v>
      </c>
      <c r="S431" s="14">
        <f>L431*P431</f>
        <v>8000</v>
      </c>
      <c r="T431" s="14"/>
      <c r="U431" s="14">
        <f>L431*T431</f>
        <v>0</v>
      </c>
      <c r="V431" s="14">
        <f>S431-U431</f>
        <v>8000</v>
      </c>
      <c r="W431" s="16">
        <f>IF(S431&gt;0, V431/S431, 0)</f>
        <v>1</v>
      </c>
      <c r="X431" s="7" t="s">
        <v>39</v>
      </c>
      <c r="Y431" s="9" t="s">
        <v>40</v>
      </c>
      <c r="Z431" s="9" t="s">
        <v>41</v>
      </c>
      <c r="AA431" s="9" t="s">
        <v>42</v>
      </c>
      <c r="AB431" s="7" t="s">
        <v>42</v>
      </c>
    </row>
    <row r="432" spans="1:28">
      <c r="A432" s="8">
        <v>425</v>
      </c>
      <c r="B432" s="8" t="s">
        <v>687</v>
      </c>
      <c r="C432" s="8" t="s">
        <v>678</v>
      </c>
      <c r="D432" s="8" t="s">
        <v>652</v>
      </c>
      <c r="E432" s="8" t="s">
        <v>33</v>
      </c>
      <c r="F432" s="6" t="s">
        <v>34</v>
      </c>
      <c r="G432" s="6" t="s">
        <v>51</v>
      </c>
      <c r="H432" s="6" t="s">
        <v>51</v>
      </c>
      <c r="I432" s="8">
        <v>158</v>
      </c>
      <c r="J432" s="8" t="s">
        <v>122</v>
      </c>
      <c r="K432" s="8" t="s">
        <v>38</v>
      </c>
      <c r="L432" s="10">
        <v>1</v>
      </c>
      <c r="M432" s="13">
        <v>8500.0</v>
      </c>
      <c r="N432" s="13"/>
      <c r="O432" s="15">
        <f>IF(M432&gt;0, N432/M432, 0)</f>
        <v>0</v>
      </c>
      <c r="P432" s="13">
        <f>M432-N432</f>
        <v>8500</v>
      </c>
      <c r="Q432" s="13">
        <f>L432*M432</f>
        <v>8500</v>
      </c>
      <c r="R432" s="13">
        <f>L432*N432</f>
        <v>0</v>
      </c>
      <c r="S432" s="13">
        <f>L432*P432</f>
        <v>8500</v>
      </c>
      <c r="T432" s="13"/>
      <c r="U432" s="13">
        <f>L432*T432</f>
        <v>0</v>
      </c>
      <c r="V432" s="13">
        <f>S432-U432</f>
        <v>8500</v>
      </c>
      <c r="W432" s="15">
        <f>IF(S432&gt;0, V432/S432, 0)</f>
        <v>1</v>
      </c>
      <c r="X432" s="6" t="s">
        <v>39</v>
      </c>
      <c r="Y432" s="8" t="s">
        <v>40</v>
      </c>
      <c r="Z432" s="8" t="s">
        <v>41</v>
      </c>
      <c r="AA432" s="8" t="s">
        <v>42</v>
      </c>
      <c r="AB432" s="6" t="s">
        <v>42</v>
      </c>
    </row>
    <row r="433" spans="1:28">
      <c r="A433" s="9">
        <v>426</v>
      </c>
      <c r="B433" s="9" t="s">
        <v>688</v>
      </c>
      <c r="C433" s="9" t="s">
        <v>678</v>
      </c>
      <c r="D433" s="9" t="s">
        <v>652</v>
      </c>
      <c r="E433" s="9" t="s">
        <v>33</v>
      </c>
      <c r="F433" s="7" t="s">
        <v>34</v>
      </c>
      <c r="G433" s="7" t="s">
        <v>45</v>
      </c>
      <c r="H433" s="7" t="s">
        <v>46</v>
      </c>
      <c r="I433" s="9">
        <v>152</v>
      </c>
      <c r="J433" s="9" t="s">
        <v>345</v>
      </c>
      <c r="K433" s="9" t="s">
        <v>38</v>
      </c>
      <c r="L433" s="11">
        <v>1</v>
      </c>
      <c r="M433" s="14">
        <v>18000.0</v>
      </c>
      <c r="N433" s="14"/>
      <c r="O433" s="16">
        <f>IF(M433&gt;0, N433/M433, 0)</f>
        <v>0</v>
      </c>
      <c r="P433" s="14">
        <f>M433-N433</f>
        <v>18000</v>
      </c>
      <c r="Q433" s="14">
        <f>L433*M433</f>
        <v>18000</v>
      </c>
      <c r="R433" s="14">
        <f>L433*N433</f>
        <v>0</v>
      </c>
      <c r="S433" s="14">
        <f>L433*P433</f>
        <v>18000</v>
      </c>
      <c r="T433" s="14"/>
      <c r="U433" s="14">
        <f>L433*T433</f>
        <v>0</v>
      </c>
      <c r="V433" s="14">
        <f>S433-U433</f>
        <v>18000</v>
      </c>
      <c r="W433" s="16">
        <f>IF(S433&gt;0, V433/S433, 0)</f>
        <v>1</v>
      </c>
      <c r="X433" s="7" t="s">
        <v>39</v>
      </c>
      <c r="Y433" s="9" t="s">
        <v>40</v>
      </c>
      <c r="Z433" s="9" t="s">
        <v>41</v>
      </c>
      <c r="AA433" s="9" t="s">
        <v>42</v>
      </c>
      <c r="AB433" s="7" t="s">
        <v>42</v>
      </c>
    </row>
    <row r="434" spans="1:28">
      <c r="A434" s="8">
        <v>427</v>
      </c>
      <c r="B434" s="8" t="s">
        <v>689</v>
      </c>
      <c r="C434" s="8" t="s">
        <v>678</v>
      </c>
      <c r="D434" s="8" t="s">
        <v>652</v>
      </c>
      <c r="E434" s="8" t="s">
        <v>33</v>
      </c>
      <c r="F434" s="6" t="s">
        <v>34</v>
      </c>
      <c r="G434" s="6" t="s">
        <v>69</v>
      </c>
      <c r="H434" s="6" t="s">
        <v>69</v>
      </c>
      <c r="I434" s="8">
        <v>152</v>
      </c>
      <c r="J434" s="8" t="s">
        <v>207</v>
      </c>
      <c r="K434" s="8" t="s">
        <v>38</v>
      </c>
      <c r="L434" s="10">
        <v>1</v>
      </c>
      <c r="M434" s="13">
        <v>16500.0</v>
      </c>
      <c r="N434" s="13"/>
      <c r="O434" s="15">
        <f>IF(M434&gt;0, N434/M434, 0)</f>
        <v>0</v>
      </c>
      <c r="P434" s="13">
        <f>M434-N434</f>
        <v>16500</v>
      </c>
      <c r="Q434" s="13">
        <f>L434*M434</f>
        <v>16500</v>
      </c>
      <c r="R434" s="13">
        <f>L434*N434</f>
        <v>0</v>
      </c>
      <c r="S434" s="13">
        <f>L434*P434</f>
        <v>16500</v>
      </c>
      <c r="T434" s="13"/>
      <c r="U434" s="13">
        <f>L434*T434</f>
        <v>0</v>
      </c>
      <c r="V434" s="13">
        <f>S434-U434</f>
        <v>16500</v>
      </c>
      <c r="W434" s="15">
        <f>IF(S434&gt;0, V434/S434, 0)</f>
        <v>1</v>
      </c>
      <c r="X434" s="6" t="s">
        <v>39</v>
      </c>
      <c r="Y434" s="8" t="s">
        <v>40</v>
      </c>
      <c r="Z434" s="8" t="s">
        <v>41</v>
      </c>
      <c r="AA434" s="8" t="s">
        <v>42</v>
      </c>
      <c r="AB434" s="6" t="s">
        <v>42</v>
      </c>
    </row>
    <row r="435" spans="1:28">
      <c r="A435" s="9">
        <v>428</v>
      </c>
      <c r="B435" s="9" t="s">
        <v>690</v>
      </c>
      <c r="C435" s="9" t="s">
        <v>678</v>
      </c>
      <c r="D435" s="9" t="s">
        <v>652</v>
      </c>
      <c r="E435" s="9" t="s">
        <v>33</v>
      </c>
      <c r="F435" s="7" t="s">
        <v>34</v>
      </c>
      <c r="G435" s="7" t="s">
        <v>69</v>
      </c>
      <c r="H435" s="7" t="s">
        <v>69</v>
      </c>
      <c r="I435" s="9">
        <v>182</v>
      </c>
      <c r="J435" s="9" t="s">
        <v>422</v>
      </c>
      <c r="K435" s="9" t="s">
        <v>38</v>
      </c>
      <c r="L435" s="11">
        <v>2</v>
      </c>
      <c r="M435" s="14">
        <v>16500.0</v>
      </c>
      <c r="N435" s="14"/>
      <c r="O435" s="16">
        <f>IF(M435&gt;0, N435/M435, 0)</f>
        <v>0</v>
      </c>
      <c r="P435" s="14">
        <f>M435-N435</f>
        <v>16500</v>
      </c>
      <c r="Q435" s="14">
        <f>L435*M435</f>
        <v>33000</v>
      </c>
      <c r="R435" s="14">
        <f>L435*N435</f>
        <v>0</v>
      </c>
      <c r="S435" s="14">
        <f>L435*P435</f>
        <v>33000</v>
      </c>
      <c r="T435" s="14"/>
      <c r="U435" s="14">
        <f>L435*T435</f>
        <v>0</v>
      </c>
      <c r="V435" s="14">
        <f>S435-U435</f>
        <v>33000</v>
      </c>
      <c r="W435" s="16">
        <f>IF(S435&gt;0, V435/S435, 0)</f>
        <v>1</v>
      </c>
      <c r="X435" s="7" t="s">
        <v>39</v>
      </c>
      <c r="Y435" s="9" t="s">
        <v>40</v>
      </c>
      <c r="Z435" s="9" t="s">
        <v>41</v>
      </c>
      <c r="AA435" s="9" t="s">
        <v>42</v>
      </c>
      <c r="AB435" s="7" t="s">
        <v>42</v>
      </c>
    </row>
    <row r="436" spans="1:28">
      <c r="A436" s="8">
        <v>429</v>
      </c>
      <c r="B436" s="8" t="s">
        <v>691</v>
      </c>
      <c r="C436" s="8" t="s">
        <v>678</v>
      </c>
      <c r="D436" s="8" t="s">
        <v>652</v>
      </c>
      <c r="E436" s="8" t="s">
        <v>33</v>
      </c>
      <c r="F436" s="6" t="s">
        <v>34</v>
      </c>
      <c r="G436" s="6" t="s">
        <v>56</v>
      </c>
      <c r="H436" s="6" t="s">
        <v>56</v>
      </c>
      <c r="I436" s="8">
        <v>170</v>
      </c>
      <c r="J436" s="8" t="s">
        <v>212</v>
      </c>
      <c r="K436" s="8" t="s">
        <v>38</v>
      </c>
      <c r="L436" s="10">
        <v>2</v>
      </c>
      <c r="M436" s="13">
        <v>7500.0</v>
      </c>
      <c r="N436" s="13"/>
      <c r="O436" s="15">
        <f>IF(M436&gt;0, N436/M436, 0)</f>
        <v>0</v>
      </c>
      <c r="P436" s="13">
        <f>M436-N436</f>
        <v>7500</v>
      </c>
      <c r="Q436" s="13">
        <f>L436*M436</f>
        <v>15000</v>
      </c>
      <c r="R436" s="13">
        <f>L436*N436</f>
        <v>0</v>
      </c>
      <c r="S436" s="13">
        <f>L436*P436</f>
        <v>15000</v>
      </c>
      <c r="T436" s="13"/>
      <c r="U436" s="13">
        <f>L436*T436</f>
        <v>0</v>
      </c>
      <c r="V436" s="13">
        <f>S436-U436</f>
        <v>15000</v>
      </c>
      <c r="W436" s="15">
        <f>IF(S436&gt;0, V436/S436, 0)</f>
        <v>1</v>
      </c>
      <c r="X436" s="6" t="s">
        <v>39</v>
      </c>
      <c r="Y436" s="8" t="s">
        <v>40</v>
      </c>
      <c r="Z436" s="8" t="s">
        <v>41</v>
      </c>
      <c r="AA436" s="8" t="s">
        <v>42</v>
      </c>
      <c r="AB436" s="6" t="s">
        <v>42</v>
      </c>
    </row>
    <row r="437" spans="1:28">
      <c r="A437" s="9">
        <v>430</v>
      </c>
      <c r="B437" s="9" t="s">
        <v>692</v>
      </c>
      <c r="C437" s="9" t="s">
        <v>678</v>
      </c>
      <c r="D437" s="9" t="s">
        <v>652</v>
      </c>
      <c r="E437" s="9" t="s">
        <v>33</v>
      </c>
      <c r="F437" s="7" t="s">
        <v>34</v>
      </c>
      <c r="G437" s="7" t="s">
        <v>63</v>
      </c>
      <c r="H437" s="7" t="s">
        <v>148</v>
      </c>
      <c r="I437" s="9">
        <v>176</v>
      </c>
      <c r="J437" s="9" t="s">
        <v>149</v>
      </c>
      <c r="K437" s="9" t="s">
        <v>38</v>
      </c>
      <c r="L437" s="11">
        <v>2</v>
      </c>
      <c r="M437" s="14">
        <v>9500.0</v>
      </c>
      <c r="N437" s="14"/>
      <c r="O437" s="16">
        <f>IF(M437&gt;0, N437/M437, 0)</f>
        <v>0</v>
      </c>
      <c r="P437" s="14">
        <f>M437-N437</f>
        <v>9500</v>
      </c>
      <c r="Q437" s="14">
        <f>L437*M437</f>
        <v>19000</v>
      </c>
      <c r="R437" s="14">
        <f>L437*N437</f>
        <v>0</v>
      </c>
      <c r="S437" s="14">
        <f>L437*P437</f>
        <v>19000</v>
      </c>
      <c r="T437" s="14"/>
      <c r="U437" s="14">
        <f>L437*T437</f>
        <v>0</v>
      </c>
      <c r="V437" s="14">
        <f>S437-U437</f>
        <v>19000</v>
      </c>
      <c r="W437" s="16">
        <f>IF(S437&gt;0, V437/S437, 0)</f>
        <v>1</v>
      </c>
      <c r="X437" s="7" t="s">
        <v>39</v>
      </c>
      <c r="Y437" s="9" t="s">
        <v>40</v>
      </c>
      <c r="Z437" s="9" t="s">
        <v>41</v>
      </c>
      <c r="AA437" s="9" t="s">
        <v>42</v>
      </c>
      <c r="AB437" s="7" t="s">
        <v>42</v>
      </c>
    </row>
    <row r="438" spans="1:28">
      <c r="A438" s="8">
        <v>431</v>
      </c>
      <c r="B438" s="8" t="s">
        <v>693</v>
      </c>
      <c r="C438" s="8" t="s">
        <v>678</v>
      </c>
      <c r="D438" s="8" t="s">
        <v>652</v>
      </c>
      <c r="E438" s="8" t="s">
        <v>33</v>
      </c>
      <c r="F438" s="6" t="s">
        <v>34</v>
      </c>
      <c r="G438" s="6" t="s">
        <v>35</v>
      </c>
      <c r="H438" s="6" t="s">
        <v>73</v>
      </c>
      <c r="I438" s="8">
        <v>176</v>
      </c>
      <c r="J438" s="8" t="s">
        <v>420</v>
      </c>
      <c r="K438" s="8" t="s">
        <v>38</v>
      </c>
      <c r="L438" s="10">
        <v>2</v>
      </c>
      <c r="M438" s="13">
        <v>9000.0</v>
      </c>
      <c r="N438" s="13"/>
      <c r="O438" s="15">
        <f>IF(M438&gt;0, N438/M438, 0)</f>
        <v>0</v>
      </c>
      <c r="P438" s="13">
        <f>M438-N438</f>
        <v>9000</v>
      </c>
      <c r="Q438" s="13">
        <f>L438*M438</f>
        <v>18000</v>
      </c>
      <c r="R438" s="13">
        <f>L438*N438</f>
        <v>0</v>
      </c>
      <c r="S438" s="13">
        <f>L438*P438</f>
        <v>18000</v>
      </c>
      <c r="T438" s="13"/>
      <c r="U438" s="13">
        <f>L438*T438</f>
        <v>0</v>
      </c>
      <c r="V438" s="13">
        <f>S438-U438</f>
        <v>18000</v>
      </c>
      <c r="W438" s="15">
        <f>IF(S438&gt;0, V438/S438, 0)</f>
        <v>1</v>
      </c>
      <c r="X438" s="6" t="s">
        <v>39</v>
      </c>
      <c r="Y438" s="8" t="s">
        <v>40</v>
      </c>
      <c r="Z438" s="8" t="s">
        <v>41</v>
      </c>
      <c r="AA438" s="8" t="s">
        <v>42</v>
      </c>
      <c r="AB438" s="6" t="s">
        <v>42</v>
      </c>
    </row>
    <row r="439" spans="1:28">
      <c r="A439" s="9">
        <v>432</v>
      </c>
      <c r="B439" s="9" t="s">
        <v>694</v>
      </c>
      <c r="C439" s="9" t="s">
        <v>678</v>
      </c>
      <c r="D439" s="9" t="s">
        <v>652</v>
      </c>
      <c r="E439" s="9" t="s">
        <v>33</v>
      </c>
      <c r="F439" s="7" t="s">
        <v>50</v>
      </c>
      <c r="G439" s="7" t="s">
        <v>35</v>
      </c>
      <c r="H439" s="7" t="s">
        <v>36</v>
      </c>
      <c r="I439" s="9">
        <v>176</v>
      </c>
      <c r="J439" s="9" t="s">
        <v>695</v>
      </c>
      <c r="K439" s="9" t="s">
        <v>53</v>
      </c>
      <c r="L439" s="11">
        <v>2</v>
      </c>
      <c r="M439" s="14">
        <v>8000.0</v>
      </c>
      <c r="N439" s="14"/>
      <c r="O439" s="16">
        <f>IF(M439&gt;0, N439/M439, 0)</f>
        <v>0</v>
      </c>
      <c r="P439" s="14">
        <f>M439-N439</f>
        <v>8000</v>
      </c>
      <c r="Q439" s="14">
        <f>L439*M439</f>
        <v>16000</v>
      </c>
      <c r="R439" s="14">
        <f>L439*N439</f>
        <v>0</v>
      </c>
      <c r="S439" s="14">
        <f>L439*P439</f>
        <v>16000</v>
      </c>
      <c r="T439" s="14"/>
      <c r="U439" s="14">
        <f>L439*T439</f>
        <v>0</v>
      </c>
      <c r="V439" s="14">
        <f>S439-U439</f>
        <v>16000</v>
      </c>
      <c r="W439" s="16">
        <f>IF(S439&gt;0, V439/S439, 0)</f>
        <v>1</v>
      </c>
      <c r="X439" s="7" t="s">
        <v>39</v>
      </c>
      <c r="Y439" s="9" t="s">
        <v>40</v>
      </c>
      <c r="Z439" s="9" t="s">
        <v>41</v>
      </c>
      <c r="AA439" s="9" t="s">
        <v>42</v>
      </c>
      <c r="AB439" s="7" t="s">
        <v>42</v>
      </c>
    </row>
    <row r="440" spans="1:28">
      <c r="A440" s="8">
        <v>433</v>
      </c>
      <c r="B440" s="8" t="s">
        <v>696</v>
      </c>
      <c r="C440" s="8" t="s">
        <v>678</v>
      </c>
      <c r="D440" s="8" t="s">
        <v>652</v>
      </c>
      <c r="E440" s="8" t="s">
        <v>33</v>
      </c>
      <c r="F440" s="6" t="s">
        <v>50</v>
      </c>
      <c r="G440" s="6" t="s">
        <v>51</v>
      </c>
      <c r="H440" s="6" t="s">
        <v>51</v>
      </c>
      <c r="I440" s="8">
        <v>164</v>
      </c>
      <c r="J440" s="8" t="s">
        <v>404</v>
      </c>
      <c r="K440" s="8" t="s">
        <v>53</v>
      </c>
      <c r="L440" s="10">
        <v>2</v>
      </c>
      <c r="M440" s="13">
        <v>8500.0</v>
      </c>
      <c r="N440" s="13"/>
      <c r="O440" s="15">
        <f>IF(M440&gt;0, N440/M440, 0)</f>
        <v>0</v>
      </c>
      <c r="P440" s="13">
        <f>M440-N440</f>
        <v>8500</v>
      </c>
      <c r="Q440" s="13">
        <f>L440*M440</f>
        <v>17000</v>
      </c>
      <c r="R440" s="13">
        <f>L440*N440</f>
        <v>0</v>
      </c>
      <c r="S440" s="13">
        <f>L440*P440</f>
        <v>17000</v>
      </c>
      <c r="T440" s="13"/>
      <c r="U440" s="13">
        <f>L440*T440</f>
        <v>0</v>
      </c>
      <c r="V440" s="13">
        <f>S440-U440</f>
        <v>17000</v>
      </c>
      <c r="W440" s="15">
        <f>IF(S440&gt;0, V440/S440, 0)</f>
        <v>1</v>
      </c>
      <c r="X440" s="6" t="s">
        <v>39</v>
      </c>
      <c r="Y440" s="8" t="s">
        <v>40</v>
      </c>
      <c r="Z440" s="8" t="s">
        <v>41</v>
      </c>
      <c r="AA440" s="8" t="s">
        <v>42</v>
      </c>
      <c r="AB440" s="6" t="s">
        <v>42</v>
      </c>
    </row>
    <row r="441" spans="1:28">
      <c r="A441" s="9">
        <v>434</v>
      </c>
      <c r="B441" s="9" t="s">
        <v>697</v>
      </c>
      <c r="C441" s="9" t="s">
        <v>698</v>
      </c>
      <c r="D441" s="9" t="s">
        <v>652</v>
      </c>
      <c r="E441" s="9" t="s">
        <v>33</v>
      </c>
      <c r="F441" s="7" t="s">
        <v>50</v>
      </c>
      <c r="G441" s="7" t="s">
        <v>56</v>
      </c>
      <c r="H441" s="7" t="s">
        <v>56</v>
      </c>
      <c r="I441" s="9">
        <v>170</v>
      </c>
      <c r="J441" s="9" t="s">
        <v>699</v>
      </c>
      <c r="K441" s="9" t="s">
        <v>38</v>
      </c>
      <c r="L441" s="11">
        <v>1</v>
      </c>
      <c r="M441" s="14">
        <v>7500.0</v>
      </c>
      <c r="N441" s="14"/>
      <c r="O441" s="16">
        <f>IF(M441&gt;0, N441/M441, 0)</f>
        <v>0</v>
      </c>
      <c r="P441" s="14">
        <f>M441-N441</f>
        <v>7500</v>
      </c>
      <c r="Q441" s="14">
        <f>L441*M441</f>
        <v>7500</v>
      </c>
      <c r="R441" s="14">
        <f>L441*N441</f>
        <v>0</v>
      </c>
      <c r="S441" s="14">
        <f>L441*P441</f>
        <v>7500</v>
      </c>
      <c r="T441" s="14"/>
      <c r="U441" s="14">
        <f>L441*T441</f>
        <v>0</v>
      </c>
      <c r="V441" s="14">
        <f>S441-U441</f>
        <v>7500</v>
      </c>
      <c r="W441" s="16">
        <f>IF(S441&gt;0, V441/S441, 0)</f>
        <v>1</v>
      </c>
      <c r="X441" s="7" t="s">
        <v>39</v>
      </c>
      <c r="Y441" s="9" t="s">
        <v>40</v>
      </c>
      <c r="Z441" s="9" t="s">
        <v>41</v>
      </c>
      <c r="AA441" s="9" t="s">
        <v>42</v>
      </c>
      <c r="AB441" s="7" t="s">
        <v>42</v>
      </c>
    </row>
    <row r="442" spans="1:28">
      <c r="A442" s="8">
        <v>435</v>
      </c>
      <c r="B442" s="8" t="s">
        <v>700</v>
      </c>
      <c r="C442" s="8" t="s">
        <v>698</v>
      </c>
      <c r="D442" s="8" t="s">
        <v>652</v>
      </c>
      <c r="E442" s="8" t="s">
        <v>33</v>
      </c>
      <c r="F442" s="6" t="s">
        <v>50</v>
      </c>
      <c r="G442" s="6" t="s">
        <v>35</v>
      </c>
      <c r="H442" s="6" t="s">
        <v>36</v>
      </c>
      <c r="I442" s="8">
        <v>182</v>
      </c>
      <c r="J442" s="8" t="s">
        <v>701</v>
      </c>
      <c r="K442" s="8" t="s">
        <v>53</v>
      </c>
      <c r="L442" s="10">
        <v>2</v>
      </c>
      <c r="M442" s="13">
        <v>8000.0</v>
      </c>
      <c r="N442" s="13"/>
      <c r="O442" s="15">
        <f>IF(M442&gt;0, N442/M442, 0)</f>
        <v>0</v>
      </c>
      <c r="P442" s="13">
        <f>M442-N442</f>
        <v>8000</v>
      </c>
      <c r="Q442" s="13">
        <f>L442*M442</f>
        <v>16000</v>
      </c>
      <c r="R442" s="13">
        <f>L442*N442</f>
        <v>0</v>
      </c>
      <c r="S442" s="13">
        <f>L442*P442</f>
        <v>16000</v>
      </c>
      <c r="T442" s="13"/>
      <c r="U442" s="13">
        <f>L442*T442</f>
        <v>0</v>
      </c>
      <c r="V442" s="13">
        <f>S442-U442</f>
        <v>16000</v>
      </c>
      <c r="W442" s="15">
        <f>IF(S442&gt;0, V442/S442, 0)</f>
        <v>1</v>
      </c>
      <c r="X442" s="6" t="s">
        <v>39</v>
      </c>
      <c r="Y442" s="8" t="s">
        <v>40</v>
      </c>
      <c r="Z442" s="8" t="s">
        <v>41</v>
      </c>
      <c r="AA442" s="8" t="s">
        <v>42</v>
      </c>
      <c r="AB442" s="6" t="s">
        <v>42</v>
      </c>
    </row>
    <row r="443" spans="1:28">
      <c r="A443" s="9">
        <v>436</v>
      </c>
      <c r="B443" s="9" t="s">
        <v>702</v>
      </c>
      <c r="C443" s="9" t="s">
        <v>698</v>
      </c>
      <c r="D443" s="9" t="s">
        <v>652</v>
      </c>
      <c r="E443" s="9" t="s">
        <v>33</v>
      </c>
      <c r="F443" s="7" t="s">
        <v>50</v>
      </c>
      <c r="G443" s="7" t="s">
        <v>56</v>
      </c>
      <c r="H443" s="7" t="s">
        <v>56</v>
      </c>
      <c r="I443" s="9">
        <v>134</v>
      </c>
      <c r="J443" s="9" t="s">
        <v>281</v>
      </c>
      <c r="K443" s="9" t="s">
        <v>38</v>
      </c>
      <c r="L443" s="11">
        <v>1</v>
      </c>
      <c r="M443" s="14">
        <v>8000.0</v>
      </c>
      <c r="N443" s="14"/>
      <c r="O443" s="16">
        <f>IF(M443&gt;0, N443/M443, 0)</f>
        <v>0</v>
      </c>
      <c r="P443" s="14">
        <f>M443-N443</f>
        <v>8000</v>
      </c>
      <c r="Q443" s="14">
        <f>L443*M443</f>
        <v>8000</v>
      </c>
      <c r="R443" s="14">
        <f>L443*N443</f>
        <v>0</v>
      </c>
      <c r="S443" s="14">
        <f>L443*P443</f>
        <v>8000</v>
      </c>
      <c r="T443" s="14"/>
      <c r="U443" s="14">
        <f>L443*T443</f>
        <v>0</v>
      </c>
      <c r="V443" s="14">
        <f>S443-U443</f>
        <v>8000</v>
      </c>
      <c r="W443" s="16">
        <f>IF(S443&gt;0, V443/S443, 0)</f>
        <v>1</v>
      </c>
      <c r="X443" s="7" t="s">
        <v>39</v>
      </c>
      <c r="Y443" s="9" t="s">
        <v>40</v>
      </c>
      <c r="Z443" s="9" t="s">
        <v>41</v>
      </c>
      <c r="AA443" s="9" t="s">
        <v>42</v>
      </c>
      <c r="AB443" s="7" t="s">
        <v>42</v>
      </c>
    </row>
    <row r="444" spans="1:28">
      <c r="A444" s="8">
        <v>437</v>
      </c>
      <c r="B444" s="8" t="s">
        <v>703</v>
      </c>
      <c r="C444" s="8" t="s">
        <v>698</v>
      </c>
      <c r="D444" s="8" t="s">
        <v>652</v>
      </c>
      <c r="E444" s="8" t="s">
        <v>68</v>
      </c>
      <c r="F444" s="6" t="s">
        <v>50</v>
      </c>
      <c r="G444" s="6" t="s">
        <v>63</v>
      </c>
      <c r="H444" s="6" t="s">
        <v>148</v>
      </c>
      <c r="I444" s="8">
        <v>134</v>
      </c>
      <c r="J444" s="8" t="s">
        <v>246</v>
      </c>
      <c r="K444" s="8" t="s">
        <v>38</v>
      </c>
      <c r="L444" s="10">
        <v>1</v>
      </c>
      <c r="M444" s="13">
        <v>10000.0</v>
      </c>
      <c r="N444" s="13"/>
      <c r="O444" s="15">
        <f>IF(M444&gt;0, N444/M444, 0)</f>
        <v>0</v>
      </c>
      <c r="P444" s="13">
        <f>M444-N444</f>
        <v>10000</v>
      </c>
      <c r="Q444" s="13">
        <f>L444*M444</f>
        <v>10000</v>
      </c>
      <c r="R444" s="13">
        <f>L444*N444</f>
        <v>0</v>
      </c>
      <c r="S444" s="13">
        <f>L444*P444</f>
        <v>10000</v>
      </c>
      <c r="T444" s="13"/>
      <c r="U444" s="13">
        <f>L444*T444</f>
        <v>0</v>
      </c>
      <c r="V444" s="13">
        <f>S444-U444</f>
        <v>10000</v>
      </c>
      <c r="W444" s="15">
        <f>IF(S444&gt;0, V444/S444, 0)</f>
        <v>1</v>
      </c>
      <c r="X444" s="6" t="s">
        <v>39</v>
      </c>
      <c r="Y444" s="8" t="s">
        <v>40</v>
      </c>
      <c r="Z444" s="8" t="s">
        <v>71</v>
      </c>
      <c r="AA444" s="8" t="s">
        <v>42</v>
      </c>
      <c r="AB444" s="6" t="s">
        <v>42</v>
      </c>
    </row>
    <row r="445" spans="1:28">
      <c r="A445" s="9">
        <v>438</v>
      </c>
      <c r="B445" s="9" t="s">
        <v>704</v>
      </c>
      <c r="C445" s="9" t="s">
        <v>698</v>
      </c>
      <c r="D445" s="9" t="s">
        <v>652</v>
      </c>
      <c r="E445" s="9" t="s">
        <v>33</v>
      </c>
      <c r="F445" s="7" t="s">
        <v>50</v>
      </c>
      <c r="G445" s="7" t="s">
        <v>69</v>
      </c>
      <c r="H445" s="7" t="s">
        <v>69</v>
      </c>
      <c r="I445" s="9">
        <v>140</v>
      </c>
      <c r="J445" s="9" t="s">
        <v>225</v>
      </c>
      <c r="K445" s="9" t="s">
        <v>38</v>
      </c>
      <c r="L445" s="11">
        <v>1</v>
      </c>
      <c r="M445" s="14">
        <v>16000.0</v>
      </c>
      <c r="N445" s="14"/>
      <c r="O445" s="16">
        <f>IF(M445&gt;0, N445/M445, 0)</f>
        <v>0</v>
      </c>
      <c r="P445" s="14">
        <f>M445-N445</f>
        <v>16000</v>
      </c>
      <c r="Q445" s="14">
        <f>L445*M445</f>
        <v>16000</v>
      </c>
      <c r="R445" s="14">
        <f>L445*N445</f>
        <v>0</v>
      </c>
      <c r="S445" s="14">
        <f>L445*P445</f>
        <v>16000</v>
      </c>
      <c r="T445" s="14"/>
      <c r="U445" s="14">
        <f>L445*T445</f>
        <v>0</v>
      </c>
      <c r="V445" s="14">
        <f>S445-U445</f>
        <v>16000</v>
      </c>
      <c r="W445" s="16">
        <f>IF(S445&gt;0, V445/S445, 0)</f>
        <v>1</v>
      </c>
      <c r="X445" s="7" t="s">
        <v>39</v>
      </c>
      <c r="Y445" s="9" t="s">
        <v>40</v>
      </c>
      <c r="Z445" s="9" t="s">
        <v>41</v>
      </c>
      <c r="AA445" s="9" t="s">
        <v>42</v>
      </c>
      <c r="AB445" s="7" t="s">
        <v>42</v>
      </c>
    </row>
    <row r="446" spans="1:28">
      <c r="A446" s="8">
        <v>439</v>
      </c>
      <c r="B446" s="8" t="s">
        <v>705</v>
      </c>
      <c r="C446" s="8" t="s">
        <v>698</v>
      </c>
      <c r="D446" s="8" t="s">
        <v>652</v>
      </c>
      <c r="E446" s="8" t="s">
        <v>33</v>
      </c>
      <c r="F446" s="6" t="s">
        <v>50</v>
      </c>
      <c r="G446" s="6" t="s">
        <v>63</v>
      </c>
      <c r="H446" s="6" t="s">
        <v>148</v>
      </c>
      <c r="I446" s="8">
        <v>134</v>
      </c>
      <c r="J446" s="8" t="s">
        <v>246</v>
      </c>
      <c r="K446" s="8" t="s">
        <v>38</v>
      </c>
      <c r="L446" s="10">
        <v>1</v>
      </c>
      <c r="M446" s="13">
        <v>10000.0</v>
      </c>
      <c r="N446" s="13"/>
      <c r="O446" s="15">
        <f>IF(M446&gt;0, N446/M446, 0)</f>
        <v>0</v>
      </c>
      <c r="P446" s="13">
        <f>M446-N446</f>
        <v>10000</v>
      </c>
      <c r="Q446" s="13">
        <f>L446*M446</f>
        <v>10000</v>
      </c>
      <c r="R446" s="13">
        <f>L446*N446</f>
        <v>0</v>
      </c>
      <c r="S446" s="13">
        <f>L446*P446</f>
        <v>10000</v>
      </c>
      <c r="T446" s="13"/>
      <c r="U446" s="13">
        <f>L446*T446</f>
        <v>0</v>
      </c>
      <c r="V446" s="13">
        <f>S446-U446</f>
        <v>10000</v>
      </c>
      <c r="W446" s="15">
        <f>IF(S446&gt;0, V446/S446, 0)</f>
        <v>1</v>
      </c>
      <c r="X446" s="6" t="s">
        <v>39</v>
      </c>
      <c r="Y446" s="8" t="s">
        <v>40</v>
      </c>
      <c r="Z446" s="8" t="s">
        <v>41</v>
      </c>
      <c r="AA446" s="8" t="s">
        <v>42</v>
      </c>
      <c r="AB446" s="6" t="s">
        <v>42</v>
      </c>
    </row>
    <row r="447" spans="1:28">
      <c r="A447" s="9">
        <v>440</v>
      </c>
      <c r="B447" s="9" t="s">
        <v>706</v>
      </c>
      <c r="C447" s="9" t="s">
        <v>698</v>
      </c>
      <c r="D447" s="9" t="s">
        <v>652</v>
      </c>
      <c r="E447" s="9" t="s">
        <v>33</v>
      </c>
      <c r="F447" s="7" t="s">
        <v>34</v>
      </c>
      <c r="G447" s="7" t="s">
        <v>45</v>
      </c>
      <c r="H447" s="7" t="s">
        <v>46</v>
      </c>
      <c r="I447" s="9">
        <v>146</v>
      </c>
      <c r="J447" s="9" t="s">
        <v>707</v>
      </c>
      <c r="K447" s="9" t="s">
        <v>38</v>
      </c>
      <c r="L447" s="11">
        <v>1</v>
      </c>
      <c r="M447" s="14">
        <v>18000.0</v>
      </c>
      <c r="N447" s="14"/>
      <c r="O447" s="16">
        <f>IF(M447&gt;0, N447/M447, 0)</f>
        <v>0</v>
      </c>
      <c r="P447" s="14">
        <f>M447-N447</f>
        <v>18000</v>
      </c>
      <c r="Q447" s="14">
        <f>L447*M447</f>
        <v>18000</v>
      </c>
      <c r="R447" s="14">
        <f>L447*N447</f>
        <v>0</v>
      </c>
      <c r="S447" s="14">
        <f>L447*P447</f>
        <v>18000</v>
      </c>
      <c r="T447" s="14"/>
      <c r="U447" s="14">
        <f>L447*T447</f>
        <v>0</v>
      </c>
      <c r="V447" s="14">
        <f>S447-U447</f>
        <v>18000</v>
      </c>
      <c r="W447" s="16">
        <f>IF(S447&gt;0, V447/S447, 0)</f>
        <v>1</v>
      </c>
      <c r="X447" s="7" t="s">
        <v>39</v>
      </c>
      <c r="Y447" s="9" t="s">
        <v>40</v>
      </c>
      <c r="Z447" s="9" t="s">
        <v>41</v>
      </c>
      <c r="AA447" s="9" t="s">
        <v>42</v>
      </c>
      <c r="AB447" s="7" t="s">
        <v>42</v>
      </c>
    </row>
    <row r="448" spans="1:28">
      <c r="A448" s="8">
        <v>441</v>
      </c>
      <c r="B448" s="8" t="s">
        <v>708</v>
      </c>
      <c r="C448" s="8" t="s">
        <v>698</v>
      </c>
      <c r="D448" s="8" t="s">
        <v>652</v>
      </c>
      <c r="E448" s="8" t="s">
        <v>33</v>
      </c>
      <c r="F448" s="6" t="s">
        <v>34</v>
      </c>
      <c r="G448" s="6" t="s">
        <v>51</v>
      </c>
      <c r="H448" s="6" t="s">
        <v>51</v>
      </c>
      <c r="I448" s="8">
        <v>140</v>
      </c>
      <c r="J448" s="8" t="s">
        <v>680</v>
      </c>
      <c r="K448" s="8" t="s">
        <v>38</v>
      </c>
      <c r="L448" s="10">
        <v>1</v>
      </c>
      <c r="M448" s="13">
        <v>8000.0</v>
      </c>
      <c r="N448" s="13"/>
      <c r="O448" s="15">
        <f>IF(M448&gt;0, N448/M448, 0)</f>
        <v>0</v>
      </c>
      <c r="P448" s="13">
        <f>M448-N448</f>
        <v>8000</v>
      </c>
      <c r="Q448" s="13">
        <f>L448*M448</f>
        <v>8000</v>
      </c>
      <c r="R448" s="13">
        <f>L448*N448</f>
        <v>0</v>
      </c>
      <c r="S448" s="13">
        <f>L448*P448</f>
        <v>8000</v>
      </c>
      <c r="T448" s="13"/>
      <c r="U448" s="13">
        <f>L448*T448</f>
        <v>0</v>
      </c>
      <c r="V448" s="13">
        <f>S448-U448</f>
        <v>8000</v>
      </c>
      <c r="W448" s="15">
        <f>IF(S448&gt;0, V448/S448, 0)</f>
        <v>1</v>
      </c>
      <c r="X448" s="6" t="s">
        <v>39</v>
      </c>
      <c r="Y448" s="8" t="s">
        <v>40</v>
      </c>
      <c r="Z448" s="8" t="s">
        <v>41</v>
      </c>
      <c r="AA448" s="8" t="s">
        <v>42</v>
      </c>
      <c r="AB448" s="6" t="s">
        <v>42</v>
      </c>
    </row>
    <row r="449" spans="1:28">
      <c r="A449" s="9">
        <v>442</v>
      </c>
      <c r="B449" s="9" t="s">
        <v>709</v>
      </c>
      <c r="C449" s="9" t="s">
        <v>698</v>
      </c>
      <c r="D449" s="9" t="s">
        <v>652</v>
      </c>
      <c r="E449" s="9" t="s">
        <v>33</v>
      </c>
      <c r="F449" s="7" t="s">
        <v>34</v>
      </c>
      <c r="G449" s="7" t="s">
        <v>35</v>
      </c>
      <c r="H449" s="7" t="s">
        <v>73</v>
      </c>
      <c r="I449" s="9">
        <v>140</v>
      </c>
      <c r="J449" s="9" t="s">
        <v>710</v>
      </c>
      <c r="K449" s="9" t="s">
        <v>38</v>
      </c>
      <c r="L449" s="11">
        <v>2</v>
      </c>
      <c r="M449" s="14">
        <v>8000.0</v>
      </c>
      <c r="N449" s="14"/>
      <c r="O449" s="16">
        <f>IF(M449&gt;0, N449/M449, 0)</f>
        <v>0</v>
      </c>
      <c r="P449" s="14">
        <f>M449-N449</f>
        <v>8000</v>
      </c>
      <c r="Q449" s="14">
        <f>L449*M449</f>
        <v>16000</v>
      </c>
      <c r="R449" s="14">
        <f>L449*N449</f>
        <v>0</v>
      </c>
      <c r="S449" s="14">
        <f>L449*P449</f>
        <v>16000</v>
      </c>
      <c r="T449" s="14"/>
      <c r="U449" s="14">
        <f>L449*T449</f>
        <v>0</v>
      </c>
      <c r="V449" s="14">
        <f>S449-U449</f>
        <v>16000</v>
      </c>
      <c r="W449" s="16">
        <f>IF(S449&gt;0, V449/S449, 0)</f>
        <v>1</v>
      </c>
      <c r="X449" s="7" t="s">
        <v>39</v>
      </c>
      <c r="Y449" s="9" t="s">
        <v>40</v>
      </c>
      <c r="Z449" s="9" t="s">
        <v>41</v>
      </c>
      <c r="AA449" s="9" t="s">
        <v>42</v>
      </c>
      <c r="AB449" s="7" t="s">
        <v>42</v>
      </c>
    </row>
    <row r="450" spans="1:28">
      <c r="A450" s="8">
        <v>443</v>
      </c>
      <c r="B450" s="8" t="s">
        <v>711</v>
      </c>
      <c r="C450" s="8" t="s">
        <v>698</v>
      </c>
      <c r="D450" s="8" t="s">
        <v>652</v>
      </c>
      <c r="E450" s="8" t="s">
        <v>33</v>
      </c>
      <c r="F450" s="6" t="s">
        <v>50</v>
      </c>
      <c r="G450" s="6" t="s">
        <v>35</v>
      </c>
      <c r="H450" s="6" t="s">
        <v>36</v>
      </c>
      <c r="I450" s="8">
        <v>140</v>
      </c>
      <c r="J450" s="8" t="s">
        <v>223</v>
      </c>
      <c r="K450" s="8" t="s">
        <v>53</v>
      </c>
      <c r="L450" s="10">
        <v>1</v>
      </c>
      <c r="M450" s="13">
        <v>14000.0</v>
      </c>
      <c r="N450" s="13"/>
      <c r="O450" s="15">
        <f>IF(M450&gt;0, N450/M450, 0)</f>
        <v>0</v>
      </c>
      <c r="P450" s="13">
        <f>M450-N450</f>
        <v>14000</v>
      </c>
      <c r="Q450" s="13">
        <f>L450*M450</f>
        <v>14000</v>
      </c>
      <c r="R450" s="13">
        <f>L450*N450</f>
        <v>0</v>
      </c>
      <c r="S450" s="13">
        <f>L450*P450</f>
        <v>14000</v>
      </c>
      <c r="T450" s="13"/>
      <c r="U450" s="13">
        <f>L450*T450</f>
        <v>0</v>
      </c>
      <c r="V450" s="13">
        <f>S450-U450</f>
        <v>14000</v>
      </c>
      <c r="W450" s="15">
        <f>IF(S450&gt;0, V450/S450, 0)</f>
        <v>1</v>
      </c>
      <c r="X450" s="6" t="s">
        <v>39</v>
      </c>
      <c r="Y450" s="8" t="s">
        <v>40</v>
      </c>
      <c r="Z450" s="8" t="s">
        <v>41</v>
      </c>
      <c r="AA450" s="8" t="s">
        <v>42</v>
      </c>
      <c r="AB450" s="6" t="s">
        <v>42</v>
      </c>
    </row>
    <row r="451" spans="1:28">
      <c r="A451" s="9">
        <v>444</v>
      </c>
      <c r="B451" s="9" t="s">
        <v>712</v>
      </c>
      <c r="C451" s="9" t="s">
        <v>698</v>
      </c>
      <c r="D451" s="9" t="s">
        <v>652</v>
      </c>
      <c r="E451" s="9" t="s">
        <v>33</v>
      </c>
      <c r="F451" s="7" t="s">
        <v>50</v>
      </c>
      <c r="G451" s="7" t="s">
        <v>51</v>
      </c>
      <c r="H451" s="7" t="s">
        <v>51</v>
      </c>
      <c r="I451" s="9">
        <v>110</v>
      </c>
      <c r="J451" s="9" t="s">
        <v>230</v>
      </c>
      <c r="K451" s="9" t="s">
        <v>53</v>
      </c>
      <c r="L451" s="11">
        <v>1</v>
      </c>
      <c r="M451" s="14">
        <v>8000.0</v>
      </c>
      <c r="N451" s="14"/>
      <c r="O451" s="16">
        <f>IF(M451&gt;0, N451/M451, 0)</f>
        <v>0</v>
      </c>
      <c r="P451" s="14">
        <f>M451-N451</f>
        <v>8000</v>
      </c>
      <c r="Q451" s="14">
        <f>L451*M451</f>
        <v>8000</v>
      </c>
      <c r="R451" s="14">
        <f>L451*N451</f>
        <v>0</v>
      </c>
      <c r="S451" s="14">
        <f>L451*P451</f>
        <v>8000</v>
      </c>
      <c r="T451" s="14"/>
      <c r="U451" s="14">
        <f>L451*T451</f>
        <v>0</v>
      </c>
      <c r="V451" s="14">
        <f>S451-U451</f>
        <v>8000</v>
      </c>
      <c r="W451" s="16">
        <f>IF(S451&gt;0, V451/S451, 0)</f>
        <v>1</v>
      </c>
      <c r="X451" s="7" t="s">
        <v>39</v>
      </c>
      <c r="Y451" s="9" t="s">
        <v>40</v>
      </c>
      <c r="Z451" s="9" t="s">
        <v>41</v>
      </c>
      <c r="AA451" s="9" t="s">
        <v>42</v>
      </c>
      <c r="AB451" s="7" t="s">
        <v>42</v>
      </c>
    </row>
    <row r="452" spans="1:28">
      <c r="A452" s="8">
        <v>445</v>
      </c>
      <c r="B452" s="8" t="s">
        <v>713</v>
      </c>
      <c r="C452" s="8" t="s">
        <v>698</v>
      </c>
      <c r="D452" s="8" t="s">
        <v>652</v>
      </c>
      <c r="E452" s="8" t="s">
        <v>33</v>
      </c>
      <c r="F452" s="6" t="s">
        <v>50</v>
      </c>
      <c r="G452" s="6" t="s">
        <v>35</v>
      </c>
      <c r="H452" s="6" t="s">
        <v>36</v>
      </c>
      <c r="I452" s="8">
        <v>116</v>
      </c>
      <c r="J452" s="8" t="s">
        <v>92</v>
      </c>
      <c r="K452" s="8" t="s">
        <v>53</v>
      </c>
      <c r="L452" s="10">
        <v>1</v>
      </c>
      <c r="M452" s="13">
        <v>7000.0</v>
      </c>
      <c r="N452" s="13"/>
      <c r="O452" s="15">
        <f>IF(M452&gt;0, N452/M452, 0)</f>
        <v>0</v>
      </c>
      <c r="P452" s="13">
        <f>M452-N452</f>
        <v>7000</v>
      </c>
      <c r="Q452" s="13">
        <f>L452*M452</f>
        <v>7000</v>
      </c>
      <c r="R452" s="13">
        <f>L452*N452</f>
        <v>0</v>
      </c>
      <c r="S452" s="13">
        <f>L452*P452</f>
        <v>7000</v>
      </c>
      <c r="T452" s="13"/>
      <c r="U452" s="13">
        <f>L452*T452</f>
        <v>0</v>
      </c>
      <c r="V452" s="13">
        <f>S452-U452</f>
        <v>7000</v>
      </c>
      <c r="W452" s="15">
        <f>IF(S452&gt;0, V452/S452, 0)</f>
        <v>1</v>
      </c>
      <c r="X452" s="6" t="s">
        <v>39</v>
      </c>
      <c r="Y452" s="8" t="s">
        <v>40</v>
      </c>
      <c r="Z452" s="8" t="s">
        <v>41</v>
      </c>
      <c r="AA452" s="8" t="s">
        <v>42</v>
      </c>
      <c r="AB452" s="6" t="s">
        <v>42</v>
      </c>
    </row>
    <row r="453" spans="1:28">
      <c r="A453" s="9">
        <v>446</v>
      </c>
      <c r="B453" s="9" t="s">
        <v>714</v>
      </c>
      <c r="C453" s="9" t="s">
        <v>698</v>
      </c>
      <c r="D453" s="9" t="s">
        <v>652</v>
      </c>
      <c r="E453" s="9" t="s">
        <v>33</v>
      </c>
      <c r="F453" s="7" t="s">
        <v>50</v>
      </c>
      <c r="G453" s="7" t="s">
        <v>35</v>
      </c>
      <c r="H453" s="7" t="s">
        <v>73</v>
      </c>
      <c r="I453" s="9">
        <v>170</v>
      </c>
      <c r="J453" s="9" t="s">
        <v>645</v>
      </c>
      <c r="K453" s="9" t="s">
        <v>53</v>
      </c>
      <c r="L453" s="11">
        <v>2</v>
      </c>
      <c r="M453" s="14">
        <v>9000.0</v>
      </c>
      <c r="N453" s="14"/>
      <c r="O453" s="16">
        <f>IF(M453&gt;0, N453/M453, 0)</f>
        <v>0</v>
      </c>
      <c r="P453" s="14">
        <f>M453-N453</f>
        <v>9000</v>
      </c>
      <c r="Q453" s="14">
        <f>L453*M453</f>
        <v>18000</v>
      </c>
      <c r="R453" s="14">
        <f>L453*N453</f>
        <v>0</v>
      </c>
      <c r="S453" s="14">
        <f>L453*P453</f>
        <v>18000</v>
      </c>
      <c r="T453" s="14"/>
      <c r="U453" s="14">
        <f>L453*T453</f>
        <v>0</v>
      </c>
      <c r="V453" s="14">
        <f>S453-U453</f>
        <v>18000</v>
      </c>
      <c r="W453" s="16">
        <f>IF(S453&gt;0, V453/S453, 0)</f>
        <v>1</v>
      </c>
      <c r="X453" s="7" t="s">
        <v>39</v>
      </c>
      <c r="Y453" s="9" t="s">
        <v>40</v>
      </c>
      <c r="Z453" s="9" t="s">
        <v>41</v>
      </c>
      <c r="AA453" s="9" t="s">
        <v>42</v>
      </c>
      <c r="AB453" s="7" t="s">
        <v>42</v>
      </c>
    </row>
    <row r="454" spans="1:28">
      <c r="A454" s="8">
        <v>447</v>
      </c>
      <c r="B454" s="8" t="s">
        <v>715</v>
      </c>
      <c r="C454" s="8" t="s">
        <v>698</v>
      </c>
      <c r="D454" s="8" t="s">
        <v>652</v>
      </c>
      <c r="E454" s="8" t="s">
        <v>33</v>
      </c>
      <c r="F454" s="6" t="s">
        <v>50</v>
      </c>
      <c r="G454" s="6" t="s">
        <v>35</v>
      </c>
      <c r="H454" s="6" t="s">
        <v>36</v>
      </c>
      <c r="I454" s="8">
        <v>170</v>
      </c>
      <c r="J454" s="8" t="s">
        <v>642</v>
      </c>
      <c r="K454" s="8" t="s">
        <v>53</v>
      </c>
      <c r="L454" s="10">
        <v>2</v>
      </c>
      <c r="M454" s="13">
        <v>8000.0</v>
      </c>
      <c r="N454" s="13"/>
      <c r="O454" s="15">
        <f>IF(M454&gt;0, N454/M454, 0)</f>
        <v>0</v>
      </c>
      <c r="P454" s="13">
        <f>M454-N454</f>
        <v>8000</v>
      </c>
      <c r="Q454" s="13">
        <f>L454*M454</f>
        <v>16000</v>
      </c>
      <c r="R454" s="13">
        <f>L454*N454</f>
        <v>0</v>
      </c>
      <c r="S454" s="13">
        <f>L454*P454</f>
        <v>16000</v>
      </c>
      <c r="T454" s="13"/>
      <c r="U454" s="13">
        <f>L454*T454</f>
        <v>0</v>
      </c>
      <c r="V454" s="13">
        <f>S454-U454</f>
        <v>16000</v>
      </c>
      <c r="W454" s="15">
        <f>IF(S454&gt;0, V454/S454, 0)</f>
        <v>1</v>
      </c>
      <c r="X454" s="6" t="s">
        <v>39</v>
      </c>
      <c r="Y454" s="8" t="s">
        <v>40</v>
      </c>
      <c r="Z454" s="8" t="s">
        <v>41</v>
      </c>
      <c r="AA454" s="8" t="s">
        <v>42</v>
      </c>
      <c r="AB454" s="6" t="s">
        <v>42</v>
      </c>
    </row>
    <row r="455" spans="1:28">
      <c r="A455" s="9">
        <v>448</v>
      </c>
      <c r="B455" s="9" t="s">
        <v>716</v>
      </c>
      <c r="C455" s="9" t="s">
        <v>698</v>
      </c>
      <c r="D455" s="9" t="s">
        <v>652</v>
      </c>
      <c r="E455" s="9" t="s">
        <v>33</v>
      </c>
      <c r="F455" s="7" t="s">
        <v>50</v>
      </c>
      <c r="G455" s="7" t="s">
        <v>63</v>
      </c>
      <c r="H455" s="7" t="s">
        <v>148</v>
      </c>
      <c r="I455" s="9">
        <v>122</v>
      </c>
      <c r="J455" s="9" t="s">
        <v>241</v>
      </c>
      <c r="K455" s="9" t="s">
        <v>38</v>
      </c>
      <c r="L455" s="11">
        <v>1</v>
      </c>
      <c r="M455" s="14">
        <v>9000.0</v>
      </c>
      <c r="N455" s="14"/>
      <c r="O455" s="16">
        <f>IF(M455&gt;0, N455/M455, 0)</f>
        <v>0</v>
      </c>
      <c r="P455" s="14">
        <f>M455-N455</f>
        <v>9000</v>
      </c>
      <c r="Q455" s="14">
        <f>L455*M455</f>
        <v>9000</v>
      </c>
      <c r="R455" s="14">
        <f>L455*N455</f>
        <v>0</v>
      </c>
      <c r="S455" s="14">
        <f>L455*P455</f>
        <v>9000</v>
      </c>
      <c r="T455" s="14"/>
      <c r="U455" s="14">
        <f>L455*T455</f>
        <v>0</v>
      </c>
      <c r="V455" s="14">
        <f>S455-U455</f>
        <v>9000</v>
      </c>
      <c r="W455" s="16">
        <f>IF(S455&gt;0, V455/S455, 0)</f>
        <v>1</v>
      </c>
      <c r="X455" s="7" t="s">
        <v>39</v>
      </c>
      <c r="Y455" s="9" t="s">
        <v>40</v>
      </c>
      <c r="Z455" s="9" t="s">
        <v>41</v>
      </c>
      <c r="AA455" s="9" t="s">
        <v>42</v>
      </c>
      <c r="AB455" s="7" t="s">
        <v>42</v>
      </c>
    </row>
    <row r="456" spans="1:28">
      <c r="A456" s="8">
        <v>449</v>
      </c>
      <c r="B456" s="8" t="s">
        <v>717</v>
      </c>
      <c r="C456" s="8" t="s">
        <v>698</v>
      </c>
      <c r="D456" s="8" t="s">
        <v>652</v>
      </c>
      <c r="E456" s="8" t="s">
        <v>33</v>
      </c>
      <c r="F456" s="6" t="s">
        <v>50</v>
      </c>
      <c r="G456" s="6" t="s">
        <v>51</v>
      </c>
      <c r="H456" s="6" t="s">
        <v>51</v>
      </c>
      <c r="I456" s="8">
        <v>128</v>
      </c>
      <c r="J456" s="8" t="s">
        <v>390</v>
      </c>
      <c r="K456" s="8" t="s">
        <v>53</v>
      </c>
      <c r="L456" s="10">
        <v>1</v>
      </c>
      <c r="M456" s="13">
        <v>8000.0</v>
      </c>
      <c r="N456" s="13"/>
      <c r="O456" s="15">
        <f>IF(M456&gt;0, N456/M456, 0)</f>
        <v>0</v>
      </c>
      <c r="P456" s="13">
        <f>M456-N456</f>
        <v>8000</v>
      </c>
      <c r="Q456" s="13">
        <f>L456*M456</f>
        <v>8000</v>
      </c>
      <c r="R456" s="13">
        <f>L456*N456</f>
        <v>0</v>
      </c>
      <c r="S456" s="13">
        <f>L456*P456</f>
        <v>8000</v>
      </c>
      <c r="T456" s="13"/>
      <c r="U456" s="13">
        <f>L456*T456</f>
        <v>0</v>
      </c>
      <c r="V456" s="13">
        <f>S456-U456</f>
        <v>8000</v>
      </c>
      <c r="W456" s="15">
        <f>IF(S456&gt;0, V456/S456, 0)</f>
        <v>1</v>
      </c>
      <c r="X456" s="6" t="s">
        <v>39</v>
      </c>
      <c r="Y456" s="8" t="s">
        <v>40</v>
      </c>
      <c r="Z456" s="8" t="s">
        <v>41</v>
      </c>
      <c r="AA456" s="8" t="s">
        <v>42</v>
      </c>
      <c r="AB456" s="6" t="s">
        <v>42</v>
      </c>
    </row>
    <row r="457" spans="1:28">
      <c r="A457" s="9">
        <v>450</v>
      </c>
      <c r="B457" s="9" t="s">
        <v>718</v>
      </c>
      <c r="C457" s="9" t="s">
        <v>698</v>
      </c>
      <c r="D457" s="9" t="s">
        <v>652</v>
      </c>
      <c r="E457" s="9" t="s">
        <v>68</v>
      </c>
      <c r="F457" s="7" t="s">
        <v>50</v>
      </c>
      <c r="G457" s="7" t="s">
        <v>35</v>
      </c>
      <c r="H457" s="7" t="s">
        <v>73</v>
      </c>
      <c r="I457" s="9">
        <v>128</v>
      </c>
      <c r="J457" s="9" t="s">
        <v>185</v>
      </c>
      <c r="K457" s="9" t="s">
        <v>53</v>
      </c>
      <c r="L457" s="11">
        <v>1</v>
      </c>
      <c r="M457" s="14">
        <v>10000.0</v>
      </c>
      <c r="N457" s="14"/>
      <c r="O457" s="16">
        <f>IF(M457&gt;0, N457/M457, 0)</f>
        <v>0</v>
      </c>
      <c r="P457" s="14">
        <f>M457-N457</f>
        <v>10000</v>
      </c>
      <c r="Q457" s="14">
        <f>L457*M457</f>
        <v>10000</v>
      </c>
      <c r="R457" s="14">
        <f>L457*N457</f>
        <v>0</v>
      </c>
      <c r="S457" s="14">
        <f>L457*P457</f>
        <v>10000</v>
      </c>
      <c r="T457" s="14"/>
      <c r="U457" s="14">
        <f>L457*T457</f>
        <v>0</v>
      </c>
      <c r="V457" s="14">
        <f>S457-U457</f>
        <v>10000</v>
      </c>
      <c r="W457" s="16">
        <f>IF(S457&gt;0, V457/S457, 0)</f>
        <v>1</v>
      </c>
      <c r="X457" s="7" t="s">
        <v>39</v>
      </c>
      <c r="Y457" s="9" t="s">
        <v>40</v>
      </c>
      <c r="Z457" s="9" t="s">
        <v>71</v>
      </c>
      <c r="AA457" s="9" t="s">
        <v>42</v>
      </c>
      <c r="AB457" s="7" t="s">
        <v>42</v>
      </c>
    </row>
    <row r="458" spans="1:28">
      <c r="A458" s="8">
        <v>451</v>
      </c>
      <c r="B458" s="8" t="s">
        <v>719</v>
      </c>
      <c r="C458" s="8" t="s">
        <v>698</v>
      </c>
      <c r="D458" s="8" t="s">
        <v>652</v>
      </c>
      <c r="E458" s="8" t="s">
        <v>33</v>
      </c>
      <c r="F458" s="6" t="s">
        <v>34</v>
      </c>
      <c r="G458" s="6" t="s">
        <v>35</v>
      </c>
      <c r="H458" s="6" t="s">
        <v>73</v>
      </c>
      <c r="I458" s="8">
        <v>128</v>
      </c>
      <c r="J458" s="8" t="s">
        <v>720</v>
      </c>
      <c r="K458" s="8" t="s">
        <v>38</v>
      </c>
      <c r="L458" s="10">
        <v>3</v>
      </c>
      <c r="M458" s="13">
        <v>8000.0</v>
      </c>
      <c r="N458" s="13"/>
      <c r="O458" s="15">
        <f>IF(M458&gt;0, N458/M458, 0)</f>
        <v>0</v>
      </c>
      <c r="P458" s="13">
        <f>M458-N458</f>
        <v>8000</v>
      </c>
      <c r="Q458" s="13">
        <f>L458*M458</f>
        <v>24000</v>
      </c>
      <c r="R458" s="13">
        <f>L458*N458</f>
        <v>0</v>
      </c>
      <c r="S458" s="13">
        <f>L458*P458</f>
        <v>24000</v>
      </c>
      <c r="T458" s="13"/>
      <c r="U458" s="13">
        <f>L458*T458</f>
        <v>0</v>
      </c>
      <c r="V458" s="13">
        <f>S458-U458</f>
        <v>24000</v>
      </c>
      <c r="W458" s="15">
        <f>IF(S458&gt;0, V458/S458, 0)</f>
        <v>1</v>
      </c>
      <c r="X458" s="6" t="s">
        <v>39</v>
      </c>
      <c r="Y458" s="8" t="s">
        <v>40</v>
      </c>
      <c r="Z458" s="8" t="s">
        <v>41</v>
      </c>
      <c r="AA458" s="8" t="s">
        <v>42</v>
      </c>
      <c r="AB458" s="6" t="s">
        <v>42</v>
      </c>
    </row>
    <row r="459" spans="1:28">
      <c r="A459" s="9">
        <v>452</v>
      </c>
      <c r="B459" s="9" t="s">
        <v>721</v>
      </c>
      <c r="C459" s="9" t="s">
        <v>698</v>
      </c>
      <c r="D459" s="9" t="s">
        <v>652</v>
      </c>
      <c r="E459" s="9" t="s">
        <v>33</v>
      </c>
      <c r="F459" s="7" t="s">
        <v>34</v>
      </c>
      <c r="G459" s="7" t="s">
        <v>35</v>
      </c>
      <c r="H459" s="7" t="s">
        <v>36</v>
      </c>
      <c r="I459" s="9">
        <v>134</v>
      </c>
      <c r="J459" s="9" t="s">
        <v>722</v>
      </c>
      <c r="K459" s="9" t="s">
        <v>38</v>
      </c>
      <c r="L459" s="11">
        <v>4</v>
      </c>
      <c r="M459" s="14">
        <v>7000.0</v>
      </c>
      <c r="N459" s="14"/>
      <c r="O459" s="16">
        <f>IF(M459&gt;0, N459/M459, 0)</f>
        <v>0</v>
      </c>
      <c r="P459" s="14">
        <f>M459-N459</f>
        <v>7000</v>
      </c>
      <c r="Q459" s="14">
        <f>L459*M459</f>
        <v>28000</v>
      </c>
      <c r="R459" s="14">
        <f>L459*N459</f>
        <v>0</v>
      </c>
      <c r="S459" s="14">
        <f>L459*P459</f>
        <v>28000</v>
      </c>
      <c r="T459" s="14"/>
      <c r="U459" s="14">
        <f>L459*T459</f>
        <v>0</v>
      </c>
      <c r="V459" s="14">
        <f>S459-U459</f>
        <v>28000</v>
      </c>
      <c r="W459" s="16">
        <f>IF(S459&gt;0, V459/S459, 0)</f>
        <v>1</v>
      </c>
      <c r="X459" s="7" t="s">
        <v>39</v>
      </c>
      <c r="Y459" s="9" t="s">
        <v>40</v>
      </c>
      <c r="Z459" s="9" t="s">
        <v>41</v>
      </c>
      <c r="AA459" s="9" t="s">
        <v>42</v>
      </c>
      <c r="AB459" s="7" t="s">
        <v>42</v>
      </c>
    </row>
    <row r="460" spans="1:28">
      <c r="A460" s="8">
        <v>453</v>
      </c>
      <c r="B460" s="8" t="s">
        <v>723</v>
      </c>
      <c r="C460" s="8" t="s">
        <v>698</v>
      </c>
      <c r="D460" s="8" t="s">
        <v>652</v>
      </c>
      <c r="E460" s="8" t="s">
        <v>33</v>
      </c>
      <c r="F460" s="6" t="s">
        <v>34</v>
      </c>
      <c r="G460" s="6" t="s">
        <v>51</v>
      </c>
      <c r="H460" s="6" t="s">
        <v>51</v>
      </c>
      <c r="I460" s="8">
        <v>128</v>
      </c>
      <c r="J460" s="8" t="s">
        <v>724</v>
      </c>
      <c r="K460" s="8" t="s">
        <v>38</v>
      </c>
      <c r="L460" s="10">
        <v>1</v>
      </c>
      <c r="M460" s="13">
        <v>8000.0</v>
      </c>
      <c r="N460" s="13"/>
      <c r="O460" s="15">
        <f>IF(M460&gt;0, N460/M460, 0)</f>
        <v>0</v>
      </c>
      <c r="P460" s="13">
        <f>M460-N460</f>
        <v>8000</v>
      </c>
      <c r="Q460" s="13">
        <f>L460*M460</f>
        <v>8000</v>
      </c>
      <c r="R460" s="13">
        <f>L460*N460</f>
        <v>0</v>
      </c>
      <c r="S460" s="13">
        <f>L460*P460</f>
        <v>8000</v>
      </c>
      <c r="T460" s="13"/>
      <c r="U460" s="13">
        <f>L460*T460</f>
        <v>0</v>
      </c>
      <c r="V460" s="13">
        <f>S460-U460</f>
        <v>8000</v>
      </c>
      <c r="W460" s="15">
        <f>IF(S460&gt;0, V460/S460, 0)</f>
        <v>1</v>
      </c>
      <c r="X460" s="6" t="s">
        <v>39</v>
      </c>
      <c r="Y460" s="8" t="s">
        <v>40</v>
      </c>
      <c r="Z460" s="8" t="s">
        <v>41</v>
      </c>
      <c r="AA460" s="8" t="s">
        <v>42</v>
      </c>
      <c r="AB460" s="6" t="s">
        <v>42</v>
      </c>
    </row>
    <row r="461" spans="1:28">
      <c r="A461" s="9">
        <v>454</v>
      </c>
      <c r="B461" s="9" t="s">
        <v>725</v>
      </c>
      <c r="C461" s="9" t="s">
        <v>698</v>
      </c>
      <c r="D461" s="9" t="s">
        <v>652</v>
      </c>
      <c r="E461" s="9" t="s">
        <v>33</v>
      </c>
      <c r="F461" s="7" t="s">
        <v>34</v>
      </c>
      <c r="G461" s="7" t="s">
        <v>35</v>
      </c>
      <c r="H461" s="7" t="s">
        <v>36</v>
      </c>
      <c r="I461" s="9">
        <v>152</v>
      </c>
      <c r="J461" s="9" t="s">
        <v>726</v>
      </c>
      <c r="K461" s="9" t="s">
        <v>38</v>
      </c>
      <c r="L461" s="11">
        <v>1</v>
      </c>
      <c r="M461" s="14">
        <v>7000.0</v>
      </c>
      <c r="N461" s="14"/>
      <c r="O461" s="16">
        <f>IF(M461&gt;0, N461/M461, 0)</f>
        <v>0</v>
      </c>
      <c r="P461" s="14">
        <f>M461-N461</f>
        <v>7000</v>
      </c>
      <c r="Q461" s="14">
        <f>L461*M461</f>
        <v>7000</v>
      </c>
      <c r="R461" s="14">
        <f>L461*N461</f>
        <v>0</v>
      </c>
      <c r="S461" s="14">
        <f>L461*P461</f>
        <v>7000</v>
      </c>
      <c r="T461" s="14"/>
      <c r="U461" s="14">
        <f>L461*T461</f>
        <v>0</v>
      </c>
      <c r="V461" s="14">
        <f>S461-U461</f>
        <v>7000</v>
      </c>
      <c r="W461" s="16">
        <f>IF(S461&gt;0, V461/S461, 0)</f>
        <v>1</v>
      </c>
      <c r="X461" s="7" t="s">
        <v>39</v>
      </c>
      <c r="Y461" s="9" t="s">
        <v>40</v>
      </c>
      <c r="Z461" s="9" t="s">
        <v>41</v>
      </c>
      <c r="AA461" s="9" t="s">
        <v>42</v>
      </c>
      <c r="AB461" s="7" t="s">
        <v>42</v>
      </c>
    </row>
    <row r="462" spans="1:28">
      <c r="A462" s="8">
        <v>455</v>
      </c>
      <c r="B462" s="8" t="s">
        <v>727</v>
      </c>
      <c r="C462" s="8" t="s">
        <v>698</v>
      </c>
      <c r="D462" s="8" t="s">
        <v>652</v>
      </c>
      <c r="E462" s="8" t="s">
        <v>33</v>
      </c>
      <c r="F462" s="6" t="s">
        <v>34</v>
      </c>
      <c r="G462" s="6" t="s">
        <v>35</v>
      </c>
      <c r="H462" s="6" t="s">
        <v>36</v>
      </c>
      <c r="I462" s="8">
        <v>134</v>
      </c>
      <c r="J462" s="8" t="s">
        <v>722</v>
      </c>
      <c r="K462" s="8" t="s">
        <v>38</v>
      </c>
      <c r="L462" s="10">
        <v>4</v>
      </c>
      <c r="M462" s="13">
        <v>7000.0</v>
      </c>
      <c r="N462" s="13"/>
      <c r="O462" s="15">
        <f>IF(M462&gt;0, N462/M462, 0)</f>
        <v>0</v>
      </c>
      <c r="P462" s="13">
        <f>M462-N462</f>
        <v>7000</v>
      </c>
      <c r="Q462" s="13">
        <f>L462*M462</f>
        <v>28000</v>
      </c>
      <c r="R462" s="13">
        <f>L462*N462</f>
        <v>0</v>
      </c>
      <c r="S462" s="13">
        <f>L462*P462</f>
        <v>28000</v>
      </c>
      <c r="T462" s="13"/>
      <c r="U462" s="13">
        <f>L462*T462</f>
        <v>0</v>
      </c>
      <c r="V462" s="13">
        <f>S462-U462</f>
        <v>28000</v>
      </c>
      <c r="W462" s="15">
        <f>IF(S462&gt;0, V462/S462, 0)</f>
        <v>1</v>
      </c>
      <c r="X462" s="6" t="s">
        <v>39</v>
      </c>
      <c r="Y462" s="8" t="s">
        <v>40</v>
      </c>
      <c r="Z462" s="8" t="s">
        <v>41</v>
      </c>
      <c r="AA462" s="8" t="s">
        <v>42</v>
      </c>
      <c r="AB462" s="6" t="s">
        <v>42</v>
      </c>
    </row>
    <row r="463" spans="1:28">
      <c r="A463" s="9">
        <v>456</v>
      </c>
      <c r="B463" s="9" t="s">
        <v>728</v>
      </c>
      <c r="C463" s="9" t="s">
        <v>698</v>
      </c>
      <c r="D463" s="9" t="s">
        <v>652</v>
      </c>
      <c r="E463" s="9" t="s">
        <v>33</v>
      </c>
      <c r="F463" s="7" t="s">
        <v>34</v>
      </c>
      <c r="G463" s="7" t="s">
        <v>51</v>
      </c>
      <c r="H463" s="7" t="s">
        <v>51</v>
      </c>
      <c r="I463" s="9">
        <v>128</v>
      </c>
      <c r="J463" s="9" t="s">
        <v>724</v>
      </c>
      <c r="K463" s="9" t="s">
        <v>38</v>
      </c>
      <c r="L463" s="11">
        <v>1</v>
      </c>
      <c r="M463" s="14">
        <v>8000.0</v>
      </c>
      <c r="N463" s="14"/>
      <c r="O463" s="16">
        <f>IF(M463&gt;0, N463/M463, 0)</f>
        <v>0</v>
      </c>
      <c r="P463" s="14">
        <f>M463-N463</f>
        <v>8000</v>
      </c>
      <c r="Q463" s="14">
        <f>L463*M463</f>
        <v>8000</v>
      </c>
      <c r="R463" s="14">
        <f>L463*N463</f>
        <v>0</v>
      </c>
      <c r="S463" s="14">
        <f>L463*P463</f>
        <v>8000</v>
      </c>
      <c r="T463" s="14"/>
      <c r="U463" s="14">
        <f>L463*T463</f>
        <v>0</v>
      </c>
      <c r="V463" s="14">
        <f>S463-U463</f>
        <v>8000</v>
      </c>
      <c r="W463" s="16">
        <f>IF(S463&gt;0, V463/S463, 0)</f>
        <v>1</v>
      </c>
      <c r="X463" s="7" t="s">
        <v>39</v>
      </c>
      <c r="Y463" s="9" t="s">
        <v>40</v>
      </c>
      <c r="Z463" s="9" t="s">
        <v>41</v>
      </c>
      <c r="AA463" s="9" t="s">
        <v>42</v>
      </c>
      <c r="AB463" s="7" t="s">
        <v>42</v>
      </c>
    </row>
    <row r="464" spans="1:28">
      <c r="A464" s="8">
        <v>457</v>
      </c>
      <c r="B464" s="8" t="s">
        <v>729</v>
      </c>
      <c r="C464" s="8" t="s">
        <v>698</v>
      </c>
      <c r="D464" s="8" t="s">
        <v>652</v>
      </c>
      <c r="E464" s="8" t="s">
        <v>33</v>
      </c>
      <c r="F464" s="6" t="s">
        <v>34</v>
      </c>
      <c r="G464" s="6" t="s">
        <v>35</v>
      </c>
      <c r="H464" s="6" t="s">
        <v>36</v>
      </c>
      <c r="I464" s="8">
        <v>152</v>
      </c>
      <c r="J464" s="8" t="s">
        <v>726</v>
      </c>
      <c r="K464" s="8" t="s">
        <v>38</v>
      </c>
      <c r="L464" s="10">
        <v>1</v>
      </c>
      <c r="M464" s="13">
        <v>7000.0</v>
      </c>
      <c r="N464" s="13"/>
      <c r="O464" s="15">
        <f>IF(M464&gt;0, N464/M464, 0)</f>
        <v>0</v>
      </c>
      <c r="P464" s="13">
        <f>M464-N464</f>
        <v>7000</v>
      </c>
      <c r="Q464" s="13">
        <f>L464*M464</f>
        <v>7000</v>
      </c>
      <c r="R464" s="13">
        <f>L464*N464</f>
        <v>0</v>
      </c>
      <c r="S464" s="13">
        <f>L464*P464</f>
        <v>7000</v>
      </c>
      <c r="T464" s="13"/>
      <c r="U464" s="13">
        <f>L464*T464</f>
        <v>0</v>
      </c>
      <c r="V464" s="13">
        <f>S464-U464</f>
        <v>7000</v>
      </c>
      <c r="W464" s="15">
        <f>IF(S464&gt;0, V464/S464, 0)</f>
        <v>1</v>
      </c>
      <c r="X464" s="6" t="s">
        <v>39</v>
      </c>
      <c r="Y464" s="8" t="s">
        <v>40</v>
      </c>
      <c r="Z464" s="8" t="s">
        <v>41</v>
      </c>
      <c r="AA464" s="8" t="s">
        <v>42</v>
      </c>
      <c r="AB464" s="6" t="s">
        <v>42</v>
      </c>
    </row>
    <row r="465" spans="1:28">
      <c r="A465" s="9">
        <v>458</v>
      </c>
      <c r="B465" s="9" t="s">
        <v>730</v>
      </c>
      <c r="C465" s="9" t="s">
        <v>698</v>
      </c>
      <c r="D465" s="9" t="s">
        <v>652</v>
      </c>
      <c r="E465" s="9" t="s">
        <v>33</v>
      </c>
      <c r="F465" s="7" t="s">
        <v>34</v>
      </c>
      <c r="G465" s="7" t="s">
        <v>35</v>
      </c>
      <c r="H465" s="7" t="s">
        <v>36</v>
      </c>
      <c r="I465" s="9">
        <v>146</v>
      </c>
      <c r="J465" s="9" t="s">
        <v>528</v>
      </c>
      <c r="K465" s="9" t="s">
        <v>38</v>
      </c>
      <c r="L465" s="11">
        <v>1</v>
      </c>
      <c r="M465" s="14">
        <v>7000.0</v>
      </c>
      <c r="N465" s="14"/>
      <c r="O465" s="16">
        <f>IF(M465&gt;0, N465/M465, 0)</f>
        <v>0</v>
      </c>
      <c r="P465" s="14">
        <f>M465-N465</f>
        <v>7000</v>
      </c>
      <c r="Q465" s="14">
        <f>L465*M465</f>
        <v>7000</v>
      </c>
      <c r="R465" s="14">
        <f>L465*N465</f>
        <v>0</v>
      </c>
      <c r="S465" s="14">
        <f>L465*P465</f>
        <v>7000</v>
      </c>
      <c r="T465" s="14"/>
      <c r="U465" s="14">
        <f>L465*T465</f>
        <v>0</v>
      </c>
      <c r="V465" s="14">
        <f>S465-U465</f>
        <v>7000</v>
      </c>
      <c r="W465" s="16">
        <f>IF(S465&gt;0, V465/S465, 0)</f>
        <v>1</v>
      </c>
      <c r="X465" s="7" t="s">
        <v>39</v>
      </c>
      <c r="Y465" s="9" t="s">
        <v>40</v>
      </c>
      <c r="Z465" s="9" t="s">
        <v>41</v>
      </c>
      <c r="AA465" s="9" t="s">
        <v>42</v>
      </c>
      <c r="AB465" s="7" t="s">
        <v>42</v>
      </c>
    </row>
    <row r="466" spans="1:28">
      <c r="A466" s="8">
        <v>459</v>
      </c>
      <c r="B466" s="8" t="s">
        <v>731</v>
      </c>
      <c r="C466" s="8" t="s">
        <v>698</v>
      </c>
      <c r="D466" s="8" t="s">
        <v>652</v>
      </c>
      <c r="E466" s="8" t="s">
        <v>33</v>
      </c>
      <c r="F466" s="6" t="s">
        <v>34</v>
      </c>
      <c r="G466" s="6" t="s">
        <v>45</v>
      </c>
      <c r="H466" s="6" t="s">
        <v>46</v>
      </c>
      <c r="I466" s="8">
        <v>146</v>
      </c>
      <c r="J466" s="8" t="s">
        <v>707</v>
      </c>
      <c r="K466" s="8" t="s">
        <v>38</v>
      </c>
      <c r="L466" s="10">
        <v>1</v>
      </c>
      <c r="M466" s="13">
        <v>18000.0</v>
      </c>
      <c r="N466" s="13"/>
      <c r="O466" s="15">
        <f>IF(M466&gt;0, N466/M466, 0)</f>
        <v>0</v>
      </c>
      <c r="P466" s="13">
        <f>M466-N466</f>
        <v>18000</v>
      </c>
      <c r="Q466" s="13">
        <f>L466*M466</f>
        <v>18000</v>
      </c>
      <c r="R466" s="13">
        <f>L466*N466</f>
        <v>0</v>
      </c>
      <c r="S466" s="13">
        <f>L466*P466</f>
        <v>18000</v>
      </c>
      <c r="T466" s="13"/>
      <c r="U466" s="13">
        <f>L466*T466</f>
        <v>0</v>
      </c>
      <c r="V466" s="13">
        <f>S466-U466</f>
        <v>18000</v>
      </c>
      <c r="W466" s="15">
        <f>IF(S466&gt;0, V466/S466, 0)</f>
        <v>1</v>
      </c>
      <c r="X466" s="6" t="s">
        <v>39</v>
      </c>
      <c r="Y466" s="8" t="s">
        <v>40</v>
      </c>
      <c r="Z466" s="8" t="s">
        <v>41</v>
      </c>
      <c r="AA466" s="8" t="s">
        <v>42</v>
      </c>
      <c r="AB466" s="6" t="s">
        <v>42</v>
      </c>
    </row>
    <row r="467" spans="1:28">
      <c r="A467" s="9">
        <v>460</v>
      </c>
      <c r="B467" s="9" t="s">
        <v>732</v>
      </c>
      <c r="C467" s="9" t="s">
        <v>698</v>
      </c>
      <c r="D467" s="9" t="s">
        <v>652</v>
      </c>
      <c r="E467" s="9" t="s">
        <v>33</v>
      </c>
      <c r="F467" s="7" t="s">
        <v>34</v>
      </c>
      <c r="G467" s="7" t="s">
        <v>45</v>
      </c>
      <c r="H467" s="7" t="s">
        <v>46</v>
      </c>
      <c r="I467" s="9">
        <v>152</v>
      </c>
      <c r="J467" s="9" t="s">
        <v>345</v>
      </c>
      <c r="K467" s="9" t="s">
        <v>38</v>
      </c>
      <c r="L467" s="11">
        <v>1</v>
      </c>
      <c r="M467" s="14">
        <v>18000.0</v>
      </c>
      <c r="N467" s="14"/>
      <c r="O467" s="16">
        <f>IF(M467&gt;0, N467/M467, 0)</f>
        <v>0</v>
      </c>
      <c r="P467" s="14">
        <f>M467-N467</f>
        <v>18000</v>
      </c>
      <c r="Q467" s="14">
        <f>L467*M467</f>
        <v>18000</v>
      </c>
      <c r="R467" s="14">
        <f>L467*N467</f>
        <v>0</v>
      </c>
      <c r="S467" s="14">
        <f>L467*P467</f>
        <v>18000</v>
      </c>
      <c r="T467" s="14"/>
      <c r="U467" s="14">
        <f>L467*T467</f>
        <v>0</v>
      </c>
      <c r="V467" s="14">
        <f>S467-U467</f>
        <v>18000</v>
      </c>
      <c r="W467" s="16">
        <f>IF(S467&gt;0, V467/S467, 0)</f>
        <v>1</v>
      </c>
      <c r="X467" s="7" t="s">
        <v>39</v>
      </c>
      <c r="Y467" s="9" t="s">
        <v>40</v>
      </c>
      <c r="Z467" s="9" t="s">
        <v>41</v>
      </c>
      <c r="AA467" s="9" t="s">
        <v>42</v>
      </c>
      <c r="AB467" s="7" t="s">
        <v>42</v>
      </c>
    </row>
    <row r="468" spans="1:28">
      <c r="A468" s="8">
        <v>461</v>
      </c>
      <c r="B468" s="8" t="s">
        <v>733</v>
      </c>
      <c r="C468" s="8" t="s">
        <v>698</v>
      </c>
      <c r="D468" s="8" t="s">
        <v>652</v>
      </c>
      <c r="E468" s="8" t="s">
        <v>68</v>
      </c>
      <c r="F468" s="6" t="s">
        <v>34</v>
      </c>
      <c r="G468" s="6" t="s">
        <v>51</v>
      </c>
      <c r="H468" s="6" t="s">
        <v>51</v>
      </c>
      <c r="I468" s="8">
        <v>194</v>
      </c>
      <c r="J468" s="8" t="s">
        <v>734</v>
      </c>
      <c r="K468" s="8" t="s">
        <v>38</v>
      </c>
      <c r="L468" s="10">
        <v>1</v>
      </c>
      <c r="M468" s="13">
        <v>10000.0</v>
      </c>
      <c r="N468" s="13"/>
      <c r="O468" s="15">
        <f>IF(M468&gt;0, N468/M468, 0)</f>
        <v>0</v>
      </c>
      <c r="P468" s="13">
        <f>M468-N468</f>
        <v>10000</v>
      </c>
      <c r="Q468" s="13">
        <f>L468*M468</f>
        <v>10000</v>
      </c>
      <c r="R468" s="13">
        <f>L468*N468</f>
        <v>0</v>
      </c>
      <c r="S468" s="13">
        <f>L468*P468</f>
        <v>10000</v>
      </c>
      <c r="T468" s="13"/>
      <c r="U468" s="13">
        <f>L468*T468</f>
        <v>0</v>
      </c>
      <c r="V468" s="13">
        <f>S468-U468</f>
        <v>10000</v>
      </c>
      <c r="W468" s="15">
        <f>IF(S468&gt;0, V468/S468, 0)</f>
        <v>1</v>
      </c>
      <c r="X468" s="6" t="s">
        <v>39</v>
      </c>
      <c r="Y468" s="8" t="s">
        <v>40</v>
      </c>
      <c r="Z468" s="8" t="s">
        <v>71</v>
      </c>
      <c r="AA468" s="8" t="s">
        <v>42</v>
      </c>
      <c r="AB468" s="6" t="s">
        <v>42</v>
      </c>
    </row>
    <row r="469" spans="1:28">
      <c r="A469" s="9">
        <v>462</v>
      </c>
      <c r="B469" s="9" t="s">
        <v>735</v>
      </c>
      <c r="C469" s="9" t="s">
        <v>698</v>
      </c>
      <c r="D469" s="9" t="s">
        <v>652</v>
      </c>
      <c r="E469" s="9" t="s">
        <v>33</v>
      </c>
      <c r="F469" s="7" t="s">
        <v>34</v>
      </c>
      <c r="G469" s="7" t="s">
        <v>56</v>
      </c>
      <c r="H469" s="7" t="s">
        <v>56</v>
      </c>
      <c r="I469" s="9">
        <v>176</v>
      </c>
      <c r="J469" s="9" t="s">
        <v>665</v>
      </c>
      <c r="K469" s="9" t="s">
        <v>38</v>
      </c>
      <c r="L469" s="11">
        <v>1</v>
      </c>
      <c r="M469" s="14">
        <v>7500.0</v>
      </c>
      <c r="N469" s="14"/>
      <c r="O469" s="16">
        <f>IF(M469&gt;0, N469/M469, 0)</f>
        <v>0</v>
      </c>
      <c r="P469" s="14">
        <f>M469-N469</f>
        <v>7500</v>
      </c>
      <c r="Q469" s="14">
        <f>L469*M469</f>
        <v>7500</v>
      </c>
      <c r="R469" s="14">
        <f>L469*N469</f>
        <v>0</v>
      </c>
      <c r="S469" s="14">
        <f>L469*P469</f>
        <v>7500</v>
      </c>
      <c r="T469" s="14"/>
      <c r="U469" s="14">
        <f>L469*T469</f>
        <v>0</v>
      </c>
      <c r="V469" s="14">
        <f>S469-U469</f>
        <v>7500</v>
      </c>
      <c r="W469" s="16">
        <f>IF(S469&gt;0, V469/S469, 0)</f>
        <v>1</v>
      </c>
      <c r="X469" s="7" t="s">
        <v>39</v>
      </c>
      <c r="Y469" s="9" t="s">
        <v>40</v>
      </c>
      <c r="Z469" s="9" t="s">
        <v>41</v>
      </c>
      <c r="AA469" s="9" t="s">
        <v>42</v>
      </c>
      <c r="AB469" s="7" t="s">
        <v>42</v>
      </c>
    </row>
    <row r="470" spans="1:28">
      <c r="A470" s="8">
        <v>463</v>
      </c>
      <c r="B470" s="8" t="s">
        <v>736</v>
      </c>
      <c r="C470" s="8" t="s">
        <v>698</v>
      </c>
      <c r="D470" s="8" t="s">
        <v>652</v>
      </c>
      <c r="E470" s="8" t="s">
        <v>33</v>
      </c>
      <c r="F470" s="6" t="s">
        <v>34</v>
      </c>
      <c r="G470" s="6" t="s">
        <v>56</v>
      </c>
      <c r="H470" s="6" t="s">
        <v>56</v>
      </c>
      <c r="I470" s="8">
        <v>182</v>
      </c>
      <c r="J470" s="8" t="s">
        <v>655</v>
      </c>
      <c r="K470" s="8" t="s">
        <v>38</v>
      </c>
      <c r="L470" s="10">
        <v>1</v>
      </c>
      <c r="M470" s="13">
        <v>7500.0</v>
      </c>
      <c r="N470" s="13"/>
      <c r="O470" s="15">
        <f>IF(M470&gt;0, N470/M470, 0)</f>
        <v>0</v>
      </c>
      <c r="P470" s="13">
        <f>M470-N470</f>
        <v>7500</v>
      </c>
      <c r="Q470" s="13">
        <f>L470*M470</f>
        <v>7500</v>
      </c>
      <c r="R470" s="13">
        <f>L470*N470</f>
        <v>0</v>
      </c>
      <c r="S470" s="13">
        <f>L470*P470</f>
        <v>7500</v>
      </c>
      <c r="T470" s="13"/>
      <c r="U470" s="13">
        <f>L470*T470</f>
        <v>0</v>
      </c>
      <c r="V470" s="13">
        <f>S470-U470</f>
        <v>7500</v>
      </c>
      <c r="W470" s="15">
        <f>IF(S470&gt;0, V470/S470, 0)</f>
        <v>1</v>
      </c>
      <c r="X470" s="6" t="s">
        <v>39</v>
      </c>
      <c r="Y470" s="8" t="s">
        <v>40</v>
      </c>
      <c r="Z470" s="8" t="s">
        <v>41</v>
      </c>
      <c r="AA470" s="8" t="s">
        <v>42</v>
      </c>
      <c r="AB470" s="6" t="s">
        <v>42</v>
      </c>
    </row>
    <row r="471" spans="1:28">
      <c r="A471" s="9">
        <v>464</v>
      </c>
      <c r="B471" s="9" t="s">
        <v>737</v>
      </c>
      <c r="C471" s="9" t="s">
        <v>698</v>
      </c>
      <c r="D471" s="9" t="s">
        <v>652</v>
      </c>
      <c r="E471" s="9" t="s">
        <v>33</v>
      </c>
      <c r="F471" s="7" t="s">
        <v>34</v>
      </c>
      <c r="G471" s="7" t="s">
        <v>35</v>
      </c>
      <c r="H471" s="7" t="s">
        <v>36</v>
      </c>
      <c r="I471" s="9">
        <v>182</v>
      </c>
      <c r="J471" s="9" t="s">
        <v>335</v>
      </c>
      <c r="K471" s="9" t="s">
        <v>38</v>
      </c>
      <c r="L471" s="11">
        <v>1</v>
      </c>
      <c r="M471" s="14">
        <v>8000.0</v>
      </c>
      <c r="N471" s="14"/>
      <c r="O471" s="16">
        <f>IF(M471&gt;0, N471/M471, 0)</f>
        <v>0</v>
      </c>
      <c r="P471" s="14">
        <f>M471-N471</f>
        <v>8000</v>
      </c>
      <c r="Q471" s="14">
        <f>L471*M471</f>
        <v>8000</v>
      </c>
      <c r="R471" s="14">
        <f>L471*N471</f>
        <v>0</v>
      </c>
      <c r="S471" s="14">
        <f>L471*P471</f>
        <v>8000</v>
      </c>
      <c r="T471" s="14"/>
      <c r="U471" s="14">
        <f>L471*T471</f>
        <v>0</v>
      </c>
      <c r="V471" s="14">
        <f>S471-U471</f>
        <v>8000</v>
      </c>
      <c r="W471" s="16">
        <f>IF(S471&gt;0, V471/S471, 0)</f>
        <v>1</v>
      </c>
      <c r="X471" s="7" t="s">
        <v>39</v>
      </c>
      <c r="Y471" s="9" t="s">
        <v>40</v>
      </c>
      <c r="Z471" s="9" t="s">
        <v>41</v>
      </c>
      <c r="AA471" s="9" t="s">
        <v>42</v>
      </c>
      <c r="AB471" s="7" t="s">
        <v>42</v>
      </c>
    </row>
    <row r="472" spans="1:28">
      <c r="A472" s="8">
        <v>465</v>
      </c>
      <c r="B472" s="8" t="s">
        <v>738</v>
      </c>
      <c r="C472" s="8" t="s">
        <v>698</v>
      </c>
      <c r="D472" s="8" t="s">
        <v>652</v>
      </c>
      <c r="E472" s="8" t="s">
        <v>33</v>
      </c>
      <c r="F472" s="6" t="s">
        <v>34</v>
      </c>
      <c r="G472" s="6" t="s">
        <v>63</v>
      </c>
      <c r="H472" s="6" t="s">
        <v>148</v>
      </c>
      <c r="I472" s="8">
        <v>182</v>
      </c>
      <c r="J472" s="8" t="s">
        <v>739</v>
      </c>
      <c r="K472" s="8" t="s">
        <v>38</v>
      </c>
      <c r="L472" s="10">
        <v>1</v>
      </c>
      <c r="M472" s="13">
        <v>9500.0</v>
      </c>
      <c r="N472" s="13"/>
      <c r="O472" s="15">
        <f>IF(M472&gt;0, N472/M472, 0)</f>
        <v>0</v>
      </c>
      <c r="P472" s="13">
        <f>M472-N472</f>
        <v>9500</v>
      </c>
      <c r="Q472" s="13">
        <f>L472*M472</f>
        <v>9500</v>
      </c>
      <c r="R472" s="13">
        <f>L472*N472</f>
        <v>0</v>
      </c>
      <c r="S472" s="13">
        <f>L472*P472</f>
        <v>9500</v>
      </c>
      <c r="T472" s="13"/>
      <c r="U472" s="13">
        <f>L472*T472</f>
        <v>0</v>
      </c>
      <c r="V472" s="13">
        <f>S472-U472</f>
        <v>9500</v>
      </c>
      <c r="W472" s="15">
        <f>IF(S472&gt;0, V472/S472, 0)</f>
        <v>1</v>
      </c>
      <c r="X472" s="6" t="s">
        <v>39</v>
      </c>
      <c r="Y472" s="8" t="s">
        <v>40</v>
      </c>
      <c r="Z472" s="8" t="s">
        <v>41</v>
      </c>
      <c r="AA472" s="8" t="s">
        <v>42</v>
      </c>
      <c r="AB472" s="6" t="s">
        <v>42</v>
      </c>
    </row>
    <row r="473" spans="1:28">
      <c r="A473" s="9">
        <v>466</v>
      </c>
      <c r="B473" s="9" t="s">
        <v>740</v>
      </c>
      <c r="C473" s="9" t="s">
        <v>698</v>
      </c>
      <c r="D473" s="9" t="s">
        <v>652</v>
      </c>
      <c r="E473" s="9" t="s">
        <v>33</v>
      </c>
      <c r="F473" s="7" t="s">
        <v>34</v>
      </c>
      <c r="G473" s="7" t="s">
        <v>35</v>
      </c>
      <c r="H473" s="7" t="s">
        <v>36</v>
      </c>
      <c r="I473" s="9">
        <v>152</v>
      </c>
      <c r="J473" s="9" t="s">
        <v>726</v>
      </c>
      <c r="K473" s="9" t="s">
        <v>38</v>
      </c>
      <c r="L473" s="11">
        <v>1</v>
      </c>
      <c r="M473" s="14">
        <v>7000.0</v>
      </c>
      <c r="N473" s="14"/>
      <c r="O473" s="16">
        <f>IF(M473&gt;0, N473/M473, 0)</f>
        <v>0</v>
      </c>
      <c r="P473" s="14">
        <f>M473-N473</f>
        <v>7000</v>
      </c>
      <c r="Q473" s="14">
        <f>L473*M473</f>
        <v>7000</v>
      </c>
      <c r="R473" s="14">
        <f>L473*N473</f>
        <v>0</v>
      </c>
      <c r="S473" s="14">
        <f>L473*P473</f>
        <v>7000</v>
      </c>
      <c r="T473" s="14"/>
      <c r="U473" s="14">
        <f>L473*T473</f>
        <v>0</v>
      </c>
      <c r="V473" s="14">
        <f>S473-U473</f>
        <v>7000</v>
      </c>
      <c r="W473" s="16">
        <f>IF(S473&gt;0, V473/S473, 0)</f>
        <v>1</v>
      </c>
      <c r="X473" s="7" t="s">
        <v>39</v>
      </c>
      <c r="Y473" s="9" t="s">
        <v>40</v>
      </c>
      <c r="Z473" s="9" t="s">
        <v>41</v>
      </c>
      <c r="AA473" s="9" t="s">
        <v>42</v>
      </c>
      <c r="AB473" s="7" t="s">
        <v>42</v>
      </c>
    </row>
    <row r="474" spans="1:28">
      <c r="A474" s="8">
        <v>467</v>
      </c>
      <c r="B474" s="8" t="s">
        <v>741</v>
      </c>
      <c r="C474" s="8" t="s">
        <v>698</v>
      </c>
      <c r="D474" s="8" t="s">
        <v>652</v>
      </c>
      <c r="E474" s="8" t="s">
        <v>33</v>
      </c>
      <c r="F474" s="6" t="s">
        <v>34</v>
      </c>
      <c r="G474" s="6" t="s">
        <v>69</v>
      </c>
      <c r="H474" s="6" t="s">
        <v>69</v>
      </c>
      <c r="I474" s="8">
        <v>146</v>
      </c>
      <c r="J474" s="8" t="s">
        <v>264</v>
      </c>
      <c r="K474" s="8" t="s">
        <v>38</v>
      </c>
      <c r="L474" s="10">
        <v>1</v>
      </c>
      <c r="M474" s="13">
        <v>16000.0</v>
      </c>
      <c r="N474" s="13"/>
      <c r="O474" s="15">
        <f>IF(M474&gt;0, N474/M474, 0)</f>
        <v>0</v>
      </c>
      <c r="P474" s="13">
        <f>M474-N474</f>
        <v>16000</v>
      </c>
      <c r="Q474" s="13">
        <f>L474*M474</f>
        <v>16000</v>
      </c>
      <c r="R474" s="13">
        <f>L474*N474</f>
        <v>0</v>
      </c>
      <c r="S474" s="13">
        <f>L474*P474</f>
        <v>16000</v>
      </c>
      <c r="T474" s="13"/>
      <c r="U474" s="13">
        <f>L474*T474</f>
        <v>0</v>
      </c>
      <c r="V474" s="13">
        <f>S474-U474</f>
        <v>16000</v>
      </c>
      <c r="W474" s="15">
        <f>IF(S474&gt;0, V474/S474, 0)</f>
        <v>1</v>
      </c>
      <c r="X474" s="6" t="s">
        <v>39</v>
      </c>
      <c r="Y474" s="8" t="s">
        <v>40</v>
      </c>
      <c r="Z474" s="8" t="s">
        <v>41</v>
      </c>
      <c r="AA474" s="8" t="s">
        <v>42</v>
      </c>
      <c r="AB474" s="6" t="s">
        <v>742</v>
      </c>
    </row>
    <row r="475" spans="1:28">
      <c r="A475" s="9">
        <v>468</v>
      </c>
      <c r="B475" s="9" t="s">
        <v>743</v>
      </c>
      <c r="C475" s="9" t="s">
        <v>744</v>
      </c>
      <c r="D475" s="9" t="s">
        <v>652</v>
      </c>
      <c r="E475" s="9" t="s">
        <v>68</v>
      </c>
      <c r="F475" s="7" t="s">
        <v>34</v>
      </c>
      <c r="G475" s="7" t="s">
        <v>35</v>
      </c>
      <c r="H475" s="7" t="s">
        <v>73</v>
      </c>
      <c r="I475" s="9">
        <v>158</v>
      </c>
      <c r="J475" s="9" t="s">
        <v>291</v>
      </c>
      <c r="K475" s="9" t="s">
        <v>38</v>
      </c>
      <c r="L475" s="11">
        <v>1</v>
      </c>
      <c r="M475" s="14">
        <v>11000.0</v>
      </c>
      <c r="N475" s="14"/>
      <c r="O475" s="16">
        <f>IF(M475&gt;0, N475/M475, 0)</f>
        <v>0</v>
      </c>
      <c r="P475" s="14">
        <f>M475-N475</f>
        <v>11000</v>
      </c>
      <c r="Q475" s="14">
        <f>L475*M475</f>
        <v>11000</v>
      </c>
      <c r="R475" s="14">
        <f>L475*N475</f>
        <v>0</v>
      </c>
      <c r="S475" s="14">
        <f>L475*P475</f>
        <v>11000</v>
      </c>
      <c r="T475" s="14"/>
      <c r="U475" s="14">
        <f>L475*T475</f>
        <v>0</v>
      </c>
      <c r="V475" s="14">
        <f>S475-U475</f>
        <v>11000</v>
      </c>
      <c r="W475" s="16">
        <f>IF(S475&gt;0, V475/S475, 0)</f>
        <v>1</v>
      </c>
      <c r="X475" s="7" t="s">
        <v>39</v>
      </c>
      <c r="Y475" s="9" t="s">
        <v>40</v>
      </c>
      <c r="Z475" s="9" t="s">
        <v>71</v>
      </c>
      <c r="AA475" s="9" t="s">
        <v>42</v>
      </c>
      <c r="AB475" s="7" t="s">
        <v>42</v>
      </c>
    </row>
    <row r="476" spans="1:28">
      <c r="A476" s="8">
        <v>469</v>
      </c>
      <c r="B476" s="8" t="s">
        <v>745</v>
      </c>
      <c r="C476" s="8" t="s">
        <v>744</v>
      </c>
      <c r="D476" s="8" t="s">
        <v>652</v>
      </c>
      <c r="E476" s="8" t="s">
        <v>68</v>
      </c>
      <c r="F476" s="6" t="s">
        <v>50</v>
      </c>
      <c r="G476" s="6" t="s">
        <v>63</v>
      </c>
      <c r="H476" s="6" t="s">
        <v>148</v>
      </c>
      <c r="I476" s="8">
        <v>158</v>
      </c>
      <c r="J476" s="8" t="s">
        <v>434</v>
      </c>
      <c r="K476" s="8" t="s">
        <v>38</v>
      </c>
      <c r="L476" s="10">
        <v>1</v>
      </c>
      <c r="M476" s="13">
        <v>11000.0</v>
      </c>
      <c r="N476" s="13"/>
      <c r="O476" s="15">
        <f>IF(M476&gt;0, N476/M476, 0)</f>
        <v>0</v>
      </c>
      <c r="P476" s="13">
        <f>M476-N476</f>
        <v>11000</v>
      </c>
      <c r="Q476" s="13">
        <f>L476*M476</f>
        <v>11000</v>
      </c>
      <c r="R476" s="13">
        <f>L476*N476</f>
        <v>0</v>
      </c>
      <c r="S476" s="13">
        <f>L476*P476</f>
        <v>11000</v>
      </c>
      <c r="T476" s="13"/>
      <c r="U476" s="13">
        <f>L476*T476</f>
        <v>0</v>
      </c>
      <c r="V476" s="13">
        <f>S476-U476</f>
        <v>11000</v>
      </c>
      <c r="W476" s="15">
        <f>IF(S476&gt;0, V476/S476, 0)</f>
        <v>1</v>
      </c>
      <c r="X476" s="6" t="s">
        <v>39</v>
      </c>
      <c r="Y476" s="8" t="s">
        <v>40</v>
      </c>
      <c r="Z476" s="8" t="s">
        <v>71</v>
      </c>
      <c r="AA476" s="8" t="s">
        <v>42</v>
      </c>
      <c r="AB476" s="6" t="s">
        <v>42</v>
      </c>
    </row>
    <row r="477" spans="1:28">
      <c r="A477" s="9">
        <v>470</v>
      </c>
      <c r="B477" s="9" t="s">
        <v>746</v>
      </c>
      <c r="C477" s="9" t="s">
        <v>744</v>
      </c>
      <c r="D477" s="9" t="s">
        <v>652</v>
      </c>
      <c r="E477" s="9" t="s">
        <v>68</v>
      </c>
      <c r="F477" s="7" t="s">
        <v>50</v>
      </c>
      <c r="G477" s="7" t="s">
        <v>69</v>
      </c>
      <c r="H477" s="7" t="s">
        <v>69</v>
      </c>
      <c r="I477" s="9">
        <v>128</v>
      </c>
      <c r="J477" s="9" t="s">
        <v>110</v>
      </c>
      <c r="K477" s="9" t="s">
        <v>38</v>
      </c>
      <c r="L477" s="11">
        <v>1</v>
      </c>
      <c r="M477" s="14">
        <v>18000.0</v>
      </c>
      <c r="N477" s="14"/>
      <c r="O477" s="16">
        <f>IF(M477&gt;0, N477/M477, 0)</f>
        <v>0</v>
      </c>
      <c r="P477" s="14">
        <f>M477-N477</f>
        <v>18000</v>
      </c>
      <c r="Q477" s="14">
        <f>L477*M477</f>
        <v>18000</v>
      </c>
      <c r="R477" s="14">
        <f>L477*N477</f>
        <v>0</v>
      </c>
      <c r="S477" s="14">
        <f>L477*P477</f>
        <v>18000</v>
      </c>
      <c r="T477" s="14"/>
      <c r="U477" s="14">
        <f>L477*T477</f>
        <v>0</v>
      </c>
      <c r="V477" s="14">
        <f>S477-U477</f>
        <v>18000</v>
      </c>
      <c r="W477" s="16">
        <f>IF(S477&gt;0, V477/S477, 0)</f>
        <v>1</v>
      </c>
      <c r="X477" s="7" t="s">
        <v>39</v>
      </c>
      <c r="Y477" s="9" t="s">
        <v>40</v>
      </c>
      <c r="Z477" s="9" t="s">
        <v>71</v>
      </c>
      <c r="AA477" s="9" t="s">
        <v>42</v>
      </c>
      <c r="AB477" s="7" t="s">
        <v>42</v>
      </c>
    </row>
    <row r="478" spans="1:28">
      <c r="A478" s="8">
        <v>471</v>
      </c>
      <c r="B478" s="8" t="s">
        <v>747</v>
      </c>
      <c r="C478" s="8" t="s">
        <v>744</v>
      </c>
      <c r="D478" s="8" t="s">
        <v>652</v>
      </c>
      <c r="E478" s="8" t="s">
        <v>68</v>
      </c>
      <c r="F478" s="6" t="s">
        <v>50</v>
      </c>
      <c r="G478" s="6" t="s">
        <v>35</v>
      </c>
      <c r="H478" s="6" t="s">
        <v>36</v>
      </c>
      <c r="I478" s="8">
        <v>158</v>
      </c>
      <c r="J478" s="8" t="s">
        <v>130</v>
      </c>
      <c r="K478" s="8" t="s">
        <v>53</v>
      </c>
      <c r="L478" s="10">
        <v>3</v>
      </c>
      <c r="M478" s="13">
        <v>10000.0</v>
      </c>
      <c r="N478" s="13"/>
      <c r="O478" s="15">
        <f>IF(M478&gt;0, N478/M478, 0)</f>
        <v>0</v>
      </c>
      <c r="P478" s="13">
        <f>M478-N478</f>
        <v>10000</v>
      </c>
      <c r="Q478" s="13">
        <f>L478*M478</f>
        <v>30000</v>
      </c>
      <c r="R478" s="13">
        <f>L478*N478</f>
        <v>0</v>
      </c>
      <c r="S478" s="13">
        <f>L478*P478</f>
        <v>30000</v>
      </c>
      <c r="T478" s="13"/>
      <c r="U478" s="13">
        <f>L478*T478</f>
        <v>0</v>
      </c>
      <c r="V478" s="13">
        <f>S478-U478</f>
        <v>30000</v>
      </c>
      <c r="W478" s="15">
        <f>IF(S478&gt;0, V478/S478, 0)</f>
        <v>1</v>
      </c>
      <c r="X478" s="6" t="s">
        <v>39</v>
      </c>
      <c r="Y478" s="8" t="s">
        <v>40</v>
      </c>
      <c r="Z478" s="8" t="s">
        <v>71</v>
      </c>
      <c r="AA478" s="8" t="s">
        <v>42</v>
      </c>
      <c r="AB478" s="6" t="s">
        <v>42</v>
      </c>
    </row>
    <row r="479" spans="1:28">
      <c r="A479" s="9">
        <v>472</v>
      </c>
      <c r="B479" s="9" t="s">
        <v>748</v>
      </c>
      <c r="C479" s="9" t="s">
        <v>744</v>
      </c>
      <c r="D479" s="9" t="s">
        <v>652</v>
      </c>
      <c r="E479" s="9" t="s">
        <v>33</v>
      </c>
      <c r="F479" s="7" t="s">
        <v>50</v>
      </c>
      <c r="G479" s="7" t="s">
        <v>45</v>
      </c>
      <c r="H479" s="7" t="s">
        <v>46</v>
      </c>
      <c r="I479" s="9">
        <v>158</v>
      </c>
      <c r="J479" s="9" t="s">
        <v>441</v>
      </c>
      <c r="K479" s="9" t="s">
        <v>38</v>
      </c>
      <c r="L479" s="11">
        <v>1</v>
      </c>
      <c r="M479" s="14">
        <v>18000.0</v>
      </c>
      <c r="N479" s="14"/>
      <c r="O479" s="16">
        <f>IF(M479&gt;0, N479/M479, 0)</f>
        <v>0</v>
      </c>
      <c r="P479" s="14">
        <f>M479-N479</f>
        <v>18000</v>
      </c>
      <c r="Q479" s="14">
        <f>L479*M479</f>
        <v>18000</v>
      </c>
      <c r="R479" s="14">
        <f>L479*N479</f>
        <v>0</v>
      </c>
      <c r="S479" s="14">
        <f>L479*P479</f>
        <v>18000</v>
      </c>
      <c r="T479" s="14"/>
      <c r="U479" s="14">
        <f>L479*T479</f>
        <v>0</v>
      </c>
      <c r="V479" s="14">
        <f>S479-U479</f>
        <v>18000</v>
      </c>
      <c r="W479" s="16">
        <f>IF(S479&gt;0, V479/S479, 0)</f>
        <v>1</v>
      </c>
      <c r="X479" s="7" t="s">
        <v>39</v>
      </c>
      <c r="Y479" s="9" t="s">
        <v>40</v>
      </c>
      <c r="Z479" s="9" t="s">
        <v>41</v>
      </c>
      <c r="AA479" s="9" t="s">
        <v>42</v>
      </c>
      <c r="AB479" s="7" t="s">
        <v>42</v>
      </c>
    </row>
    <row r="480" spans="1:28">
      <c r="A480" s="8">
        <v>473</v>
      </c>
      <c r="B480" s="8" t="s">
        <v>749</v>
      </c>
      <c r="C480" s="8" t="s">
        <v>744</v>
      </c>
      <c r="D480" s="8" t="s">
        <v>652</v>
      </c>
      <c r="E480" s="8" t="s">
        <v>33</v>
      </c>
      <c r="F480" s="6" t="s">
        <v>50</v>
      </c>
      <c r="G480" s="6" t="s">
        <v>51</v>
      </c>
      <c r="H480" s="6" t="s">
        <v>51</v>
      </c>
      <c r="I480" s="8">
        <v>158</v>
      </c>
      <c r="J480" s="8" t="s">
        <v>125</v>
      </c>
      <c r="K480" s="8" t="s">
        <v>53</v>
      </c>
      <c r="L480" s="10">
        <v>1</v>
      </c>
      <c r="M480" s="13">
        <v>8500.0</v>
      </c>
      <c r="N480" s="13"/>
      <c r="O480" s="15">
        <f>IF(M480&gt;0, N480/M480, 0)</f>
        <v>0</v>
      </c>
      <c r="P480" s="13">
        <f>M480-N480</f>
        <v>8500</v>
      </c>
      <c r="Q480" s="13">
        <f>L480*M480</f>
        <v>8500</v>
      </c>
      <c r="R480" s="13">
        <f>L480*N480</f>
        <v>0</v>
      </c>
      <c r="S480" s="13">
        <f>L480*P480</f>
        <v>8500</v>
      </c>
      <c r="T480" s="13"/>
      <c r="U480" s="13">
        <f>L480*T480</f>
        <v>0</v>
      </c>
      <c r="V480" s="13">
        <f>S480-U480</f>
        <v>8500</v>
      </c>
      <c r="W480" s="15">
        <f>IF(S480&gt;0, V480/S480, 0)</f>
        <v>1</v>
      </c>
      <c r="X480" s="6" t="s">
        <v>39</v>
      </c>
      <c r="Y480" s="8" t="s">
        <v>40</v>
      </c>
      <c r="Z480" s="8" t="s">
        <v>41</v>
      </c>
      <c r="AA480" s="8" t="s">
        <v>42</v>
      </c>
      <c r="AB480" s="6" t="s">
        <v>42</v>
      </c>
    </row>
    <row r="481" spans="1:28">
      <c r="A481" s="9">
        <v>474</v>
      </c>
      <c r="B481" s="9" t="s">
        <v>750</v>
      </c>
      <c r="C481" s="9" t="s">
        <v>744</v>
      </c>
      <c r="D481" s="9" t="s">
        <v>652</v>
      </c>
      <c r="E481" s="9" t="s">
        <v>68</v>
      </c>
      <c r="F481" s="7" t="s">
        <v>50</v>
      </c>
      <c r="G481" s="7" t="s">
        <v>56</v>
      </c>
      <c r="H481" s="7" t="s">
        <v>56</v>
      </c>
      <c r="I481" s="9">
        <v>146</v>
      </c>
      <c r="J481" s="9" t="s">
        <v>751</v>
      </c>
      <c r="K481" s="9" t="s">
        <v>38</v>
      </c>
      <c r="L481" s="11">
        <v>1</v>
      </c>
      <c r="M481" s="14">
        <v>8000.0</v>
      </c>
      <c r="N481" s="14"/>
      <c r="O481" s="16">
        <f>IF(M481&gt;0, N481/M481, 0)</f>
        <v>0</v>
      </c>
      <c r="P481" s="14">
        <f>M481-N481</f>
        <v>8000</v>
      </c>
      <c r="Q481" s="14">
        <f>L481*M481</f>
        <v>8000</v>
      </c>
      <c r="R481" s="14">
        <f>L481*N481</f>
        <v>0</v>
      </c>
      <c r="S481" s="14">
        <f>L481*P481</f>
        <v>8000</v>
      </c>
      <c r="T481" s="14"/>
      <c r="U481" s="14">
        <f>L481*T481</f>
        <v>0</v>
      </c>
      <c r="V481" s="14">
        <f>S481-U481</f>
        <v>8000</v>
      </c>
      <c r="W481" s="16">
        <f>IF(S481&gt;0, V481/S481, 0)</f>
        <v>1</v>
      </c>
      <c r="X481" s="7" t="s">
        <v>39</v>
      </c>
      <c r="Y481" s="9" t="s">
        <v>40</v>
      </c>
      <c r="Z481" s="9" t="s">
        <v>71</v>
      </c>
      <c r="AA481" s="9" t="s">
        <v>42</v>
      </c>
      <c r="AB481" s="7" t="s">
        <v>42</v>
      </c>
    </row>
    <row r="482" spans="1:28">
      <c r="A482" s="8">
        <v>475</v>
      </c>
      <c r="B482" s="8" t="s">
        <v>752</v>
      </c>
      <c r="C482" s="8" t="s">
        <v>744</v>
      </c>
      <c r="D482" s="8" t="s">
        <v>652</v>
      </c>
      <c r="E482" s="8" t="s">
        <v>33</v>
      </c>
      <c r="F482" s="6" t="s">
        <v>50</v>
      </c>
      <c r="G482" s="6" t="s">
        <v>56</v>
      </c>
      <c r="H482" s="6" t="s">
        <v>56</v>
      </c>
      <c r="I482" s="8">
        <v>128</v>
      </c>
      <c r="J482" s="8" t="s">
        <v>577</v>
      </c>
      <c r="K482" s="8" t="s">
        <v>38</v>
      </c>
      <c r="L482" s="10">
        <v>1</v>
      </c>
      <c r="M482" s="13">
        <v>8000.0</v>
      </c>
      <c r="N482" s="13"/>
      <c r="O482" s="15">
        <f>IF(M482&gt;0, N482/M482, 0)</f>
        <v>0</v>
      </c>
      <c r="P482" s="13">
        <f>M482-N482</f>
        <v>8000</v>
      </c>
      <c r="Q482" s="13">
        <f>L482*M482</f>
        <v>8000</v>
      </c>
      <c r="R482" s="13">
        <f>L482*N482</f>
        <v>0</v>
      </c>
      <c r="S482" s="13">
        <f>L482*P482</f>
        <v>8000</v>
      </c>
      <c r="T482" s="13"/>
      <c r="U482" s="13">
        <f>L482*T482</f>
        <v>0</v>
      </c>
      <c r="V482" s="13">
        <f>S482-U482</f>
        <v>8000</v>
      </c>
      <c r="W482" s="15">
        <f>IF(S482&gt;0, V482/S482, 0)</f>
        <v>1</v>
      </c>
      <c r="X482" s="6" t="s">
        <v>39</v>
      </c>
      <c r="Y482" s="8" t="s">
        <v>40</v>
      </c>
      <c r="Z482" s="8" t="s">
        <v>41</v>
      </c>
      <c r="AA482" s="8" t="s">
        <v>42</v>
      </c>
      <c r="AB482" s="6" t="s">
        <v>42</v>
      </c>
    </row>
    <row r="483" spans="1:28">
      <c r="A483" s="9">
        <v>476</v>
      </c>
      <c r="B483" s="9" t="s">
        <v>753</v>
      </c>
      <c r="C483" s="9" t="s">
        <v>744</v>
      </c>
      <c r="D483" s="9" t="s">
        <v>652</v>
      </c>
      <c r="E483" s="9" t="s">
        <v>68</v>
      </c>
      <c r="F483" s="7" t="s">
        <v>50</v>
      </c>
      <c r="G483" s="7" t="s">
        <v>35</v>
      </c>
      <c r="H483" s="7" t="s">
        <v>36</v>
      </c>
      <c r="I483" s="9">
        <v>146</v>
      </c>
      <c r="J483" s="9" t="s">
        <v>257</v>
      </c>
      <c r="K483" s="9" t="s">
        <v>53</v>
      </c>
      <c r="L483" s="11">
        <v>1</v>
      </c>
      <c r="M483" s="14">
        <v>7000.0</v>
      </c>
      <c r="N483" s="14"/>
      <c r="O483" s="16">
        <f>IF(M483&gt;0, N483/M483, 0)</f>
        <v>0</v>
      </c>
      <c r="P483" s="14">
        <f>M483-N483</f>
        <v>7000</v>
      </c>
      <c r="Q483" s="14">
        <f>L483*M483</f>
        <v>7000</v>
      </c>
      <c r="R483" s="14">
        <f>L483*N483</f>
        <v>0</v>
      </c>
      <c r="S483" s="14">
        <f>L483*P483</f>
        <v>7000</v>
      </c>
      <c r="T483" s="14"/>
      <c r="U483" s="14">
        <f>L483*T483</f>
        <v>0</v>
      </c>
      <c r="V483" s="14">
        <f>S483-U483</f>
        <v>7000</v>
      </c>
      <c r="W483" s="16">
        <f>IF(S483&gt;0, V483/S483, 0)</f>
        <v>1</v>
      </c>
      <c r="X483" s="7" t="s">
        <v>39</v>
      </c>
      <c r="Y483" s="9" t="s">
        <v>40</v>
      </c>
      <c r="Z483" s="9" t="s">
        <v>71</v>
      </c>
      <c r="AA483" s="9" t="s">
        <v>42</v>
      </c>
      <c r="AB483" s="7" t="s">
        <v>42</v>
      </c>
    </row>
    <row r="484" spans="1:28">
      <c r="A484" s="8">
        <v>477</v>
      </c>
      <c r="B484" s="8" t="s">
        <v>754</v>
      </c>
      <c r="C484" s="8" t="s">
        <v>744</v>
      </c>
      <c r="D484" s="8" t="s">
        <v>652</v>
      </c>
      <c r="E484" s="8" t="s">
        <v>33</v>
      </c>
      <c r="F484" s="6" t="s">
        <v>50</v>
      </c>
      <c r="G484" s="6" t="s">
        <v>35</v>
      </c>
      <c r="H484" s="6" t="s">
        <v>36</v>
      </c>
      <c r="I484" s="8">
        <v>128</v>
      </c>
      <c r="J484" s="8" t="s">
        <v>156</v>
      </c>
      <c r="K484" s="8" t="s">
        <v>53</v>
      </c>
      <c r="L484" s="10">
        <v>1</v>
      </c>
      <c r="M484" s="13">
        <v>7000.0</v>
      </c>
      <c r="N484" s="13"/>
      <c r="O484" s="15">
        <f>IF(M484&gt;0, N484/M484, 0)</f>
        <v>0</v>
      </c>
      <c r="P484" s="13">
        <f>M484-N484</f>
        <v>7000</v>
      </c>
      <c r="Q484" s="13">
        <f>L484*M484</f>
        <v>7000</v>
      </c>
      <c r="R484" s="13">
        <f>L484*N484</f>
        <v>0</v>
      </c>
      <c r="S484" s="13">
        <f>L484*P484</f>
        <v>7000</v>
      </c>
      <c r="T484" s="13"/>
      <c r="U484" s="13">
        <f>L484*T484</f>
        <v>0</v>
      </c>
      <c r="V484" s="13">
        <f>S484-U484</f>
        <v>7000</v>
      </c>
      <c r="W484" s="15">
        <f>IF(S484&gt;0, V484/S484, 0)</f>
        <v>1</v>
      </c>
      <c r="X484" s="6" t="s">
        <v>39</v>
      </c>
      <c r="Y484" s="8" t="s">
        <v>40</v>
      </c>
      <c r="Z484" s="8" t="s">
        <v>41</v>
      </c>
      <c r="AA484" s="8" t="s">
        <v>42</v>
      </c>
      <c r="AB484" s="6" t="s">
        <v>42</v>
      </c>
    </row>
    <row r="485" spans="1:28">
      <c r="A485" s="9">
        <v>478</v>
      </c>
      <c r="B485" s="9" t="s">
        <v>755</v>
      </c>
      <c r="C485" s="9" t="s">
        <v>744</v>
      </c>
      <c r="D485" s="9" t="s">
        <v>652</v>
      </c>
      <c r="E485" s="9" t="s">
        <v>33</v>
      </c>
      <c r="F485" s="7" t="s">
        <v>50</v>
      </c>
      <c r="G485" s="7" t="s">
        <v>56</v>
      </c>
      <c r="H485" s="7" t="s">
        <v>56</v>
      </c>
      <c r="I485" s="9">
        <v>152</v>
      </c>
      <c r="J485" s="9" t="s">
        <v>311</v>
      </c>
      <c r="K485" s="9" t="s">
        <v>38</v>
      </c>
      <c r="L485" s="11">
        <v>1</v>
      </c>
      <c r="M485" s="14">
        <v>7000.0</v>
      </c>
      <c r="N485" s="14"/>
      <c r="O485" s="16">
        <f>IF(M485&gt;0, N485/M485, 0)</f>
        <v>0</v>
      </c>
      <c r="P485" s="14">
        <f>M485-N485</f>
        <v>7000</v>
      </c>
      <c r="Q485" s="14">
        <f>L485*M485</f>
        <v>7000</v>
      </c>
      <c r="R485" s="14">
        <f>L485*N485</f>
        <v>0</v>
      </c>
      <c r="S485" s="14">
        <f>L485*P485</f>
        <v>7000</v>
      </c>
      <c r="T485" s="14"/>
      <c r="U485" s="14">
        <f>L485*T485</f>
        <v>0</v>
      </c>
      <c r="V485" s="14">
        <f>S485-U485</f>
        <v>7000</v>
      </c>
      <c r="W485" s="16">
        <f>IF(S485&gt;0, V485/S485, 0)</f>
        <v>1</v>
      </c>
      <c r="X485" s="7" t="s">
        <v>39</v>
      </c>
      <c r="Y485" s="9" t="s">
        <v>40</v>
      </c>
      <c r="Z485" s="9" t="s">
        <v>41</v>
      </c>
      <c r="AA485" s="9" t="s">
        <v>42</v>
      </c>
      <c r="AB485" s="7" t="s">
        <v>42</v>
      </c>
    </row>
    <row r="486" spans="1:28">
      <c r="A486" s="8">
        <v>479</v>
      </c>
      <c r="B486" s="8" t="s">
        <v>756</v>
      </c>
      <c r="C486" s="8" t="s">
        <v>744</v>
      </c>
      <c r="D486" s="8" t="s">
        <v>652</v>
      </c>
      <c r="E486" s="8" t="s">
        <v>33</v>
      </c>
      <c r="F486" s="6" t="s">
        <v>50</v>
      </c>
      <c r="G486" s="6" t="s">
        <v>51</v>
      </c>
      <c r="H486" s="6" t="s">
        <v>51</v>
      </c>
      <c r="I486" s="8">
        <v>146</v>
      </c>
      <c r="J486" s="8" t="s">
        <v>254</v>
      </c>
      <c r="K486" s="8" t="s">
        <v>53</v>
      </c>
      <c r="L486" s="10">
        <v>1</v>
      </c>
      <c r="M486" s="13">
        <v>8000.0</v>
      </c>
      <c r="N486" s="13"/>
      <c r="O486" s="15">
        <f>IF(M486&gt;0, N486/M486, 0)</f>
        <v>0</v>
      </c>
      <c r="P486" s="13">
        <f>M486-N486</f>
        <v>8000</v>
      </c>
      <c r="Q486" s="13">
        <f>L486*M486</f>
        <v>8000</v>
      </c>
      <c r="R486" s="13">
        <f>L486*N486</f>
        <v>0</v>
      </c>
      <c r="S486" s="13">
        <f>L486*P486</f>
        <v>8000</v>
      </c>
      <c r="T486" s="13"/>
      <c r="U486" s="13">
        <f>L486*T486</f>
        <v>0</v>
      </c>
      <c r="V486" s="13">
        <f>S486-U486</f>
        <v>8000</v>
      </c>
      <c r="W486" s="15">
        <f>IF(S486&gt;0, V486/S486, 0)</f>
        <v>1</v>
      </c>
      <c r="X486" s="6" t="s">
        <v>39</v>
      </c>
      <c r="Y486" s="8" t="s">
        <v>40</v>
      </c>
      <c r="Z486" s="8" t="s">
        <v>41</v>
      </c>
      <c r="AA486" s="8" t="s">
        <v>42</v>
      </c>
      <c r="AB486" s="6" t="s">
        <v>42</v>
      </c>
    </row>
    <row r="487" spans="1:28">
      <c r="A487" s="9">
        <v>480</v>
      </c>
      <c r="B487" s="9" t="s">
        <v>757</v>
      </c>
      <c r="C487" s="9" t="s">
        <v>744</v>
      </c>
      <c r="D487" s="9" t="s">
        <v>652</v>
      </c>
      <c r="E487" s="9" t="s">
        <v>33</v>
      </c>
      <c r="F487" s="7" t="s">
        <v>50</v>
      </c>
      <c r="G487" s="7" t="s">
        <v>51</v>
      </c>
      <c r="H487" s="7" t="s">
        <v>51</v>
      </c>
      <c r="I487" s="9">
        <v>128</v>
      </c>
      <c r="J487" s="9" t="s">
        <v>390</v>
      </c>
      <c r="K487" s="9" t="s">
        <v>53</v>
      </c>
      <c r="L487" s="11">
        <v>1</v>
      </c>
      <c r="M487" s="14">
        <v>8000.0</v>
      </c>
      <c r="N487" s="14"/>
      <c r="O487" s="16">
        <f>IF(M487&gt;0, N487/M487, 0)</f>
        <v>0</v>
      </c>
      <c r="P487" s="14">
        <f>M487-N487</f>
        <v>8000</v>
      </c>
      <c r="Q487" s="14">
        <f>L487*M487</f>
        <v>8000</v>
      </c>
      <c r="R487" s="14">
        <f>L487*N487</f>
        <v>0</v>
      </c>
      <c r="S487" s="14">
        <f>L487*P487</f>
        <v>8000</v>
      </c>
      <c r="T487" s="14"/>
      <c r="U487" s="14">
        <f>L487*T487</f>
        <v>0</v>
      </c>
      <c r="V487" s="14">
        <f>S487-U487</f>
        <v>8000</v>
      </c>
      <c r="W487" s="16">
        <f>IF(S487&gt;0, V487/S487, 0)</f>
        <v>1</v>
      </c>
      <c r="X487" s="7" t="s">
        <v>39</v>
      </c>
      <c r="Y487" s="9" t="s">
        <v>40</v>
      </c>
      <c r="Z487" s="9" t="s">
        <v>41</v>
      </c>
      <c r="AA487" s="9" t="s">
        <v>42</v>
      </c>
      <c r="AB487" s="7" t="s">
        <v>42</v>
      </c>
    </row>
    <row r="488" spans="1:28">
      <c r="A488" s="8">
        <v>481</v>
      </c>
      <c r="B488" s="8" t="s">
        <v>758</v>
      </c>
      <c r="C488" s="8" t="s">
        <v>759</v>
      </c>
      <c r="D488" s="8" t="s">
        <v>652</v>
      </c>
      <c r="E488" s="8" t="s">
        <v>33</v>
      </c>
      <c r="F488" s="6" t="s">
        <v>50</v>
      </c>
      <c r="G488" s="6" t="s">
        <v>51</v>
      </c>
      <c r="H488" s="6" t="s">
        <v>51</v>
      </c>
      <c r="I488" s="8">
        <v>146</v>
      </c>
      <c r="J488" s="8" t="s">
        <v>254</v>
      </c>
      <c r="K488" s="8" t="s">
        <v>53</v>
      </c>
      <c r="L488" s="10">
        <v>1</v>
      </c>
      <c r="M488" s="13">
        <v>8000.0</v>
      </c>
      <c r="N488" s="13"/>
      <c r="O488" s="15">
        <f>IF(M488&gt;0, N488/M488, 0)</f>
        <v>0</v>
      </c>
      <c r="P488" s="13">
        <f>M488-N488</f>
        <v>8000</v>
      </c>
      <c r="Q488" s="13">
        <f>L488*M488</f>
        <v>8000</v>
      </c>
      <c r="R488" s="13">
        <f>L488*N488</f>
        <v>0</v>
      </c>
      <c r="S488" s="13">
        <f>L488*P488</f>
        <v>8000</v>
      </c>
      <c r="T488" s="13"/>
      <c r="U488" s="13">
        <f>L488*T488</f>
        <v>0</v>
      </c>
      <c r="V488" s="13">
        <f>S488-U488</f>
        <v>8000</v>
      </c>
      <c r="W488" s="15">
        <f>IF(S488&gt;0, V488/S488, 0)</f>
        <v>1</v>
      </c>
      <c r="X488" s="6" t="s">
        <v>39</v>
      </c>
      <c r="Y488" s="8" t="s">
        <v>40</v>
      </c>
      <c r="Z488" s="8" t="s">
        <v>41</v>
      </c>
      <c r="AA488" s="8" t="s">
        <v>42</v>
      </c>
      <c r="AB488" s="6" t="s">
        <v>42</v>
      </c>
    </row>
    <row r="489" spans="1:28">
      <c r="A489" s="9">
        <v>482</v>
      </c>
      <c r="B489" s="9" t="s">
        <v>760</v>
      </c>
      <c r="C489" s="9" t="s">
        <v>759</v>
      </c>
      <c r="D489" s="9" t="s">
        <v>652</v>
      </c>
      <c r="E489" s="9" t="s">
        <v>33</v>
      </c>
      <c r="F489" s="7" t="s">
        <v>50</v>
      </c>
      <c r="G489" s="7" t="s">
        <v>51</v>
      </c>
      <c r="H489" s="7" t="s">
        <v>51</v>
      </c>
      <c r="I489" s="9">
        <v>134</v>
      </c>
      <c r="J489" s="9" t="s">
        <v>175</v>
      </c>
      <c r="K489" s="9" t="s">
        <v>53</v>
      </c>
      <c r="L489" s="11">
        <v>1</v>
      </c>
      <c r="M489" s="14">
        <v>8000.0</v>
      </c>
      <c r="N489" s="14"/>
      <c r="O489" s="16">
        <f>IF(M489&gt;0, N489/M489, 0)</f>
        <v>0</v>
      </c>
      <c r="P489" s="14">
        <f>M489-N489</f>
        <v>8000</v>
      </c>
      <c r="Q489" s="14">
        <f>L489*M489</f>
        <v>8000</v>
      </c>
      <c r="R489" s="14">
        <f>L489*N489</f>
        <v>0</v>
      </c>
      <c r="S489" s="14">
        <f>L489*P489</f>
        <v>8000</v>
      </c>
      <c r="T489" s="14"/>
      <c r="U489" s="14">
        <f>L489*T489</f>
        <v>0</v>
      </c>
      <c r="V489" s="14">
        <f>S489-U489</f>
        <v>8000</v>
      </c>
      <c r="W489" s="16">
        <f>IF(S489&gt;0, V489/S489, 0)</f>
        <v>1</v>
      </c>
      <c r="X489" s="7" t="s">
        <v>39</v>
      </c>
      <c r="Y489" s="9" t="s">
        <v>40</v>
      </c>
      <c r="Z489" s="9" t="s">
        <v>41</v>
      </c>
      <c r="AA489" s="9" t="s">
        <v>42</v>
      </c>
      <c r="AB489" s="7" t="s">
        <v>42</v>
      </c>
    </row>
    <row r="490" spans="1:28">
      <c r="A490" s="8">
        <v>483</v>
      </c>
      <c r="B490" s="8" t="s">
        <v>761</v>
      </c>
      <c r="C490" s="8" t="s">
        <v>759</v>
      </c>
      <c r="D490" s="8" t="s">
        <v>652</v>
      </c>
      <c r="E490" s="8" t="s">
        <v>33</v>
      </c>
      <c r="F490" s="6" t="s">
        <v>50</v>
      </c>
      <c r="G490" s="6" t="s">
        <v>45</v>
      </c>
      <c r="H490" s="6" t="s">
        <v>46</v>
      </c>
      <c r="I490" s="8">
        <v>152</v>
      </c>
      <c r="J490" s="8" t="s">
        <v>411</v>
      </c>
      <c r="K490" s="8" t="s">
        <v>38</v>
      </c>
      <c r="L490" s="10">
        <v>1</v>
      </c>
      <c r="M490" s="13">
        <v>18000.0</v>
      </c>
      <c r="N490" s="13"/>
      <c r="O490" s="15">
        <f>IF(M490&gt;0, N490/M490, 0)</f>
        <v>0</v>
      </c>
      <c r="P490" s="13">
        <f>M490-N490</f>
        <v>18000</v>
      </c>
      <c r="Q490" s="13">
        <f>L490*M490</f>
        <v>18000</v>
      </c>
      <c r="R490" s="13">
        <f>L490*N490</f>
        <v>0</v>
      </c>
      <c r="S490" s="13">
        <f>L490*P490</f>
        <v>18000</v>
      </c>
      <c r="T490" s="13"/>
      <c r="U490" s="13">
        <f>L490*T490</f>
        <v>0</v>
      </c>
      <c r="V490" s="13">
        <f>S490-U490</f>
        <v>18000</v>
      </c>
      <c r="W490" s="15">
        <f>IF(S490&gt;0, V490/S490, 0)</f>
        <v>1</v>
      </c>
      <c r="X490" s="6" t="s">
        <v>39</v>
      </c>
      <c r="Y490" s="8" t="s">
        <v>40</v>
      </c>
      <c r="Z490" s="8" t="s">
        <v>41</v>
      </c>
      <c r="AA490" s="8" t="s">
        <v>42</v>
      </c>
      <c r="AB490" s="6" t="s">
        <v>42</v>
      </c>
    </row>
    <row r="491" spans="1:28">
      <c r="A491" s="9">
        <v>484</v>
      </c>
      <c r="B491" s="9" t="s">
        <v>762</v>
      </c>
      <c r="C491" s="9" t="s">
        <v>759</v>
      </c>
      <c r="D491" s="9" t="s">
        <v>652</v>
      </c>
      <c r="E491" s="9" t="s">
        <v>33</v>
      </c>
      <c r="F491" s="7" t="s">
        <v>50</v>
      </c>
      <c r="G491" s="7" t="s">
        <v>45</v>
      </c>
      <c r="H491" s="7" t="s">
        <v>46</v>
      </c>
      <c r="I491" s="9">
        <v>140</v>
      </c>
      <c r="J491" s="9" t="s">
        <v>414</v>
      </c>
      <c r="K491" s="9" t="s">
        <v>38</v>
      </c>
      <c r="L491" s="11">
        <v>1</v>
      </c>
      <c r="M491" s="14">
        <v>18000.0</v>
      </c>
      <c r="N491" s="14"/>
      <c r="O491" s="16">
        <f>IF(M491&gt;0, N491/M491, 0)</f>
        <v>0</v>
      </c>
      <c r="P491" s="14">
        <f>M491-N491</f>
        <v>18000</v>
      </c>
      <c r="Q491" s="14">
        <f>L491*M491</f>
        <v>18000</v>
      </c>
      <c r="R491" s="14">
        <f>L491*N491</f>
        <v>0</v>
      </c>
      <c r="S491" s="14">
        <f>L491*P491</f>
        <v>18000</v>
      </c>
      <c r="T491" s="14"/>
      <c r="U491" s="14">
        <f>L491*T491</f>
        <v>0</v>
      </c>
      <c r="V491" s="14">
        <f>S491-U491</f>
        <v>18000</v>
      </c>
      <c r="W491" s="16">
        <f>IF(S491&gt;0, V491/S491, 0)</f>
        <v>1</v>
      </c>
      <c r="X491" s="7" t="s">
        <v>39</v>
      </c>
      <c r="Y491" s="9" t="s">
        <v>40</v>
      </c>
      <c r="Z491" s="9" t="s">
        <v>41</v>
      </c>
      <c r="AA491" s="9" t="s">
        <v>42</v>
      </c>
      <c r="AB491" s="7" t="s">
        <v>42</v>
      </c>
    </row>
    <row r="492" spans="1:28">
      <c r="A492" s="8">
        <v>485</v>
      </c>
      <c r="B492" s="8" t="s">
        <v>763</v>
      </c>
      <c r="C492" s="8" t="s">
        <v>759</v>
      </c>
      <c r="D492" s="8" t="s">
        <v>652</v>
      </c>
      <c r="E492" s="8" t="s">
        <v>33</v>
      </c>
      <c r="F492" s="6" t="s">
        <v>34</v>
      </c>
      <c r="G492" s="6" t="s">
        <v>51</v>
      </c>
      <c r="H492" s="6" t="s">
        <v>51</v>
      </c>
      <c r="I492" s="8">
        <v>158</v>
      </c>
      <c r="J492" s="8" t="s">
        <v>122</v>
      </c>
      <c r="K492" s="8" t="s">
        <v>38</v>
      </c>
      <c r="L492" s="10">
        <v>1</v>
      </c>
      <c r="M492" s="13">
        <v>8500.0</v>
      </c>
      <c r="N492" s="13"/>
      <c r="O492" s="15">
        <f>IF(M492&gt;0, N492/M492, 0)</f>
        <v>0</v>
      </c>
      <c r="P492" s="13">
        <f>M492-N492</f>
        <v>8500</v>
      </c>
      <c r="Q492" s="13">
        <f>L492*M492</f>
        <v>8500</v>
      </c>
      <c r="R492" s="13">
        <f>L492*N492</f>
        <v>0</v>
      </c>
      <c r="S492" s="13">
        <f>L492*P492</f>
        <v>8500</v>
      </c>
      <c r="T492" s="13"/>
      <c r="U492" s="13">
        <f>L492*T492</f>
        <v>0</v>
      </c>
      <c r="V492" s="13">
        <f>S492-U492</f>
        <v>8500</v>
      </c>
      <c r="W492" s="15">
        <f>IF(S492&gt;0, V492/S492, 0)</f>
        <v>1</v>
      </c>
      <c r="X492" s="6" t="s">
        <v>39</v>
      </c>
      <c r="Y492" s="8" t="s">
        <v>40</v>
      </c>
      <c r="Z492" s="8" t="s">
        <v>41</v>
      </c>
      <c r="AA492" s="8" t="s">
        <v>42</v>
      </c>
      <c r="AB492" s="6" t="s">
        <v>42</v>
      </c>
    </row>
    <row r="493" spans="1:28">
      <c r="A493" s="9">
        <v>486</v>
      </c>
      <c r="B493" s="9" t="s">
        <v>764</v>
      </c>
      <c r="C493" s="9" t="s">
        <v>759</v>
      </c>
      <c r="D493" s="9" t="s">
        <v>652</v>
      </c>
      <c r="E493" s="9" t="s">
        <v>33</v>
      </c>
      <c r="F493" s="7" t="s">
        <v>34</v>
      </c>
      <c r="G493" s="7" t="s">
        <v>51</v>
      </c>
      <c r="H493" s="7" t="s">
        <v>51</v>
      </c>
      <c r="I493" s="9">
        <v>164</v>
      </c>
      <c r="J493" s="9" t="s">
        <v>61</v>
      </c>
      <c r="K493" s="9" t="s">
        <v>38</v>
      </c>
      <c r="L493" s="11">
        <v>1</v>
      </c>
      <c r="M493" s="14">
        <v>8500.0</v>
      </c>
      <c r="N493" s="14"/>
      <c r="O493" s="16">
        <f>IF(M493&gt;0, N493/M493, 0)</f>
        <v>0</v>
      </c>
      <c r="P493" s="14">
        <f>M493-N493</f>
        <v>8500</v>
      </c>
      <c r="Q493" s="14">
        <f>L493*M493</f>
        <v>8500</v>
      </c>
      <c r="R493" s="14">
        <f>L493*N493</f>
        <v>0</v>
      </c>
      <c r="S493" s="14">
        <f>L493*P493</f>
        <v>8500</v>
      </c>
      <c r="T493" s="14"/>
      <c r="U493" s="14">
        <f>L493*T493</f>
        <v>0</v>
      </c>
      <c r="V493" s="14">
        <f>S493-U493</f>
        <v>8500</v>
      </c>
      <c r="W493" s="16">
        <f>IF(S493&gt;0, V493/S493, 0)</f>
        <v>1</v>
      </c>
      <c r="X493" s="7" t="s">
        <v>39</v>
      </c>
      <c r="Y493" s="9" t="s">
        <v>40</v>
      </c>
      <c r="Z493" s="9" t="s">
        <v>41</v>
      </c>
      <c r="AA493" s="9" t="s">
        <v>42</v>
      </c>
      <c r="AB493" s="7" t="s">
        <v>42</v>
      </c>
    </row>
    <row r="494" spans="1:28">
      <c r="A494" s="8">
        <v>487</v>
      </c>
      <c r="B494" s="8" t="s">
        <v>765</v>
      </c>
      <c r="C494" s="8" t="s">
        <v>759</v>
      </c>
      <c r="D494" s="8" t="s">
        <v>652</v>
      </c>
      <c r="E494" s="8" t="s">
        <v>33</v>
      </c>
      <c r="F494" s="6" t="s">
        <v>50</v>
      </c>
      <c r="G494" s="6" t="s">
        <v>63</v>
      </c>
      <c r="H494" s="6" t="s">
        <v>148</v>
      </c>
      <c r="I494" s="8">
        <v>110</v>
      </c>
      <c r="J494" s="8" t="s">
        <v>228</v>
      </c>
      <c r="K494" s="8" t="s">
        <v>38</v>
      </c>
      <c r="L494" s="10">
        <v>1</v>
      </c>
      <c r="M494" s="13">
        <v>9000.0</v>
      </c>
      <c r="N494" s="13"/>
      <c r="O494" s="15">
        <f>IF(M494&gt;0, N494/M494, 0)</f>
        <v>0</v>
      </c>
      <c r="P494" s="13">
        <f>M494-N494</f>
        <v>9000</v>
      </c>
      <c r="Q494" s="13">
        <f>L494*M494</f>
        <v>9000</v>
      </c>
      <c r="R494" s="13">
        <f>L494*N494</f>
        <v>0</v>
      </c>
      <c r="S494" s="13">
        <f>L494*P494</f>
        <v>9000</v>
      </c>
      <c r="T494" s="13"/>
      <c r="U494" s="13">
        <f>L494*T494</f>
        <v>0</v>
      </c>
      <c r="V494" s="13">
        <f>S494-U494</f>
        <v>9000</v>
      </c>
      <c r="W494" s="15">
        <f>IF(S494&gt;0, V494/S494, 0)</f>
        <v>1</v>
      </c>
      <c r="X494" s="6" t="s">
        <v>39</v>
      </c>
      <c r="Y494" s="8" t="s">
        <v>40</v>
      </c>
      <c r="Z494" s="8" t="s">
        <v>41</v>
      </c>
      <c r="AA494" s="8" t="s">
        <v>42</v>
      </c>
      <c r="AB494" s="6" t="s">
        <v>42</v>
      </c>
    </row>
    <row r="495" spans="1:28">
      <c r="A495" s="9">
        <v>488</v>
      </c>
      <c r="B495" s="9" t="s">
        <v>766</v>
      </c>
      <c r="C495" s="9" t="s">
        <v>759</v>
      </c>
      <c r="D495" s="9" t="s">
        <v>652</v>
      </c>
      <c r="E495" s="9" t="s">
        <v>33</v>
      </c>
      <c r="F495" s="7" t="s">
        <v>50</v>
      </c>
      <c r="G495" s="7" t="s">
        <v>51</v>
      </c>
      <c r="H495" s="7" t="s">
        <v>51</v>
      </c>
      <c r="I495" s="9">
        <v>110</v>
      </c>
      <c r="J495" s="9" t="s">
        <v>230</v>
      </c>
      <c r="K495" s="9" t="s">
        <v>53</v>
      </c>
      <c r="L495" s="11">
        <v>1</v>
      </c>
      <c r="M495" s="14">
        <v>8000.0</v>
      </c>
      <c r="N495" s="14"/>
      <c r="O495" s="16">
        <f>IF(M495&gt;0, N495/M495, 0)</f>
        <v>0</v>
      </c>
      <c r="P495" s="14">
        <f>M495-N495</f>
        <v>8000</v>
      </c>
      <c r="Q495" s="14">
        <f>L495*M495</f>
        <v>8000</v>
      </c>
      <c r="R495" s="14">
        <f>L495*N495</f>
        <v>0</v>
      </c>
      <c r="S495" s="14">
        <f>L495*P495</f>
        <v>8000</v>
      </c>
      <c r="T495" s="14"/>
      <c r="U495" s="14">
        <f>L495*T495</f>
        <v>0</v>
      </c>
      <c r="V495" s="14">
        <f>S495-U495</f>
        <v>8000</v>
      </c>
      <c r="W495" s="16">
        <f>IF(S495&gt;0, V495/S495, 0)</f>
        <v>1</v>
      </c>
      <c r="X495" s="7" t="s">
        <v>39</v>
      </c>
      <c r="Y495" s="9" t="s">
        <v>40</v>
      </c>
      <c r="Z495" s="9" t="s">
        <v>41</v>
      </c>
      <c r="AA495" s="9" t="s">
        <v>42</v>
      </c>
      <c r="AB495" s="7" t="s">
        <v>42</v>
      </c>
    </row>
    <row r="496" spans="1:28">
      <c r="A496" s="8">
        <v>489</v>
      </c>
      <c r="B496" s="8" t="s">
        <v>767</v>
      </c>
      <c r="C496" s="8" t="s">
        <v>759</v>
      </c>
      <c r="D496" s="8" t="s">
        <v>652</v>
      </c>
      <c r="E496" s="8" t="s">
        <v>33</v>
      </c>
      <c r="F496" s="6" t="s">
        <v>50</v>
      </c>
      <c r="G496" s="6" t="s">
        <v>69</v>
      </c>
      <c r="H496" s="6" t="s">
        <v>69</v>
      </c>
      <c r="I496" s="8">
        <v>110</v>
      </c>
      <c r="J496" s="8" t="s">
        <v>768</v>
      </c>
      <c r="K496" s="8" t="s">
        <v>38</v>
      </c>
      <c r="L496" s="10">
        <v>1</v>
      </c>
      <c r="M496" s="13">
        <v>16000.0</v>
      </c>
      <c r="N496" s="13"/>
      <c r="O496" s="15">
        <f>IF(M496&gt;0, N496/M496, 0)</f>
        <v>0</v>
      </c>
      <c r="P496" s="13">
        <f>M496-N496</f>
        <v>16000</v>
      </c>
      <c r="Q496" s="13">
        <f>L496*M496</f>
        <v>16000</v>
      </c>
      <c r="R496" s="13">
        <f>L496*N496</f>
        <v>0</v>
      </c>
      <c r="S496" s="13">
        <f>L496*P496</f>
        <v>16000</v>
      </c>
      <c r="T496" s="13"/>
      <c r="U496" s="13">
        <f>L496*T496</f>
        <v>0</v>
      </c>
      <c r="V496" s="13">
        <f>S496-U496</f>
        <v>16000</v>
      </c>
      <c r="W496" s="15">
        <f>IF(S496&gt;0, V496/S496, 0)</f>
        <v>1</v>
      </c>
      <c r="X496" s="6" t="s">
        <v>39</v>
      </c>
      <c r="Y496" s="8" t="s">
        <v>40</v>
      </c>
      <c r="Z496" s="8" t="s">
        <v>41</v>
      </c>
      <c r="AA496" s="8" t="s">
        <v>42</v>
      </c>
      <c r="AB496" s="6" t="s">
        <v>42</v>
      </c>
    </row>
    <row r="497" spans="1:28">
      <c r="A497" s="9">
        <v>490</v>
      </c>
      <c r="B497" s="9" t="s">
        <v>769</v>
      </c>
      <c r="C497" s="9" t="s">
        <v>759</v>
      </c>
      <c r="D497" s="9" t="s">
        <v>652</v>
      </c>
      <c r="E497" s="9" t="s">
        <v>33</v>
      </c>
      <c r="F497" s="7" t="s">
        <v>50</v>
      </c>
      <c r="G497" s="7" t="s">
        <v>45</v>
      </c>
      <c r="H497" s="7" t="s">
        <v>46</v>
      </c>
      <c r="I497" s="9">
        <v>110</v>
      </c>
      <c r="J497" s="9" t="s">
        <v>770</v>
      </c>
      <c r="K497" s="9" t="s">
        <v>38</v>
      </c>
      <c r="L497" s="11">
        <v>1</v>
      </c>
      <c r="M497" s="14">
        <v>18000.0</v>
      </c>
      <c r="N497" s="14"/>
      <c r="O497" s="16">
        <f>IF(M497&gt;0, N497/M497, 0)</f>
        <v>0</v>
      </c>
      <c r="P497" s="14">
        <f>M497-N497</f>
        <v>18000</v>
      </c>
      <c r="Q497" s="14">
        <f>L497*M497</f>
        <v>18000</v>
      </c>
      <c r="R497" s="14">
        <f>L497*N497</f>
        <v>0</v>
      </c>
      <c r="S497" s="14">
        <f>L497*P497</f>
        <v>18000</v>
      </c>
      <c r="T497" s="14"/>
      <c r="U497" s="14">
        <f>L497*T497</f>
        <v>0</v>
      </c>
      <c r="V497" s="14">
        <f>S497-U497</f>
        <v>18000</v>
      </c>
      <c r="W497" s="16">
        <f>IF(S497&gt;0, V497/S497, 0)</f>
        <v>1</v>
      </c>
      <c r="X497" s="7" t="s">
        <v>39</v>
      </c>
      <c r="Y497" s="9" t="s">
        <v>40</v>
      </c>
      <c r="Z497" s="9" t="s">
        <v>41</v>
      </c>
      <c r="AA497" s="9" t="s">
        <v>42</v>
      </c>
      <c r="AB497" s="7" t="s">
        <v>42</v>
      </c>
    </row>
    <row r="498" spans="1:28">
      <c r="A498" s="8">
        <v>491</v>
      </c>
      <c r="B498" s="8" t="s">
        <v>771</v>
      </c>
      <c r="C498" s="8" t="s">
        <v>759</v>
      </c>
      <c r="D498" s="8" t="s">
        <v>652</v>
      </c>
      <c r="E498" s="8" t="s">
        <v>33</v>
      </c>
      <c r="F498" s="6" t="s">
        <v>50</v>
      </c>
      <c r="G498" s="6" t="s">
        <v>35</v>
      </c>
      <c r="H498" s="6" t="s">
        <v>73</v>
      </c>
      <c r="I498" s="8">
        <v>110</v>
      </c>
      <c r="J498" s="8" t="s">
        <v>772</v>
      </c>
      <c r="K498" s="8" t="s">
        <v>53</v>
      </c>
      <c r="L498" s="10">
        <v>1</v>
      </c>
      <c r="M498" s="13">
        <v>8000.0</v>
      </c>
      <c r="N498" s="13"/>
      <c r="O498" s="15">
        <f>IF(M498&gt;0, N498/M498, 0)</f>
        <v>0</v>
      </c>
      <c r="P498" s="13">
        <f>M498-N498</f>
        <v>8000</v>
      </c>
      <c r="Q498" s="13">
        <f>L498*M498</f>
        <v>8000</v>
      </c>
      <c r="R498" s="13">
        <f>L498*N498</f>
        <v>0</v>
      </c>
      <c r="S498" s="13">
        <f>L498*P498</f>
        <v>8000</v>
      </c>
      <c r="T498" s="13"/>
      <c r="U498" s="13">
        <f>L498*T498</f>
        <v>0</v>
      </c>
      <c r="V498" s="13">
        <f>S498-U498</f>
        <v>8000</v>
      </c>
      <c r="W498" s="15">
        <f>IF(S498&gt;0, V498/S498, 0)</f>
        <v>1</v>
      </c>
      <c r="X498" s="6" t="s">
        <v>39</v>
      </c>
      <c r="Y498" s="8" t="s">
        <v>40</v>
      </c>
      <c r="Z498" s="8" t="s">
        <v>41</v>
      </c>
      <c r="AA498" s="8" t="s">
        <v>42</v>
      </c>
      <c r="AB498" s="6" t="s">
        <v>42</v>
      </c>
    </row>
    <row r="499" spans="1:28">
      <c r="A499" s="9">
        <v>492</v>
      </c>
      <c r="B499" s="9" t="s">
        <v>773</v>
      </c>
      <c r="C499" s="9" t="s">
        <v>759</v>
      </c>
      <c r="D499" s="9" t="s">
        <v>652</v>
      </c>
      <c r="E499" s="9" t="s">
        <v>33</v>
      </c>
      <c r="F499" s="7" t="s">
        <v>50</v>
      </c>
      <c r="G499" s="7" t="s">
        <v>45</v>
      </c>
      <c r="H499" s="7" t="s">
        <v>46</v>
      </c>
      <c r="I499" s="9">
        <v>122</v>
      </c>
      <c r="J499" s="9" t="s">
        <v>476</v>
      </c>
      <c r="K499" s="9" t="s">
        <v>38</v>
      </c>
      <c r="L499" s="11">
        <v>1</v>
      </c>
      <c r="M499" s="14">
        <v>18000.0</v>
      </c>
      <c r="N499" s="14"/>
      <c r="O499" s="16">
        <f>IF(M499&gt;0, N499/M499, 0)</f>
        <v>0</v>
      </c>
      <c r="P499" s="14">
        <f>M499-N499</f>
        <v>18000</v>
      </c>
      <c r="Q499" s="14">
        <f>L499*M499</f>
        <v>18000</v>
      </c>
      <c r="R499" s="14">
        <f>L499*N499</f>
        <v>0</v>
      </c>
      <c r="S499" s="14">
        <f>L499*P499</f>
        <v>18000</v>
      </c>
      <c r="T499" s="14"/>
      <c r="U499" s="14">
        <f>L499*T499</f>
        <v>0</v>
      </c>
      <c r="V499" s="14">
        <f>S499-U499</f>
        <v>18000</v>
      </c>
      <c r="W499" s="16">
        <f>IF(S499&gt;0, V499/S499, 0)</f>
        <v>1</v>
      </c>
      <c r="X499" s="7" t="s">
        <v>39</v>
      </c>
      <c r="Y499" s="9" t="s">
        <v>40</v>
      </c>
      <c r="Z499" s="9" t="s">
        <v>41</v>
      </c>
      <c r="AA499" s="9" t="s">
        <v>42</v>
      </c>
      <c r="AB499" s="7" t="s">
        <v>42</v>
      </c>
    </row>
    <row r="500" spans="1:28">
      <c r="A500" s="8">
        <v>493</v>
      </c>
      <c r="B500" s="8" t="s">
        <v>774</v>
      </c>
      <c r="C500" s="8" t="s">
        <v>759</v>
      </c>
      <c r="D500" s="8" t="s">
        <v>652</v>
      </c>
      <c r="E500" s="8" t="s">
        <v>33</v>
      </c>
      <c r="F500" s="6" t="s">
        <v>34</v>
      </c>
      <c r="G500" s="6" t="s">
        <v>45</v>
      </c>
      <c r="H500" s="6" t="s">
        <v>46</v>
      </c>
      <c r="I500" s="8">
        <v>170</v>
      </c>
      <c r="J500" s="8" t="s">
        <v>181</v>
      </c>
      <c r="K500" s="8" t="s">
        <v>38</v>
      </c>
      <c r="L500" s="10">
        <v>1</v>
      </c>
      <c r="M500" s="13">
        <v>18000.0</v>
      </c>
      <c r="N500" s="13"/>
      <c r="O500" s="15">
        <f>IF(M500&gt;0, N500/M500, 0)</f>
        <v>0</v>
      </c>
      <c r="P500" s="13">
        <f>M500-N500</f>
        <v>18000</v>
      </c>
      <c r="Q500" s="13">
        <f>L500*M500</f>
        <v>18000</v>
      </c>
      <c r="R500" s="13">
        <f>L500*N500</f>
        <v>0</v>
      </c>
      <c r="S500" s="13">
        <f>L500*P500</f>
        <v>18000</v>
      </c>
      <c r="T500" s="13"/>
      <c r="U500" s="13">
        <f>L500*T500</f>
        <v>0</v>
      </c>
      <c r="V500" s="13">
        <f>S500-U500</f>
        <v>18000</v>
      </c>
      <c r="W500" s="15">
        <f>IF(S500&gt;0, V500/S500, 0)</f>
        <v>1</v>
      </c>
      <c r="X500" s="6" t="s">
        <v>39</v>
      </c>
      <c r="Y500" s="8" t="s">
        <v>40</v>
      </c>
      <c r="Z500" s="8" t="s">
        <v>41</v>
      </c>
      <c r="AA500" s="8" t="s">
        <v>42</v>
      </c>
      <c r="AB500" s="6" t="s">
        <v>42</v>
      </c>
    </row>
    <row r="501" spans="1:28">
      <c r="A501" s="9">
        <v>494</v>
      </c>
      <c r="B501" s="9" t="s">
        <v>775</v>
      </c>
      <c r="C501" s="9" t="s">
        <v>759</v>
      </c>
      <c r="D501" s="9" t="s">
        <v>652</v>
      </c>
      <c r="E501" s="9" t="s">
        <v>33</v>
      </c>
      <c r="F501" s="7" t="s">
        <v>34</v>
      </c>
      <c r="G501" s="7" t="s">
        <v>51</v>
      </c>
      <c r="H501" s="7" t="s">
        <v>51</v>
      </c>
      <c r="I501" s="9">
        <v>194</v>
      </c>
      <c r="J501" s="9" t="s">
        <v>734</v>
      </c>
      <c r="K501" s="9" t="s">
        <v>38</v>
      </c>
      <c r="L501" s="11">
        <v>1</v>
      </c>
      <c r="M501" s="14">
        <v>8500.0</v>
      </c>
      <c r="N501" s="14"/>
      <c r="O501" s="16">
        <f>IF(M501&gt;0, N501/M501, 0)</f>
        <v>0</v>
      </c>
      <c r="P501" s="14">
        <f>M501-N501</f>
        <v>8500</v>
      </c>
      <c r="Q501" s="14">
        <f>L501*M501</f>
        <v>8500</v>
      </c>
      <c r="R501" s="14">
        <f>L501*N501</f>
        <v>0</v>
      </c>
      <c r="S501" s="14">
        <f>L501*P501</f>
        <v>8500</v>
      </c>
      <c r="T501" s="14"/>
      <c r="U501" s="14">
        <f>L501*T501</f>
        <v>0</v>
      </c>
      <c r="V501" s="14">
        <f>S501-U501</f>
        <v>8500</v>
      </c>
      <c r="W501" s="16">
        <f>IF(S501&gt;0, V501/S501, 0)</f>
        <v>1</v>
      </c>
      <c r="X501" s="7" t="s">
        <v>39</v>
      </c>
      <c r="Y501" s="9" t="s">
        <v>40</v>
      </c>
      <c r="Z501" s="9" t="s">
        <v>41</v>
      </c>
      <c r="AA501" s="9" t="s">
        <v>42</v>
      </c>
      <c r="AB501" s="7" t="s">
        <v>42</v>
      </c>
    </row>
    <row r="502" spans="1:28">
      <c r="A502" s="8">
        <v>495</v>
      </c>
      <c r="B502" s="8" t="s">
        <v>776</v>
      </c>
      <c r="C502" s="8" t="s">
        <v>759</v>
      </c>
      <c r="D502" s="8" t="s">
        <v>652</v>
      </c>
      <c r="E502" s="8" t="s">
        <v>33</v>
      </c>
      <c r="F502" s="6" t="s">
        <v>34</v>
      </c>
      <c r="G502" s="6" t="s">
        <v>63</v>
      </c>
      <c r="H502" s="6" t="s">
        <v>148</v>
      </c>
      <c r="I502" s="8">
        <v>188</v>
      </c>
      <c r="J502" s="8" t="s">
        <v>169</v>
      </c>
      <c r="K502" s="8" t="s">
        <v>38</v>
      </c>
      <c r="L502" s="10">
        <v>1</v>
      </c>
      <c r="M502" s="13">
        <v>9500.0</v>
      </c>
      <c r="N502" s="13"/>
      <c r="O502" s="15">
        <f>IF(M502&gt;0, N502/M502, 0)</f>
        <v>0</v>
      </c>
      <c r="P502" s="13">
        <f>M502-N502</f>
        <v>9500</v>
      </c>
      <c r="Q502" s="13">
        <f>L502*M502</f>
        <v>9500</v>
      </c>
      <c r="R502" s="13">
        <f>L502*N502</f>
        <v>0</v>
      </c>
      <c r="S502" s="13">
        <f>L502*P502</f>
        <v>9500</v>
      </c>
      <c r="T502" s="13"/>
      <c r="U502" s="13">
        <f>L502*T502</f>
        <v>0</v>
      </c>
      <c r="V502" s="13">
        <f>S502-U502</f>
        <v>9500</v>
      </c>
      <c r="W502" s="15">
        <f>IF(S502&gt;0, V502/S502, 0)</f>
        <v>1</v>
      </c>
      <c r="X502" s="6" t="s">
        <v>39</v>
      </c>
      <c r="Y502" s="8" t="s">
        <v>40</v>
      </c>
      <c r="Z502" s="8" t="s">
        <v>41</v>
      </c>
      <c r="AA502" s="8" t="s">
        <v>42</v>
      </c>
      <c r="AB502" s="6" t="s">
        <v>42</v>
      </c>
    </row>
    <row r="503" spans="1:28">
      <c r="A503" s="9">
        <v>496</v>
      </c>
      <c r="B503" s="9" t="s">
        <v>777</v>
      </c>
      <c r="C503" s="9" t="s">
        <v>759</v>
      </c>
      <c r="D503" s="9" t="s">
        <v>652</v>
      </c>
      <c r="E503" s="9" t="s">
        <v>33</v>
      </c>
      <c r="F503" s="7" t="s">
        <v>34</v>
      </c>
      <c r="G503" s="7" t="s">
        <v>35</v>
      </c>
      <c r="H503" s="7" t="s">
        <v>36</v>
      </c>
      <c r="I503" s="9">
        <v>182</v>
      </c>
      <c r="J503" s="9" t="s">
        <v>335</v>
      </c>
      <c r="K503" s="9" t="s">
        <v>38</v>
      </c>
      <c r="L503" s="11">
        <v>2</v>
      </c>
      <c r="M503" s="14">
        <v>8000.0</v>
      </c>
      <c r="N503" s="14"/>
      <c r="O503" s="16">
        <f>IF(M503&gt;0, N503/M503, 0)</f>
        <v>0</v>
      </c>
      <c r="P503" s="14">
        <f>M503-N503</f>
        <v>8000</v>
      </c>
      <c r="Q503" s="14">
        <f>L503*M503</f>
        <v>16000</v>
      </c>
      <c r="R503" s="14">
        <f>L503*N503</f>
        <v>0</v>
      </c>
      <c r="S503" s="14">
        <f>L503*P503</f>
        <v>16000</v>
      </c>
      <c r="T503" s="14"/>
      <c r="U503" s="14">
        <f>L503*T503</f>
        <v>0</v>
      </c>
      <c r="V503" s="14">
        <f>S503-U503</f>
        <v>16000</v>
      </c>
      <c r="W503" s="16">
        <f>IF(S503&gt;0, V503/S503, 0)</f>
        <v>1</v>
      </c>
      <c r="X503" s="7" t="s">
        <v>39</v>
      </c>
      <c r="Y503" s="9" t="s">
        <v>40</v>
      </c>
      <c r="Z503" s="9" t="s">
        <v>41</v>
      </c>
      <c r="AA503" s="9" t="s">
        <v>42</v>
      </c>
      <c r="AB503" s="7" t="s">
        <v>42</v>
      </c>
    </row>
    <row r="504" spans="1:28">
      <c r="A504" s="8">
        <v>497</v>
      </c>
      <c r="B504" s="8" t="s">
        <v>778</v>
      </c>
      <c r="C504" s="8" t="s">
        <v>759</v>
      </c>
      <c r="D504" s="8" t="s">
        <v>652</v>
      </c>
      <c r="E504" s="8" t="s">
        <v>33</v>
      </c>
      <c r="F504" s="6" t="s">
        <v>34</v>
      </c>
      <c r="G504" s="6" t="s">
        <v>69</v>
      </c>
      <c r="H504" s="6" t="s">
        <v>69</v>
      </c>
      <c r="I504" s="8">
        <v>182</v>
      </c>
      <c r="J504" s="8" t="s">
        <v>422</v>
      </c>
      <c r="K504" s="8" t="s">
        <v>38</v>
      </c>
      <c r="L504" s="10">
        <v>1</v>
      </c>
      <c r="M504" s="13">
        <v>16500.0</v>
      </c>
      <c r="N504" s="13"/>
      <c r="O504" s="15">
        <f>IF(M504&gt;0, N504/M504, 0)</f>
        <v>0</v>
      </c>
      <c r="P504" s="13">
        <f>M504-N504</f>
        <v>16500</v>
      </c>
      <c r="Q504" s="13">
        <f>L504*M504</f>
        <v>16500</v>
      </c>
      <c r="R504" s="13">
        <f>L504*N504</f>
        <v>0</v>
      </c>
      <c r="S504" s="13">
        <f>L504*P504</f>
        <v>16500</v>
      </c>
      <c r="T504" s="13"/>
      <c r="U504" s="13">
        <f>L504*T504</f>
        <v>0</v>
      </c>
      <c r="V504" s="13">
        <f>S504-U504</f>
        <v>16500</v>
      </c>
      <c r="W504" s="15">
        <f>IF(S504&gt;0, V504/S504, 0)</f>
        <v>1</v>
      </c>
      <c r="X504" s="6" t="s">
        <v>39</v>
      </c>
      <c r="Y504" s="8" t="s">
        <v>40</v>
      </c>
      <c r="Z504" s="8" t="s">
        <v>41</v>
      </c>
      <c r="AA504" s="8" t="s">
        <v>42</v>
      </c>
      <c r="AB504" s="6" t="s">
        <v>42</v>
      </c>
    </row>
    <row r="505" spans="1:28">
      <c r="A505" s="9">
        <v>498</v>
      </c>
      <c r="B505" s="9" t="s">
        <v>779</v>
      </c>
      <c r="C505" s="9" t="s">
        <v>759</v>
      </c>
      <c r="D505" s="9" t="s">
        <v>652</v>
      </c>
      <c r="E505" s="9" t="s">
        <v>68</v>
      </c>
      <c r="F505" s="7" t="s">
        <v>34</v>
      </c>
      <c r="G505" s="7" t="s">
        <v>51</v>
      </c>
      <c r="H505" s="7" t="s">
        <v>51</v>
      </c>
      <c r="I505" s="9">
        <v>194</v>
      </c>
      <c r="J505" s="9" t="s">
        <v>734</v>
      </c>
      <c r="K505" s="9" t="s">
        <v>38</v>
      </c>
      <c r="L505" s="11">
        <v>1</v>
      </c>
      <c r="M505" s="14">
        <v>10000.0</v>
      </c>
      <c r="N505" s="14"/>
      <c r="O505" s="16">
        <f>IF(M505&gt;0, N505/M505, 0)</f>
        <v>0</v>
      </c>
      <c r="P505" s="14">
        <f>M505-N505</f>
        <v>10000</v>
      </c>
      <c r="Q505" s="14">
        <f>L505*M505</f>
        <v>10000</v>
      </c>
      <c r="R505" s="14">
        <f>L505*N505</f>
        <v>0</v>
      </c>
      <c r="S505" s="14">
        <f>L505*P505</f>
        <v>10000</v>
      </c>
      <c r="T505" s="14"/>
      <c r="U505" s="14">
        <f>L505*T505</f>
        <v>0</v>
      </c>
      <c r="V505" s="14">
        <f>S505-U505</f>
        <v>10000</v>
      </c>
      <c r="W505" s="16">
        <f>IF(S505&gt;0, V505/S505, 0)</f>
        <v>1</v>
      </c>
      <c r="X505" s="7" t="s">
        <v>39</v>
      </c>
      <c r="Y505" s="9" t="s">
        <v>40</v>
      </c>
      <c r="Z505" s="9" t="s">
        <v>71</v>
      </c>
      <c r="AA505" s="9" t="s">
        <v>42</v>
      </c>
      <c r="AB505" s="7" t="s">
        <v>42</v>
      </c>
    </row>
    <row r="506" spans="1:28">
      <c r="A506" s="8">
        <v>499</v>
      </c>
      <c r="B506" s="8" t="s">
        <v>780</v>
      </c>
      <c r="C506" s="8" t="s">
        <v>759</v>
      </c>
      <c r="D506" s="8" t="s">
        <v>652</v>
      </c>
      <c r="E506" s="8" t="s">
        <v>33</v>
      </c>
      <c r="F506" s="6" t="s">
        <v>34</v>
      </c>
      <c r="G506" s="6" t="s">
        <v>45</v>
      </c>
      <c r="H506" s="6" t="s">
        <v>46</v>
      </c>
      <c r="I506" s="8">
        <v>188</v>
      </c>
      <c r="J506" s="8" t="s">
        <v>512</v>
      </c>
      <c r="K506" s="8" t="s">
        <v>38</v>
      </c>
      <c r="L506" s="10">
        <v>1</v>
      </c>
      <c r="M506" s="13">
        <v>18000.0</v>
      </c>
      <c r="N506" s="13"/>
      <c r="O506" s="15">
        <f>IF(M506&gt;0, N506/M506, 0)</f>
        <v>0</v>
      </c>
      <c r="P506" s="13">
        <f>M506-N506</f>
        <v>18000</v>
      </c>
      <c r="Q506" s="13">
        <f>L506*M506</f>
        <v>18000</v>
      </c>
      <c r="R506" s="13">
        <f>L506*N506</f>
        <v>0</v>
      </c>
      <c r="S506" s="13">
        <f>L506*P506</f>
        <v>18000</v>
      </c>
      <c r="T506" s="13"/>
      <c r="U506" s="13">
        <f>L506*T506</f>
        <v>0</v>
      </c>
      <c r="V506" s="13">
        <f>S506-U506</f>
        <v>18000</v>
      </c>
      <c r="W506" s="15">
        <f>IF(S506&gt;0, V506/S506, 0)</f>
        <v>1</v>
      </c>
      <c r="X506" s="6" t="s">
        <v>39</v>
      </c>
      <c r="Y506" s="8" t="s">
        <v>40</v>
      </c>
      <c r="Z506" s="8" t="s">
        <v>41</v>
      </c>
      <c r="AA506" s="8" t="s">
        <v>42</v>
      </c>
      <c r="AB506" s="6" t="s">
        <v>42</v>
      </c>
    </row>
    <row r="507" spans="1:28">
      <c r="A507" s="9">
        <v>500</v>
      </c>
      <c r="B507" s="9" t="s">
        <v>781</v>
      </c>
      <c r="C507" s="9" t="s">
        <v>759</v>
      </c>
      <c r="D507" s="9" t="s">
        <v>652</v>
      </c>
      <c r="E507" s="9" t="s">
        <v>33</v>
      </c>
      <c r="F507" s="7" t="s">
        <v>34</v>
      </c>
      <c r="G507" s="7" t="s">
        <v>63</v>
      </c>
      <c r="H507" s="7" t="s">
        <v>148</v>
      </c>
      <c r="I507" s="9">
        <v>182</v>
      </c>
      <c r="J507" s="9" t="s">
        <v>739</v>
      </c>
      <c r="K507" s="9" t="s">
        <v>38</v>
      </c>
      <c r="L507" s="11">
        <v>2</v>
      </c>
      <c r="M507" s="14">
        <v>9500.0</v>
      </c>
      <c r="N507" s="14"/>
      <c r="O507" s="16">
        <f>IF(M507&gt;0, N507/M507, 0)</f>
        <v>0</v>
      </c>
      <c r="P507" s="14">
        <f>M507-N507</f>
        <v>9500</v>
      </c>
      <c r="Q507" s="14">
        <f>L507*M507</f>
        <v>19000</v>
      </c>
      <c r="R507" s="14">
        <f>L507*N507</f>
        <v>0</v>
      </c>
      <c r="S507" s="14">
        <f>L507*P507</f>
        <v>19000</v>
      </c>
      <c r="T507" s="14"/>
      <c r="U507" s="14">
        <f>L507*T507</f>
        <v>0</v>
      </c>
      <c r="V507" s="14">
        <f>S507-U507</f>
        <v>19000</v>
      </c>
      <c r="W507" s="16">
        <f>IF(S507&gt;0, V507/S507, 0)</f>
        <v>1</v>
      </c>
      <c r="X507" s="7" t="s">
        <v>39</v>
      </c>
      <c r="Y507" s="9" t="s">
        <v>40</v>
      </c>
      <c r="Z507" s="9" t="s">
        <v>41</v>
      </c>
      <c r="AA507" s="9" t="s">
        <v>42</v>
      </c>
      <c r="AB507" s="7" t="s">
        <v>42</v>
      </c>
    </row>
    <row r="508" spans="1:28">
      <c r="A508" s="8">
        <v>501</v>
      </c>
      <c r="B508" s="8" t="s">
        <v>782</v>
      </c>
      <c r="C508" s="8" t="s">
        <v>759</v>
      </c>
      <c r="D508" s="8" t="s">
        <v>652</v>
      </c>
      <c r="E508" s="8" t="s">
        <v>33</v>
      </c>
      <c r="F508" s="6" t="s">
        <v>34</v>
      </c>
      <c r="G508" s="6" t="s">
        <v>51</v>
      </c>
      <c r="H508" s="6" t="s">
        <v>51</v>
      </c>
      <c r="I508" s="8">
        <v>194</v>
      </c>
      <c r="J508" s="8" t="s">
        <v>734</v>
      </c>
      <c r="K508" s="8" t="s">
        <v>38</v>
      </c>
      <c r="L508" s="10">
        <v>1</v>
      </c>
      <c r="M508" s="13">
        <v>8500.0</v>
      </c>
      <c r="N508" s="13"/>
      <c r="O508" s="15">
        <f>IF(M508&gt;0, N508/M508, 0)</f>
        <v>0</v>
      </c>
      <c r="P508" s="13">
        <f>M508-N508</f>
        <v>8500</v>
      </c>
      <c r="Q508" s="13">
        <f>L508*M508</f>
        <v>8500</v>
      </c>
      <c r="R508" s="13">
        <f>L508*N508</f>
        <v>0</v>
      </c>
      <c r="S508" s="13">
        <f>L508*P508</f>
        <v>8500</v>
      </c>
      <c r="T508" s="13"/>
      <c r="U508" s="13">
        <f>L508*T508</f>
        <v>0</v>
      </c>
      <c r="V508" s="13">
        <f>S508-U508</f>
        <v>8500</v>
      </c>
      <c r="W508" s="15">
        <f>IF(S508&gt;0, V508/S508, 0)</f>
        <v>1</v>
      </c>
      <c r="X508" s="6" t="s">
        <v>39</v>
      </c>
      <c r="Y508" s="8" t="s">
        <v>40</v>
      </c>
      <c r="Z508" s="8" t="s">
        <v>41</v>
      </c>
      <c r="AA508" s="8" t="s">
        <v>42</v>
      </c>
      <c r="AB508" s="6" t="s">
        <v>42</v>
      </c>
    </row>
    <row r="509" spans="1:28">
      <c r="A509" s="9">
        <v>502</v>
      </c>
      <c r="B509" s="9" t="s">
        <v>783</v>
      </c>
      <c r="C509" s="9" t="s">
        <v>759</v>
      </c>
      <c r="D509" s="9" t="s">
        <v>652</v>
      </c>
      <c r="E509" s="9" t="s">
        <v>33</v>
      </c>
      <c r="F509" s="7" t="s">
        <v>34</v>
      </c>
      <c r="G509" s="7" t="s">
        <v>69</v>
      </c>
      <c r="H509" s="7" t="s">
        <v>69</v>
      </c>
      <c r="I509" s="9">
        <v>182</v>
      </c>
      <c r="J509" s="9" t="s">
        <v>422</v>
      </c>
      <c r="K509" s="9" t="s">
        <v>38</v>
      </c>
      <c r="L509" s="11">
        <v>1</v>
      </c>
      <c r="M509" s="14">
        <v>16500.0</v>
      </c>
      <c r="N509" s="14"/>
      <c r="O509" s="16">
        <f>IF(M509&gt;0, N509/M509, 0)</f>
        <v>0</v>
      </c>
      <c r="P509" s="14">
        <f>M509-N509</f>
        <v>16500</v>
      </c>
      <c r="Q509" s="14">
        <f>L509*M509</f>
        <v>16500</v>
      </c>
      <c r="R509" s="14">
        <f>L509*N509</f>
        <v>0</v>
      </c>
      <c r="S509" s="14">
        <f>L509*P509</f>
        <v>16500</v>
      </c>
      <c r="T509" s="14"/>
      <c r="U509" s="14">
        <f>L509*T509</f>
        <v>0</v>
      </c>
      <c r="V509" s="14">
        <f>S509-U509</f>
        <v>16500</v>
      </c>
      <c r="W509" s="16">
        <f>IF(S509&gt;0, V509/S509, 0)</f>
        <v>1</v>
      </c>
      <c r="X509" s="7" t="s">
        <v>39</v>
      </c>
      <c r="Y509" s="9" t="s">
        <v>40</v>
      </c>
      <c r="Z509" s="9" t="s">
        <v>41</v>
      </c>
      <c r="AA509" s="9" t="s">
        <v>42</v>
      </c>
      <c r="AB509" s="7" t="s">
        <v>42</v>
      </c>
    </row>
    <row r="510" spans="1:28">
      <c r="A510" s="8">
        <v>503</v>
      </c>
      <c r="B510" s="8" t="s">
        <v>784</v>
      </c>
      <c r="C510" s="8" t="s">
        <v>759</v>
      </c>
      <c r="D510" s="8" t="s">
        <v>652</v>
      </c>
      <c r="E510" s="8" t="s">
        <v>33</v>
      </c>
      <c r="F510" s="6" t="s">
        <v>34</v>
      </c>
      <c r="G510" s="6" t="s">
        <v>35</v>
      </c>
      <c r="H510" s="6" t="s">
        <v>36</v>
      </c>
      <c r="I510" s="8">
        <v>182</v>
      </c>
      <c r="J510" s="8" t="s">
        <v>335</v>
      </c>
      <c r="K510" s="8" t="s">
        <v>38</v>
      </c>
      <c r="L510" s="10">
        <v>2</v>
      </c>
      <c r="M510" s="13">
        <v>8000.0</v>
      </c>
      <c r="N510" s="13"/>
      <c r="O510" s="15">
        <f>IF(M510&gt;0, N510/M510, 0)</f>
        <v>0</v>
      </c>
      <c r="P510" s="13">
        <f>M510-N510</f>
        <v>8000</v>
      </c>
      <c r="Q510" s="13">
        <f>L510*M510</f>
        <v>16000</v>
      </c>
      <c r="R510" s="13">
        <f>L510*N510</f>
        <v>0</v>
      </c>
      <c r="S510" s="13">
        <f>L510*P510</f>
        <v>16000</v>
      </c>
      <c r="T510" s="13"/>
      <c r="U510" s="13">
        <f>L510*T510</f>
        <v>0</v>
      </c>
      <c r="V510" s="13">
        <f>S510-U510</f>
        <v>16000</v>
      </c>
      <c r="W510" s="15">
        <f>IF(S510&gt;0, V510/S510, 0)</f>
        <v>1</v>
      </c>
      <c r="X510" s="6" t="s">
        <v>39</v>
      </c>
      <c r="Y510" s="8" t="s">
        <v>40</v>
      </c>
      <c r="Z510" s="8" t="s">
        <v>41</v>
      </c>
      <c r="AA510" s="8" t="s">
        <v>42</v>
      </c>
      <c r="AB510" s="6" t="s">
        <v>42</v>
      </c>
    </row>
    <row r="511" spans="1:28">
      <c r="A511" s="9">
        <v>504</v>
      </c>
      <c r="B511" s="9" t="s">
        <v>785</v>
      </c>
      <c r="C511" s="9" t="s">
        <v>759</v>
      </c>
      <c r="D511" s="9" t="s">
        <v>652</v>
      </c>
      <c r="E511" s="9" t="s">
        <v>33</v>
      </c>
      <c r="F511" s="7" t="s">
        <v>34</v>
      </c>
      <c r="G511" s="7" t="s">
        <v>35</v>
      </c>
      <c r="H511" s="7" t="s">
        <v>73</v>
      </c>
      <c r="I511" s="9">
        <v>182</v>
      </c>
      <c r="J511" s="9" t="s">
        <v>354</v>
      </c>
      <c r="K511" s="9" t="s">
        <v>38</v>
      </c>
      <c r="L511" s="11">
        <v>2</v>
      </c>
      <c r="M511" s="14">
        <v>9000.0</v>
      </c>
      <c r="N511" s="14"/>
      <c r="O511" s="16">
        <f>IF(M511&gt;0, N511/M511, 0)</f>
        <v>0</v>
      </c>
      <c r="P511" s="14">
        <f>M511-N511</f>
        <v>9000</v>
      </c>
      <c r="Q511" s="14">
        <f>L511*M511</f>
        <v>18000</v>
      </c>
      <c r="R511" s="14">
        <f>L511*N511</f>
        <v>0</v>
      </c>
      <c r="S511" s="14">
        <f>L511*P511</f>
        <v>18000</v>
      </c>
      <c r="T511" s="14"/>
      <c r="U511" s="14">
        <f>L511*T511</f>
        <v>0</v>
      </c>
      <c r="V511" s="14">
        <f>S511-U511</f>
        <v>18000</v>
      </c>
      <c r="W511" s="16">
        <f>IF(S511&gt;0, V511/S511, 0)</f>
        <v>1</v>
      </c>
      <c r="X511" s="7" t="s">
        <v>39</v>
      </c>
      <c r="Y511" s="9" t="s">
        <v>40</v>
      </c>
      <c r="Z511" s="9" t="s">
        <v>41</v>
      </c>
      <c r="AA511" s="9" t="s">
        <v>42</v>
      </c>
      <c r="AB511" s="7" t="s">
        <v>42</v>
      </c>
    </row>
    <row r="512" spans="1:28">
      <c r="A512" s="8">
        <v>505</v>
      </c>
      <c r="B512" s="8" t="s">
        <v>786</v>
      </c>
      <c r="C512" s="8" t="s">
        <v>759</v>
      </c>
      <c r="D512" s="8" t="s">
        <v>652</v>
      </c>
      <c r="E512" s="8" t="s">
        <v>33</v>
      </c>
      <c r="F512" s="6" t="s">
        <v>50</v>
      </c>
      <c r="G512" s="6" t="s">
        <v>45</v>
      </c>
      <c r="H512" s="6" t="s">
        <v>46</v>
      </c>
      <c r="I512" s="8">
        <v>170</v>
      </c>
      <c r="J512" s="8" t="s">
        <v>787</v>
      </c>
      <c r="K512" s="8" t="s">
        <v>38</v>
      </c>
      <c r="L512" s="10">
        <v>1</v>
      </c>
      <c r="M512" s="13">
        <v>18000.0</v>
      </c>
      <c r="N512" s="13"/>
      <c r="O512" s="15">
        <f>IF(M512&gt;0, N512/M512, 0)</f>
        <v>0</v>
      </c>
      <c r="P512" s="13">
        <f>M512-N512</f>
        <v>18000</v>
      </c>
      <c r="Q512" s="13">
        <f>L512*M512</f>
        <v>18000</v>
      </c>
      <c r="R512" s="13">
        <f>L512*N512</f>
        <v>0</v>
      </c>
      <c r="S512" s="13">
        <f>L512*P512</f>
        <v>18000</v>
      </c>
      <c r="T512" s="13"/>
      <c r="U512" s="13">
        <f>L512*T512</f>
        <v>0</v>
      </c>
      <c r="V512" s="13">
        <f>S512-U512</f>
        <v>18000</v>
      </c>
      <c r="W512" s="15">
        <f>IF(S512&gt;0, V512/S512, 0)</f>
        <v>1</v>
      </c>
      <c r="X512" s="6" t="s">
        <v>39</v>
      </c>
      <c r="Y512" s="8" t="s">
        <v>40</v>
      </c>
      <c r="Z512" s="8" t="s">
        <v>41</v>
      </c>
      <c r="AA512" s="8" t="s">
        <v>42</v>
      </c>
      <c r="AB512" s="6" t="s">
        <v>42</v>
      </c>
    </row>
    <row r="513" spans="1:28">
      <c r="A513" s="9">
        <v>506</v>
      </c>
      <c r="B513" s="9" t="s">
        <v>788</v>
      </c>
      <c r="C513" s="9" t="s">
        <v>759</v>
      </c>
      <c r="D513" s="9" t="s">
        <v>652</v>
      </c>
      <c r="E513" s="9" t="s">
        <v>33</v>
      </c>
      <c r="F513" s="7" t="s">
        <v>50</v>
      </c>
      <c r="G513" s="7" t="s">
        <v>63</v>
      </c>
      <c r="H513" s="7" t="s">
        <v>148</v>
      </c>
      <c r="I513" s="9">
        <v>176</v>
      </c>
      <c r="J513" s="9" t="s">
        <v>789</v>
      </c>
      <c r="K513" s="9" t="s">
        <v>38</v>
      </c>
      <c r="L513" s="11">
        <v>1</v>
      </c>
      <c r="M513" s="14">
        <v>9000.0</v>
      </c>
      <c r="N513" s="14"/>
      <c r="O513" s="16">
        <f>IF(M513&gt;0, N513/M513, 0)</f>
        <v>0</v>
      </c>
      <c r="P513" s="14">
        <f>M513-N513</f>
        <v>9000</v>
      </c>
      <c r="Q513" s="14">
        <f>L513*M513</f>
        <v>9000</v>
      </c>
      <c r="R513" s="14">
        <f>L513*N513</f>
        <v>0</v>
      </c>
      <c r="S513" s="14">
        <f>L513*P513</f>
        <v>9000</v>
      </c>
      <c r="T513" s="14"/>
      <c r="U513" s="14">
        <f>L513*T513</f>
        <v>0</v>
      </c>
      <c r="V513" s="14">
        <f>S513-U513</f>
        <v>9000</v>
      </c>
      <c r="W513" s="16">
        <f>IF(S513&gt;0, V513/S513, 0)</f>
        <v>1</v>
      </c>
      <c r="X513" s="7" t="s">
        <v>39</v>
      </c>
      <c r="Y513" s="9" t="s">
        <v>40</v>
      </c>
      <c r="Z513" s="9" t="s">
        <v>41</v>
      </c>
      <c r="AA513" s="9" t="s">
        <v>42</v>
      </c>
      <c r="AB513" s="7" t="s">
        <v>42</v>
      </c>
    </row>
    <row r="514" spans="1:28">
      <c r="A514" s="8">
        <v>507</v>
      </c>
      <c r="B514" s="8" t="s">
        <v>790</v>
      </c>
      <c r="C514" s="8" t="s">
        <v>759</v>
      </c>
      <c r="D514" s="8" t="s">
        <v>652</v>
      </c>
      <c r="E514" s="8" t="s">
        <v>33</v>
      </c>
      <c r="F514" s="6" t="s">
        <v>50</v>
      </c>
      <c r="G514" s="6" t="s">
        <v>56</v>
      </c>
      <c r="H514" s="6" t="s">
        <v>56</v>
      </c>
      <c r="I514" s="8">
        <v>158</v>
      </c>
      <c r="J514" s="8" t="s">
        <v>791</v>
      </c>
      <c r="K514" s="8" t="s">
        <v>38</v>
      </c>
      <c r="L514" s="10">
        <v>1</v>
      </c>
      <c r="M514" s="13">
        <v>7000.0</v>
      </c>
      <c r="N514" s="13"/>
      <c r="O514" s="15">
        <f>IF(M514&gt;0, N514/M514, 0)</f>
        <v>0</v>
      </c>
      <c r="P514" s="13">
        <f>M514-N514</f>
        <v>7000</v>
      </c>
      <c r="Q514" s="13">
        <f>L514*M514</f>
        <v>7000</v>
      </c>
      <c r="R514" s="13">
        <f>L514*N514</f>
        <v>0</v>
      </c>
      <c r="S514" s="13">
        <f>L514*P514</f>
        <v>7000</v>
      </c>
      <c r="T514" s="13"/>
      <c r="U514" s="13">
        <f>L514*T514</f>
        <v>0</v>
      </c>
      <c r="V514" s="13">
        <f>S514-U514</f>
        <v>7000</v>
      </c>
      <c r="W514" s="15">
        <f>IF(S514&gt;0, V514/S514, 0)</f>
        <v>1</v>
      </c>
      <c r="X514" s="6" t="s">
        <v>39</v>
      </c>
      <c r="Y514" s="8" t="s">
        <v>40</v>
      </c>
      <c r="Z514" s="8" t="s">
        <v>41</v>
      </c>
      <c r="AA514" s="8" t="s">
        <v>42</v>
      </c>
      <c r="AB514" s="6" t="s">
        <v>42</v>
      </c>
    </row>
    <row r="515" spans="1:28">
      <c r="A515" s="9">
        <v>508</v>
      </c>
      <c r="B515" s="9" t="s">
        <v>792</v>
      </c>
      <c r="C515" s="9" t="s">
        <v>759</v>
      </c>
      <c r="D515" s="9" t="s">
        <v>652</v>
      </c>
      <c r="E515" s="9" t="s">
        <v>33</v>
      </c>
      <c r="F515" s="7" t="s">
        <v>50</v>
      </c>
      <c r="G515" s="7" t="s">
        <v>35</v>
      </c>
      <c r="H515" s="7" t="s">
        <v>36</v>
      </c>
      <c r="I515" s="9">
        <v>170</v>
      </c>
      <c r="J515" s="9" t="s">
        <v>642</v>
      </c>
      <c r="K515" s="9" t="s">
        <v>53</v>
      </c>
      <c r="L515" s="11">
        <v>1</v>
      </c>
      <c r="M515" s="14">
        <v>7000.0</v>
      </c>
      <c r="N515" s="14"/>
      <c r="O515" s="16">
        <f>IF(M515&gt;0, N515/M515, 0)</f>
        <v>0</v>
      </c>
      <c r="P515" s="14">
        <f>M515-N515</f>
        <v>7000</v>
      </c>
      <c r="Q515" s="14">
        <f>L515*M515</f>
        <v>7000</v>
      </c>
      <c r="R515" s="14">
        <f>L515*N515</f>
        <v>0</v>
      </c>
      <c r="S515" s="14">
        <f>L515*P515</f>
        <v>7000</v>
      </c>
      <c r="T515" s="14"/>
      <c r="U515" s="14">
        <f>L515*T515</f>
        <v>0</v>
      </c>
      <c r="V515" s="14">
        <f>S515-U515</f>
        <v>7000</v>
      </c>
      <c r="W515" s="16">
        <f>IF(S515&gt;0, V515/S515, 0)</f>
        <v>1</v>
      </c>
      <c r="X515" s="7" t="s">
        <v>39</v>
      </c>
      <c r="Y515" s="9" t="s">
        <v>40</v>
      </c>
      <c r="Z515" s="9" t="s">
        <v>41</v>
      </c>
      <c r="AA515" s="9" t="s">
        <v>42</v>
      </c>
      <c r="AB515" s="7" t="s">
        <v>42</v>
      </c>
    </row>
    <row r="516" spans="1:28">
      <c r="A516" s="8">
        <v>509</v>
      </c>
      <c r="B516" s="8" t="s">
        <v>793</v>
      </c>
      <c r="C516" s="8" t="s">
        <v>759</v>
      </c>
      <c r="D516" s="8" t="s">
        <v>652</v>
      </c>
      <c r="E516" s="8" t="s">
        <v>33</v>
      </c>
      <c r="F516" s="6" t="s">
        <v>50</v>
      </c>
      <c r="G516" s="6" t="s">
        <v>35</v>
      </c>
      <c r="H516" s="6" t="s">
        <v>73</v>
      </c>
      <c r="I516" s="8">
        <v>164</v>
      </c>
      <c r="J516" s="8" t="s">
        <v>187</v>
      </c>
      <c r="K516" s="8" t="s">
        <v>53</v>
      </c>
      <c r="L516" s="10">
        <v>2</v>
      </c>
      <c r="M516" s="13">
        <v>8000.0</v>
      </c>
      <c r="N516" s="13"/>
      <c r="O516" s="15">
        <f>IF(M516&gt;0, N516/M516, 0)</f>
        <v>0</v>
      </c>
      <c r="P516" s="13">
        <f>M516-N516</f>
        <v>8000</v>
      </c>
      <c r="Q516" s="13">
        <f>L516*M516</f>
        <v>16000</v>
      </c>
      <c r="R516" s="13">
        <f>L516*N516</f>
        <v>0</v>
      </c>
      <c r="S516" s="13">
        <f>L516*P516</f>
        <v>16000</v>
      </c>
      <c r="T516" s="13"/>
      <c r="U516" s="13">
        <f>L516*T516</f>
        <v>0</v>
      </c>
      <c r="V516" s="13">
        <f>S516-U516</f>
        <v>16000</v>
      </c>
      <c r="W516" s="15">
        <f>IF(S516&gt;0, V516/S516, 0)</f>
        <v>1</v>
      </c>
      <c r="X516" s="6" t="s">
        <v>39</v>
      </c>
      <c r="Y516" s="8" t="s">
        <v>40</v>
      </c>
      <c r="Z516" s="8" t="s">
        <v>41</v>
      </c>
      <c r="AA516" s="8" t="s">
        <v>42</v>
      </c>
      <c r="AB516" s="6" t="s">
        <v>42</v>
      </c>
    </row>
    <row r="517" spans="1:28">
      <c r="A517" s="9">
        <v>510</v>
      </c>
      <c r="B517" s="9" t="s">
        <v>794</v>
      </c>
      <c r="C517" s="9" t="s">
        <v>759</v>
      </c>
      <c r="D517" s="9" t="s">
        <v>652</v>
      </c>
      <c r="E517" s="9" t="s">
        <v>33</v>
      </c>
      <c r="F517" s="7" t="s">
        <v>50</v>
      </c>
      <c r="G517" s="7" t="s">
        <v>35</v>
      </c>
      <c r="H517" s="7" t="s">
        <v>73</v>
      </c>
      <c r="I517" s="9">
        <v>152</v>
      </c>
      <c r="J517" s="9" t="s">
        <v>605</v>
      </c>
      <c r="K517" s="9" t="s">
        <v>53</v>
      </c>
      <c r="L517" s="11">
        <v>2</v>
      </c>
      <c r="M517" s="14">
        <v>8000.0</v>
      </c>
      <c r="N517" s="14"/>
      <c r="O517" s="16">
        <f>IF(M517&gt;0, N517/M517, 0)</f>
        <v>0</v>
      </c>
      <c r="P517" s="14">
        <f>M517-N517</f>
        <v>8000</v>
      </c>
      <c r="Q517" s="14">
        <f>L517*M517</f>
        <v>16000</v>
      </c>
      <c r="R517" s="14">
        <f>L517*N517</f>
        <v>0</v>
      </c>
      <c r="S517" s="14">
        <f>L517*P517</f>
        <v>16000</v>
      </c>
      <c r="T517" s="14"/>
      <c r="U517" s="14">
        <f>L517*T517</f>
        <v>0</v>
      </c>
      <c r="V517" s="14">
        <f>S517-U517</f>
        <v>16000</v>
      </c>
      <c r="W517" s="16">
        <f>IF(S517&gt;0, V517/S517, 0)</f>
        <v>1</v>
      </c>
      <c r="X517" s="7" t="s">
        <v>39</v>
      </c>
      <c r="Y517" s="9" t="s">
        <v>40</v>
      </c>
      <c r="Z517" s="9" t="s">
        <v>41</v>
      </c>
      <c r="AA517" s="9" t="s">
        <v>42</v>
      </c>
      <c r="AB517" s="7" t="s">
        <v>42</v>
      </c>
    </row>
    <row r="518" spans="1:28">
      <c r="A518" s="8">
        <v>511</v>
      </c>
      <c r="B518" s="8" t="s">
        <v>795</v>
      </c>
      <c r="C518" s="8" t="s">
        <v>759</v>
      </c>
      <c r="D518" s="8" t="s">
        <v>652</v>
      </c>
      <c r="E518" s="8" t="s">
        <v>33</v>
      </c>
      <c r="F518" s="6" t="s">
        <v>50</v>
      </c>
      <c r="G518" s="6" t="s">
        <v>35</v>
      </c>
      <c r="H518" s="6" t="s">
        <v>73</v>
      </c>
      <c r="I518" s="8">
        <v>140</v>
      </c>
      <c r="J518" s="8" t="s">
        <v>570</v>
      </c>
      <c r="K518" s="8" t="s">
        <v>53</v>
      </c>
      <c r="L518" s="10">
        <v>2</v>
      </c>
      <c r="M518" s="13">
        <v>8000.0</v>
      </c>
      <c r="N518" s="13"/>
      <c r="O518" s="15">
        <f>IF(M518&gt;0, N518/M518, 0)</f>
        <v>0</v>
      </c>
      <c r="P518" s="13">
        <f>M518-N518</f>
        <v>8000</v>
      </c>
      <c r="Q518" s="13">
        <f>L518*M518</f>
        <v>16000</v>
      </c>
      <c r="R518" s="13">
        <f>L518*N518</f>
        <v>0</v>
      </c>
      <c r="S518" s="13">
        <f>L518*P518</f>
        <v>16000</v>
      </c>
      <c r="T518" s="13"/>
      <c r="U518" s="13">
        <f>L518*T518</f>
        <v>0</v>
      </c>
      <c r="V518" s="13">
        <f>S518-U518</f>
        <v>16000</v>
      </c>
      <c r="W518" s="15">
        <f>IF(S518&gt;0, V518/S518, 0)</f>
        <v>1</v>
      </c>
      <c r="X518" s="6" t="s">
        <v>39</v>
      </c>
      <c r="Y518" s="8" t="s">
        <v>40</v>
      </c>
      <c r="Z518" s="8" t="s">
        <v>41</v>
      </c>
      <c r="AA518" s="8" t="s">
        <v>42</v>
      </c>
      <c r="AB518" s="6" t="s">
        <v>42</v>
      </c>
    </row>
    <row r="519" spans="1:28">
      <c r="A519" s="9">
        <v>512</v>
      </c>
      <c r="B519" s="9" t="s">
        <v>796</v>
      </c>
      <c r="C519" s="9" t="s">
        <v>759</v>
      </c>
      <c r="D519" s="9" t="s">
        <v>652</v>
      </c>
      <c r="E519" s="9" t="s">
        <v>33</v>
      </c>
      <c r="F519" s="7" t="s">
        <v>50</v>
      </c>
      <c r="G519" s="7" t="s">
        <v>35</v>
      </c>
      <c r="H519" s="7" t="s">
        <v>36</v>
      </c>
      <c r="I519" s="9">
        <v>152</v>
      </c>
      <c r="J519" s="9" t="s">
        <v>151</v>
      </c>
      <c r="K519" s="9" t="s">
        <v>53</v>
      </c>
      <c r="L519" s="11">
        <v>1</v>
      </c>
      <c r="M519" s="14">
        <v>7000.0</v>
      </c>
      <c r="N519" s="14"/>
      <c r="O519" s="16">
        <f>IF(M519&gt;0, N519/M519, 0)</f>
        <v>0</v>
      </c>
      <c r="P519" s="14">
        <f>M519-N519</f>
        <v>7000</v>
      </c>
      <c r="Q519" s="14">
        <f>L519*M519</f>
        <v>7000</v>
      </c>
      <c r="R519" s="14">
        <f>L519*N519</f>
        <v>0</v>
      </c>
      <c r="S519" s="14">
        <f>L519*P519</f>
        <v>7000</v>
      </c>
      <c r="T519" s="14"/>
      <c r="U519" s="14">
        <f>L519*T519</f>
        <v>0</v>
      </c>
      <c r="V519" s="14">
        <f>S519-U519</f>
        <v>7000</v>
      </c>
      <c r="W519" s="16">
        <f>IF(S519&gt;0, V519/S519, 0)</f>
        <v>1</v>
      </c>
      <c r="X519" s="7" t="s">
        <v>39</v>
      </c>
      <c r="Y519" s="9" t="s">
        <v>40</v>
      </c>
      <c r="Z519" s="9" t="s">
        <v>41</v>
      </c>
      <c r="AA519" s="9" t="s">
        <v>42</v>
      </c>
      <c r="AB519" s="7" t="s">
        <v>42</v>
      </c>
    </row>
    <row r="520" spans="1:28">
      <c r="A520" s="8">
        <v>513</v>
      </c>
      <c r="B520" s="8" t="s">
        <v>797</v>
      </c>
      <c r="C520" s="8" t="s">
        <v>759</v>
      </c>
      <c r="D520" s="8" t="s">
        <v>652</v>
      </c>
      <c r="E520" s="8" t="s">
        <v>33</v>
      </c>
      <c r="F520" s="6" t="s">
        <v>50</v>
      </c>
      <c r="G520" s="6" t="s">
        <v>35</v>
      </c>
      <c r="H520" s="6" t="s">
        <v>36</v>
      </c>
      <c r="I520" s="8">
        <v>140</v>
      </c>
      <c r="J520" s="8" t="s">
        <v>223</v>
      </c>
      <c r="K520" s="8" t="s">
        <v>53</v>
      </c>
      <c r="L520" s="10">
        <v>1</v>
      </c>
      <c r="M520" s="13">
        <v>7000.0</v>
      </c>
      <c r="N520" s="13"/>
      <c r="O520" s="15">
        <f>IF(M520&gt;0, N520/M520, 0)</f>
        <v>0</v>
      </c>
      <c r="P520" s="13">
        <f>M520-N520</f>
        <v>7000</v>
      </c>
      <c r="Q520" s="13">
        <f>L520*M520</f>
        <v>7000</v>
      </c>
      <c r="R520" s="13">
        <f>L520*N520</f>
        <v>0</v>
      </c>
      <c r="S520" s="13">
        <f>L520*P520</f>
        <v>7000</v>
      </c>
      <c r="T520" s="13"/>
      <c r="U520" s="13">
        <f>L520*T520</f>
        <v>0</v>
      </c>
      <c r="V520" s="13">
        <f>S520-U520</f>
        <v>7000</v>
      </c>
      <c r="W520" s="15">
        <f>IF(S520&gt;0, V520/S520, 0)</f>
        <v>1</v>
      </c>
      <c r="X520" s="6" t="s">
        <v>39</v>
      </c>
      <c r="Y520" s="8" t="s">
        <v>40</v>
      </c>
      <c r="Z520" s="8" t="s">
        <v>41</v>
      </c>
      <c r="AA520" s="8" t="s">
        <v>42</v>
      </c>
      <c r="AB520" s="6" t="s">
        <v>42</v>
      </c>
    </row>
    <row r="521" spans="1:28">
      <c r="A521" s="9">
        <v>514</v>
      </c>
      <c r="B521" s="9" t="s">
        <v>798</v>
      </c>
      <c r="C521" s="9" t="s">
        <v>799</v>
      </c>
      <c r="D521" s="9" t="s">
        <v>652</v>
      </c>
      <c r="E521" s="9" t="s">
        <v>33</v>
      </c>
      <c r="F521" s="7" t="s">
        <v>34</v>
      </c>
      <c r="G521" s="7" t="s">
        <v>45</v>
      </c>
      <c r="H521" s="7" t="s">
        <v>46</v>
      </c>
      <c r="I521" s="9">
        <v>164</v>
      </c>
      <c r="J521" s="9" t="s">
        <v>318</v>
      </c>
      <c r="K521" s="9" t="s">
        <v>38</v>
      </c>
      <c r="L521" s="11">
        <v>1</v>
      </c>
      <c r="M521" s="14">
        <v>18000.0</v>
      </c>
      <c r="N521" s="14"/>
      <c r="O521" s="16">
        <f>IF(M521&gt;0, N521/M521, 0)</f>
        <v>0</v>
      </c>
      <c r="P521" s="14">
        <f>M521-N521</f>
        <v>18000</v>
      </c>
      <c r="Q521" s="14">
        <f>L521*M521</f>
        <v>18000</v>
      </c>
      <c r="R521" s="14">
        <f>L521*N521</f>
        <v>0</v>
      </c>
      <c r="S521" s="14">
        <f>L521*P521</f>
        <v>18000</v>
      </c>
      <c r="T521" s="14"/>
      <c r="U521" s="14">
        <f>L521*T521</f>
        <v>0</v>
      </c>
      <c r="V521" s="14">
        <f>S521-U521</f>
        <v>18000</v>
      </c>
      <c r="W521" s="16">
        <f>IF(S521&gt;0, V521/S521, 0)</f>
        <v>1</v>
      </c>
      <c r="X521" s="7" t="s">
        <v>39</v>
      </c>
      <c r="Y521" s="9" t="s">
        <v>40</v>
      </c>
      <c r="Z521" s="9" t="s">
        <v>41</v>
      </c>
      <c r="AA521" s="9" t="s">
        <v>42</v>
      </c>
      <c r="AB521" s="7" t="s">
        <v>42</v>
      </c>
    </row>
    <row r="522" spans="1:28">
      <c r="A522" s="8">
        <v>515</v>
      </c>
      <c r="B522" s="8" t="s">
        <v>800</v>
      </c>
      <c r="C522" s="8" t="s">
        <v>799</v>
      </c>
      <c r="D522" s="8" t="s">
        <v>652</v>
      </c>
      <c r="E522" s="8" t="s">
        <v>68</v>
      </c>
      <c r="F522" s="6" t="s">
        <v>50</v>
      </c>
      <c r="G522" s="6" t="s">
        <v>56</v>
      </c>
      <c r="H522" s="6" t="s">
        <v>56</v>
      </c>
      <c r="I522" s="8">
        <v>134</v>
      </c>
      <c r="J522" s="8" t="s">
        <v>281</v>
      </c>
      <c r="K522" s="8" t="s">
        <v>38</v>
      </c>
      <c r="L522" s="10">
        <v>1</v>
      </c>
      <c r="M522" s="13">
        <v>8000.0</v>
      </c>
      <c r="N522" s="13"/>
      <c r="O522" s="15">
        <f>IF(M522&gt;0, N522/M522, 0)</f>
        <v>0</v>
      </c>
      <c r="P522" s="13">
        <f>M522-N522</f>
        <v>8000</v>
      </c>
      <c r="Q522" s="13">
        <f>L522*M522</f>
        <v>8000</v>
      </c>
      <c r="R522" s="13">
        <f>L522*N522</f>
        <v>0</v>
      </c>
      <c r="S522" s="13">
        <f>L522*P522</f>
        <v>8000</v>
      </c>
      <c r="T522" s="13"/>
      <c r="U522" s="13">
        <f>L522*T522</f>
        <v>0</v>
      </c>
      <c r="V522" s="13">
        <f>S522-U522</f>
        <v>8000</v>
      </c>
      <c r="W522" s="15">
        <f>IF(S522&gt;0, V522/S522, 0)</f>
        <v>1</v>
      </c>
      <c r="X522" s="6" t="s">
        <v>39</v>
      </c>
      <c r="Y522" s="8" t="s">
        <v>40</v>
      </c>
      <c r="Z522" s="8" t="s">
        <v>71</v>
      </c>
      <c r="AA522" s="8" t="s">
        <v>42</v>
      </c>
      <c r="AB522" s="6" t="s">
        <v>42</v>
      </c>
    </row>
    <row r="523" spans="1:28">
      <c r="A523" s="9">
        <v>516</v>
      </c>
      <c r="B523" s="9" t="s">
        <v>801</v>
      </c>
      <c r="C523" s="9" t="s">
        <v>799</v>
      </c>
      <c r="D523" s="9" t="s">
        <v>652</v>
      </c>
      <c r="E523" s="9" t="s">
        <v>33</v>
      </c>
      <c r="F523" s="7" t="s">
        <v>34</v>
      </c>
      <c r="G523" s="7" t="s">
        <v>35</v>
      </c>
      <c r="H523" s="7" t="s">
        <v>36</v>
      </c>
      <c r="I523" s="9">
        <v>170</v>
      </c>
      <c r="J523" s="9" t="s">
        <v>142</v>
      </c>
      <c r="K523" s="9" t="s">
        <v>38</v>
      </c>
      <c r="L523" s="11">
        <v>1</v>
      </c>
      <c r="M523" s="14">
        <v>8000.0</v>
      </c>
      <c r="N523" s="14"/>
      <c r="O523" s="16">
        <f>IF(M523&gt;0, N523/M523, 0)</f>
        <v>0</v>
      </c>
      <c r="P523" s="14">
        <f>M523-N523</f>
        <v>8000</v>
      </c>
      <c r="Q523" s="14">
        <f>L523*M523</f>
        <v>8000</v>
      </c>
      <c r="R523" s="14">
        <f>L523*N523</f>
        <v>0</v>
      </c>
      <c r="S523" s="14">
        <f>L523*P523</f>
        <v>8000</v>
      </c>
      <c r="T523" s="14"/>
      <c r="U523" s="14">
        <f>L523*T523</f>
        <v>0</v>
      </c>
      <c r="V523" s="14">
        <f>S523-U523</f>
        <v>8000</v>
      </c>
      <c r="W523" s="16">
        <f>IF(S523&gt;0, V523/S523, 0)</f>
        <v>1</v>
      </c>
      <c r="X523" s="7" t="s">
        <v>39</v>
      </c>
      <c r="Y523" s="9" t="s">
        <v>40</v>
      </c>
      <c r="Z523" s="9" t="s">
        <v>41</v>
      </c>
      <c r="AA523" s="9" t="s">
        <v>42</v>
      </c>
      <c r="AB523" s="7" t="s">
        <v>42</v>
      </c>
    </row>
    <row r="524" spans="1:28">
      <c r="A524" s="8">
        <v>517</v>
      </c>
      <c r="B524" s="8" t="s">
        <v>802</v>
      </c>
      <c r="C524" s="8" t="s">
        <v>799</v>
      </c>
      <c r="D524" s="8" t="s">
        <v>652</v>
      </c>
      <c r="E524" s="8" t="s">
        <v>33</v>
      </c>
      <c r="F524" s="6" t="s">
        <v>50</v>
      </c>
      <c r="G524" s="6" t="s">
        <v>51</v>
      </c>
      <c r="H524" s="6" t="s">
        <v>51</v>
      </c>
      <c r="I524" s="8">
        <v>134</v>
      </c>
      <c r="J524" s="8" t="s">
        <v>175</v>
      </c>
      <c r="K524" s="8" t="s">
        <v>53</v>
      </c>
      <c r="L524" s="10">
        <v>1</v>
      </c>
      <c r="M524" s="13">
        <v>8000.0</v>
      </c>
      <c r="N524" s="13"/>
      <c r="O524" s="15">
        <f>IF(M524&gt;0, N524/M524, 0)</f>
        <v>0</v>
      </c>
      <c r="P524" s="13">
        <f>M524-N524</f>
        <v>8000</v>
      </c>
      <c r="Q524" s="13">
        <f>L524*M524</f>
        <v>8000</v>
      </c>
      <c r="R524" s="13">
        <f>L524*N524</f>
        <v>0</v>
      </c>
      <c r="S524" s="13">
        <f>L524*P524</f>
        <v>8000</v>
      </c>
      <c r="T524" s="13"/>
      <c r="U524" s="13">
        <f>L524*T524</f>
        <v>0</v>
      </c>
      <c r="V524" s="13">
        <f>S524-U524</f>
        <v>8000</v>
      </c>
      <c r="W524" s="15">
        <f>IF(S524&gt;0, V524/S524, 0)</f>
        <v>1</v>
      </c>
      <c r="X524" s="6" t="s">
        <v>39</v>
      </c>
      <c r="Y524" s="8" t="s">
        <v>40</v>
      </c>
      <c r="Z524" s="8" t="s">
        <v>41</v>
      </c>
      <c r="AA524" s="8" t="s">
        <v>42</v>
      </c>
      <c r="AB524" s="6" t="s">
        <v>42</v>
      </c>
    </row>
    <row r="525" spans="1:28">
      <c r="A525" s="9">
        <v>518</v>
      </c>
      <c r="B525" s="9" t="s">
        <v>803</v>
      </c>
      <c r="C525" s="9" t="s">
        <v>799</v>
      </c>
      <c r="D525" s="9" t="s">
        <v>652</v>
      </c>
      <c r="E525" s="9" t="s">
        <v>33</v>
      </c>
      <c r="F525" s="7" t="s">
        <v>50</v>
      </c>
      <c r="G525" s="7" t="s">
        <v>35</v>
      </c>
      <c r="H525" s="7" t="s">
        <v>36</v>
      </c>
      <c r="I525" s="9">
        <v>134</v>
      </c>
      <c r="J525" s="9" t="s">
        <v>177</v>
      </c>
      <c r="K525" s="9" t="s">
        <v>53</v>
      </c>
      <c r="L525" s="11">
        <v>1</v>
      </c>
      <c r="M525" s="14">
        <v>7000.0</v>
      </c>
      <c r="N525" s="14"/>
      <c r="O525" s="16">
        <f>IF(M525&gt;0, N525/M525, 0)</f>
        <v>0</v>
      </c>
      <c r="P525" s="14">
        <f>M525-N525</f>
        <v>7000</v>
      </c>
      <c r="Q525" s="14">
        <f>L525*M525</f>
        <v>7000</v>
      </c>
      <c r="R525" s="14">
        <f>L525*N525</f>
        <v>0</v>
      </c>
      <c r="S525" s="14">
        <f>L525*P525</f>
        <v>7000</v>
      </c>
      <c r="T525" s="14"/>
      <c r="U525" s="14">
        <f>L525*T525</f>
        <v>0</v>
      </c>
      <c r="V525" s="14">
        <f>S525-U525</f>
        <v>7000</v>
      </c>
      <c r="W525" s="16">
        <f>IF(S525&gt;0, V525/S525, 0)</f>
        <v>1</v>
      </c>
      <c r="X525" s="7" t="s">
        <v>39</v>
      </c>
      <c r="Y525" s="9" t="s">
        <v>40</v>
      </c>
      <c r="Z525" s="9" t="s">
        <v>41</v>
      </c>
      <c r="AA525" s="9" t="s">
        <v>42</v>
      </c>
      <c r="AB525" s="7" t="s">
        <v>42</v>
      </c>
    </row>
    <row r="526" spans="1:28">
      <c r="A526" s="8">
        <v>519</v>
      </c>
      <c r="B526" s="8" t="s">
        <v>804</v>
      </c>
      <c r="C526" s="8" t="s">
        <v>799</v>
      </c>
      <c r="D526" s="8" t="s">
        <v>652</v>
      </c>
      <c r="E526" s="8" t="s">
        <v>33</v>
      </c>
      <c r="F526" s="6" t="s">
        <v>34</v>
      </c>
      <c r="G526" s="6" t="s">
        <v>69</v>
      </c>
      <c r="H526" s="6" t="s">
        <v>69</v>
      </c>
      <c r="I526" s="8">
        <v>152</v>
      </c>
      <c r="J526" s="8" t="s">
        <v>207</v>
      </c>
      <c r="K526" s="8" t="s">
        <v>38</v>
      </c>
      <c r="L526" s="10">
        <v>1</v>
      </c>
      <c r="M526" s="13">
        <v>16500.0</v>
      </c>
      <c r="N526" s="13"/>
      <c r="O526" s="15">
        <f>IF(M526&gt;0, N526/M526, 0)</f>
        <v>0</v>
      </c>
      <c r="P526" s="13">
        <f>M526-N526</f>
        <v>16500</v>
      </c>
      <c r="Q526" s="13">
        <f>L526*M526</f>
        <v>16500</v>
      </c>
      <c r="R526" s="13">
        <f>L526*N526</f>
        <v>0</v>
      </c>
      <c r="S526" s="13">
        <f>L526*P526</f>
        <v>16500</v>
      </c>
      <c r="T526" s="13"/>
      <c r="U526" s="13">
        <f>L526*T526</f>
        <v>0</v>
      </c>
      <c r="V526" s="13">
        <f>S526-U526</f>
        <v>16500</v>
      </c>
      <c r="W526" s="15">
        <f>IF(S526&gt;0, V526/S526, 0)</f>
        <v>1</v>
      </c>
      <c r="X526" s="6" t="s">
        <v>39</v>
      </c>
      <c r="Y526" s="8" t="s">
        <v>40</v>
      </c>
      <c r="Z526" s="8" t="s">
        <v>41</v>
      </c>
      <c r="AA526" s="8" t="s">
        <v>42</v>
      </c>
      <c r="AB526" s="6" t="s">
        <v>42</v>
      </c>
    </row>
    <row r="527" spans="1:28">
      <c r="A527" s="9">
        <v>520</v>
      </c>
      <c r="B527" s="9" t="s">
        <v>805</v>
      </c>
      <c r="C527" s="9" t="s">
        <v>799</v>
      </c>
      <c r="D527" s="9" t="s">
        <v>652</v>
      </c>
      <c r="E527" s="9" t="s">
        <v>68</v>
      </c>
      <c r="F527" s="7" t="s">
        <v>34</v>
      </c>
      <c r="G527" s="7" t="s">
        <v>63</v>
      </c>
      <c r="H527" s="7" t="s">
        <v>148</v>
      </c>
      <c r="I527" s="9">
        <v>170</v>
      </c>
      <c r="J527" s="9" t="s">
        <v>149</v>
      </c>
      <c r="K527" s="9" t="s">
        <v>38</v>
      </c>
      <c r="L527" s="11">
        <v>1</v>
      </c>
      <c r="M527" s="14">
        <v>9000.0</v>
      </c>
      <c r="N527" s="14"/>
      <c r="O527" s="16">
        <f>IF(M527&gt;0, N527/M527, 0)</f>
        <v>0</v>
      </c>
      <c r="P527" s="14">
        <f>M527-N527</f>
        <v>9000</v>
      </c>
      <c r="Q527" s="14">
        <f>L527*M527</f>
        <v>9000</v>
      </c>
      <c r="R527" s="14">
        <f>L527*N527</f>
        <v>0</v>
      </c>
      <c r="S527" s="14">
        <f>L527*P527</f>
        <v>9000</v>
      </c>
      <c r="T527" s="14"/>
      <c r="U527" s="14">
        <f>L527*T527</f>
        <v>0</v>
      </c>
      <c r="V527" s="14">
        <f>S527-U527</f>
        <v>9000</v>
      </c>
      <c r="W527" s="16">
        <f>IF(S527&gt;0, V527/S527, 0)</f>
        <v>1</v>
      </c>
      <c r="X527" s="7" t="s">
        <v>39</v>
      </c>
      <c r="Y527" s="9" t="s">
        <v>40</v>
      </c>
      <c r="Z527" s="9" t="s">
        <v>71</v>
      </c>
      <c r="AA527" s="9" t="s">
        <v>42</v>
      </c>
      <c r="AB527" s="7" t="s">
        <v>42</v>
      </c>
    </row>
    <row r="528" spans="1:28">
      <c r="A528" s="8">
        <v>521</v>
      </c>
      <c r="B528" s="8" t="s">
        <v>806</v>
      </c>
      <c r="C528" s="8" t="s">
        <v>799</v>
      </c>
      <c r="D528" s="8" t="s">
        <v>652</v>
      </c>
      <c r="E528" s="8" t="s">
        <v>33</v>
      </c>
      <c r="F528" s="6" t="s">
        <v>34</v>
      </c>
      <c r="G528" s="6" t="s">
        <v>45</v>
      </c>
      <c r="H528" s="6" t="s">
        <v>46</v>
      </c>
      <c r="I528" s="8">
        <v>182</v>
      </c>
      <c r="J528" s="8" t="s">
        <v>807</v>
      </c>
      <c r="K528" s="8" t="s">
        <v>38</v>
      </c>
      <c r="L528" s="10">
        <v>1</v>
      </c>
      <c r="M528" s="13">
        <v>18000.0</v>
      </c>
      <c r="N528" s="13"/>
      <c r="O528" s="15">
        <f>IF(M528&gt;0, N528/M528, 0)</f>
        <v>0</v>
      </c>
      <c r="P528" s="13">
        <f>M528-N528</f>
        <v>18000</v>
      </c>
      <c r="Q528" s="13">
        <f>L528*M528</f>
        <v>18000</v>
      </c>
      <c r="R528" s="13">
        <f>L528*N528</f>
        <v>0</v>
      </c>
      <c r="S528" s="13">
        <f>L528*P528</f>
        <v>18000</v>
      </c>
      <c r="T528" s="13"/>
      <c r="U528" s="13">
        <f>L528*T528</f>
        <v>0</v>
      </c>
      <c r="V528" s="13">
        <f>S528-U528</f>
        <v>18000</v>
      </c>
      <c r="W528" s="15">
        <f>IF(S528&gt;0, V528/S528, 0)</f>
        <v>1</v>
      </c>
      <c r="X528" s="6" t="s">
        <v>39</v>
      </c>
      <c r="Y528" s="8" t="s">
        <v>40</v>
      </c>
      <c r="Z528" s="8" t="s">
        <v>41</v>
      </c>
      <c r="AA528" s="8" t="s">
        <v>42</v>
      </c>
      <c r="AB528" s="6" t="s">
        <v>42</v>
      </c>
    </row>
    <row r="529" spans="1:28">
      <c r="A529" s="9">
        <v>522</v>
      </c>
      <c r="B529" s="9" t="s">
        <v>808</v>
      </c>
      <c r="C529" s="9" t="s">
        <v>799</v>
      </c>
      <c r="D529" s="9" t="s">
        <v>652</v>
      </c>
      <c r="E529" s="9" t="s">
        <v>33</v>
      </c>
      <c r="F529" s="7" t="s">
        <v>34</v>
      </c>
      <c r="G529" s="7" t="s">
        <v>69</v>
      </c>
      <c r="H529" s="7" t="s">
        <v>69</v>
      </c>
      <c r="I529" s="9">
        <v>176</v>
      </c>
      <c r="J529" s="9" t="s">
        <v>203</v>
      </c>
      <c r="K529" s="9" t="s">
        <v>38</v>
      </c>
      <c r="L529" s="11">
        <v>1</v>
      </c>
      <c r="M529" s="14">
        <v>16500.0</v>
      </c>
      <c r="N529" s="14"/>
      <c r="O529" s="16">
        <f>IF(M529&gt;0, N529/M529, 0)</f>
        <v>0</v>
      </c>
      <c r="P529" s="14">
        <f>M529-N529</f>
        <v>16500</v>
      </c>
      <c r="Q529" s="14">
        <f>L529*M529</f>
        <v>16500</v>
      </c>
      <c r="R529" s="14">
        <f>L529*N529</f>
        <v>0</v>
      </c>
      <c r="S529" s="14">
        <f>L529*P529</f>
        <v>16500</v>
      </c>
      <c r="T529" s="14"/>
      <c r="U529" s="14">
        <f>L529*T529</f>
        <v>0</v>
      </c>
      <c r="V529" s="14">
        <f>S529-U529</f>
        <v>16500</v>
      </c>
      <c r="W529" s="16">
        <f>IF(S529&gt;0, V529/S529, 0)</f>
        <v>1</v>
      </c>
      <c r="X529" s="7" t="s">
        <v>39</v>
      </c>
      <c r="Y529" s="9" t="s">
        <v>40</v>
      </c>
      <c r="Z529" s="9" t="s">
        <v>41</v>
      </c>
      <c r="AA529" s="9" t="s">
        <v>42</v>
      </c>
      <c r="AB529" s="7" t="s">
        <v>42</v>
      </c>
    </row>
    <row r="530" spans="1:28">
      <c r="A530" s="8">
        <v>523</v>
      </c>
      <c r="B530" s="8" t="s">
        <v>809</v>
      </c>
      <c r="C530" s="8" t="s">
        <v>799</v>
      </c>
      <c r="D530" s="8" t="s">
        <v>652</v>
      </c>
      <c r="E530" s="8" t="s">
        <v>33</v>
      </c>
      <c r="F530" s="6" t="s">
        <v>34</v>
      </c>
      <c r="G530" s="6" t="s">
        <v>35</v>
      </c>
      <c r="H530" s="6" t="s">
        <v>73</v>
      </c>
      <c r="I530" s="8">
        <v>176</v>
      </c>
      <c r="J530" s="8" t="s">
        <v>420</v>
      </c>
      <c r="K530" s="8" t="s">
        <v>38</v>
      </c>
      <c r="L530" s="10">
        <v>1</v>
      </c>
      <c r="M530" s="13">
        <v>9000.0</v>
      </c>
      <c r="N530" s="13"/>
      <c r="O530" s="15">
        <f>IF(M530&gt;0, N530/M530, 0)</f>
        <v>0</v>
      </c>
      <c r="P530" s="13">
        <f>M530-N530</f>
        <v>9000</v>
      </c>
      <c r="Q530" s="13">
        <f>L530*M530</f>
        <v>9000</v>
      </c>
      <c r="R530" s="13">
        <f>L530*N530</f>
        <v>0</v>
      </c>
      <c r="S530" s="13">
        <f>L530*P530</f>
        <v>9000</v>
      </c>
      <c r="T530" s="13"/>
      <c r="U530" s="13">
        <f>L530*T530</f>
        <v>0</v>
      </c>
      <c r="V530" s="13">
        <f>S530-U530</f>
        <v>9000</v>
      </c>
      <c r="W530" s="15">
        <f>IF(S530&gt;0, V530/S530, 0)</f>
        <v>1</v>
      </c>
      <c r="X530" s="6" t="s">
        <v>39</v>
      </c>
      <c r="Y530" s="8" t="s">
        <v>40</v>
      </c>
      <c r="Z530" s="8" t="s">
        <v>41</v>
      </c>
      <c r="AA530" s="8" t="s">
        <v>42</v>
      </c>
      <c r="AB530" s="6" t="s">
        <v>42</v>
      </c>
    </row>
    <row r="531" spans="1:28">
      <c r="A531" s="9">
        <v>524</v>
      </c>
      <c r="B531" s="9" t="s">
        <v>810</v>
      </c>
      <c r="C531" s="9" t="s">
        <v>799</v>
      </c>
      <c r="D531" s="9" t="s">
        <v>652</v>
      </c>
      <c r="E531" s="9" t="s">
        <v>33</v>
      </c>
      <c r="F531" s="7" t="s">
        <v>34</v>
      </c>
      <c r="G531" s="7" t="s">
        <v>35</v>
      </c>
      <c r="H531" s="7" t="s">
        <v>36</v>
      </c>
      <c r="I531" s="9">
        <v>170</v>
      </c>
      <c r="J531" s="9" t="s">
        <v>142</v>
      </c>
      <c r="K531" s="9" t="s">
        <v>38</v>
      </c>
      <c r="L531" s="11">
        <v>1</v>
      </c>
      <c r="M531" s="14">
        <v>8000.0</v>
      </c>
      <c r="N531" s="14"/>
      <c r="O531" s="16">
        <f>IF(M531&gt;0, N531/M531, 0)</f>
        <v>0</v>
      </c>
      <c r="P531" s="14">
        <f>M531-N531</f>
        <v>8000</v>
      </c>
      <c r="Q531" s="14">
        <f>L531*M531</f>
        <v>8000</v>
      </c>
      <c r="R531" s="14">
        <f>L531*N531</f>
        <v>0</v>
      </c>
      <c r="S531" s="14">
        <f>L531*P531</f>
        <v>8000</v>
      </c>
      <c r="T531" s="14"/>
      <c r="U531" s="14">
        <f>L531*T531</f>
        <v>0</v>
      </c>
      <c r="V531" s="14">
        <f>S531-U531</f>
        <v>8000</v>
      </c>
      <c r="W531" s="16">
        <f>IF(S531&gt;0, V531/S531, 0)</f>
        <v>1</v>
      </c>
      <c r="X531" s="7" t="s">
        <v>39</v>
      </c>
      <c r="Y531" s="9" t="s">
        <v>40</v>
      </c>
      <c r="Z531" s="9" t="s">
        <v>41</v>
      </c>
      <c r="AA531" s="9" t="s">
        <v>42</v>
      </c>
      <c r="AB531" s="7" t="s">
        <v>42</v>
      </c>
    </row>
    <row r="532" spans="1:28">
      <c r="A532" s="8">
        <v>525</v>
      </c>
      <c r="B532" s="8" t="s">
        <v>811</v>
      </c>
      <c r="C532" s="8" t="s">
        <v>799</v>
      </c>
      <c r="D532" s="8" t="s">
        <v>652</v>
      </c>
      <c r="E532" s="8" t="s">
        <v>33</v>
      </c>
      <c r="F532" s="6" t="s">
        <v>34</v>
      </c>
      <c r="G532" s="6" t="s">
        <v>51</v>
      </c>
      <c r="H532" s="6" t="s">
        <v>51</v>
      </c>
      <c r="I532" s="8">
        <v>164</v>
      </c>
      <c r="J532" s="8" t="s">
        <v>61</v>
      </c>
      <c r="K532" s="8" t="s">
        <v>38</v>
      </c>
      <c r="L532" s="10">
        <v>1</v>
      </c>
      <c r="M532" s="13">
        <v>8500.0</v>
      </c>
      <c r="N532" s="13"/>
      <c r="O532" s="15">
        <f>IF(M532&gt;0, N532/M532, 0)</f>
        <v>0</v>
      </c>
      <c r="P532" s="13">
        <f>M532-N532</f>
        <v>8500</v>
      </c>
      <c r="Q532" s="13">
        <f>L532*M532</f>
        <v>8500</v>
      </c>
      <c r="R532" s="13">
        <f>L532*N532</f>
        <v>0</v>
      </c>
      <c r="S532" s="13">
        <f>L532*P532</f>
        <v>8500</v>
      </c>
      <c r="T532" s="13"/>
      <c r="U532" s="13">
        <f>L532*T532</f>
        <v>0</v>
      </c>
      <c r="V532" s="13">
        <f>S532-U532</f>
        <v>8500</v>
      </c>
      <c r="W532" s="15">
        <f>IF(S532&gt;0, V532/S532, 0)</f>
        <v>1</v>
      </c>
      <c r="X532" s="6" t="s">
        <v>39</v>
      </c>
      <c r="Y532" s="8" t="s">
        <v>40</v>
      </c>
      <c r="Z532" s="8" t="s">
        <v>41</v>
      </c>
      <c r="AA532" s="8" t="s">
        <v>42</v>
      </c>
      <c r="AB532" s="6" t="s">
        <v>42</v>
      </c>
    </row>
    <row r="533" spans="1:28">
      <c r="A533" s="9">
        <v>526</v>
      </c>
      <c r="B533" s="9" t="s">
        <v>812</v>
      </c>
      <c r="C533" s="9" t="s">
        <v>799</v>
      </c>
      <c r="D533" s="9" t="s">
        <v>652</v>
      </c>
      <c r="E533" s="9" t="s">
        <v>33</v>
      </c>
      <c r="F533" s="7" t="s">
        <v>50</v>
      </c>
      <c r="G533" s="7" t="s">
        <v>51</v>
      </c>
      <c r="H533" s="7" t="s">
        <v>51</v>
      </c>
      <c r="I533" s="9">
        <v>128</v>
      </c>
      <c r="J533" s="9" t="s">
        <v>390</v>
      </c>
      <c r="K533" s="9" t="s">
        <v>53</v>
      </c>
      <c r="L533" s="11">
        <v>1</v>
      </c>
      <c r="M533" s="14">
        <v>8000.0</v>
      </c>
      <c r="N533" s="14"/>
      <c r="O533" s="16">
        <f>IF(M533&gt;0, N533/M533, 0)</f>
        <v>0</v>
      </c>
      <c r="P533" s="14">
        <f>M533-N533</f>
        <v>8000</v>
      </c>
      <c r="Q533" s="14">
        <f>L533*M533</f>
        <v>8000</v>
      </c>
      <c r="R533" s="14">
        <f>L533*N533</f>
        <v>0</v>
      </c>
      <c r="S533" s="14">
        <f>L533*P533</f>
        <v>8000</v>
      </c>
      <c r="T533" s="14"/>
      <c r="U533" s="14">
        <f>L533*T533</f>
        <v>0</v>
      </c>
      <c r="V533" s="14">
        <f>S533-U533</f>
        <v>8000</v>
      </c>
      <c r="W533" s="16">
        <f>IF(S533&gt;0, V533/S533, 0)</f>
        <v>1</v>
      </c>
      <c r="X533" s="7" t="s">
        <v>39</v>
      </c>
      <c r="Y533" s="9" t="s">
        <v>40</v>
      </c>
      <c r="Z533" s="9" t="s">
        <v>41</v>
      </c>
      <c r="AA533" s="9" t="s">
        <v>42</v>
      </c>
      <c r="AB533" s="7" t="s">
        <v>42</v>
      </c>
    </row>
    <row r="534" spans="1:28">
      <c r="A534" s="8">
        <v>527</v>
      </c>
      <c r="B534" s="8" t="s">
        <v>813</v>
      </c>
      <c r="C534" s="8" t="s">
        <v>799</v>
      </c>
      <c r="D534" s="8" t="s">
        <v>652</v>
      </c>
      <c r="E534" s="8" t="s">
        <v>33</v>
      </c>
      <c r="F534" s="6" t="s">
        <v>34</v>
      </c>
      <c r="G534" s="6" t="s">
        <v>35</v>
      </c>
      <c r="H534" s="6" t="s">
        <v>73</v>
      </c>
      <c r="I534" s="8">
        <v>170</v>
      </c>
      <c r="J534" s="8" t="s">
        <v>648</v>
      </c>
      <c r="K534" s="8" t="s">
        <v>38</v>
      </c>
      <c r="L534" s="10">
        <v>1</v>
      </c>
      <c r="M534" s="13">
        <v>9000.0</v>
      </c>
      <c r="N534" s="13"/>
      <c r="O534" s="15">
        <f>IF(M534&gt;0, N534/M534, 0)</f>
        <v>0</v>
      </c>
      <c r="P534" s="13">
        <f>M534-N534</f>
        <v>9000</v>
      </c>
      <c r="Q534" s="13">
        <f>L534*M534</f>
        <v>9000</v>
      </c>
      <c r="R534" s="13">
        <f>L534*N534</f>
        <v>0</v>
      </c>
      <c r="S534" s="13">
        <f>L534*P534</f>
        <v>9000</v>
      </c>
      <c r="T534" s="13"/>
      <c r="U534" s="13">
        <f>L534*T534</f>
        <v>0</v>
      </c>
      <c r="V534" s="13">
        <f>S534-U534</f>
        <v>9000</v>
      </c>
      <c r="W534" s="15">
        <f>IF(S534&gt;0, V534/S534, 0)</f>
        <v>1</v>
      </c>
      <c r="X534" s="6" t="s">
        <v>39</v>
      </c>
      <c r="Y534" s="8" t="s">
        <v>40</v>
      </c>
      <c r="Z534" s="8" t="s">
        <v>41</v>
      </c>
      <c r="AA534" s="8" t="s">
        <v>42</v>
      </c>
      <c r="AB534" s="6" t="s">
        <v>42</v>
      </c>
    </row>
    <row r="535" spans="1:28">
      <c r="A535" s="9">
        <v>528</v>
      </c>
      <c r="B535" s="9" t="s">
        <v>814</v>
      </c>
      <c r="C535" s="9" t="s">
        <v>799</v>
      </c>
      <c r="D535" s="9" t="s">
        <v>652</v>
      </c>
      <c r="E535" s="9" t="s">
        <v>33</v>
      </c>
      <c r="F535" s="7" t="s">
        <v>50</v>
      </c>
      <c r="G535" s="7" t="s">
        <v>35</v>
      </c>
      <c r="H535" s="7" t="s">
        <v>36</v>
      </c>
      <c r="I535" s="9">
        <v>134</v>
      </c>
      <c r="J535" s="9" t="s">
        <v>177</v>
      </c>
      <c r="K535" s="9" t="s">
        <v>53</v>
      </c>
      <c r="L535" s="11">
        <v>1</v>
      </c>
      <c r="M535" s="14">
        <v>7000.0</v>
      </c>
      <c r="N535" s="14"/>
      <c r="O535" s="16">
        <f>IF(M535&gt;0, N535/M535, 0)</f>
        <v>0</v>
      </c>
      <c r="P535" s="14">
        <f>M535-N535</f>
        <v>7000</v>
      </c>
      <c r="Q535" s="14">
        <f>L535*M535</f>
        <v>7000</v>
      </c>
      <c r="R535" s="14">
        <f>L535*N535</f>
        <v>0</v>
      </c>
      <c r="S535" s="14">
        <f>L535*P535</f>
        <v>7000</v>
      </c>
      <c r="T535" s="14"/>
      <c r="U535" s="14">
        <f>L535*T535</f>
        <v>0</v>
      </c>
      <c r="V535" s="14">
        <f>S535-U535</f>
        <v>7000</v>
      </c>
      <c r="W535" s="16">
        <f>IF(S535&gt;0, V535/S535, 0)</f>
        <v>1</v>
      </c>
      <c r="X535" s="7" t="s">
        <v>39</v>
      </c>
      <c r="Y535" s="9" t="s">
        <v>40</v>
      </c>
      <c r="Z535" s="9" t="s">
        <v>41</v>
      </c>
      <c r="AA535" s="9" t="s">
        <v>42</v>
      </c>
      <c r="AB535" s="7" t="s">
        <v>42</v>
      </c>
    </row>
    <row r="536" spans="1:28">
      <c r="A536" s="8">
        <v>529</v>
      </c>
      <c r="B536" s="8" t="s">
        <v>815</v>
      </c>
      <c r="C536" s="8" t="s">
        <v>799</v>
      </c>
      <c r="D536" s="8" t="s">
        <v>652</v>
      </c>
      <c r="E536" s="8" t="s">
        <v>33</v>
      </c>
      <c r="F536" s="6" t="s">
        <v>50</v>
      </c>
      <c r="G536" s="6" t="s">
        <v>45</v>
      </c>
      <c r="H536" s="6" t="s">
        <v>46</v>
      </c>
      <c r="I536" s="8">
        <v>134</v>
      </c>
      <c r="J536" s="8" t="s">
        <v>376</v>
      </c>
      <c r="K536" s="8" t="s">
        <v>38</v>
      </c>
      <c r="L536" s="10">
        <v>1</v>
      </c>
      <c r="M536" s="13">
        <v>18000.0</v>
      </c>
      <c r="N536" s="13"/>
      <c r="O536" s="15">
        <f>IF(M536&gt;0, N536/M536, 0)</f>
        <v>0</v>
      </c>
      <c r="P536" s="13">
        <f>M536-N536</f>
        <v>18000</v>
      </c>
      <c r="Q536" s="13">
        <f>L536*M536</f>
        <v>18000</v>
      </c>
      <c r="R536" s="13">
        <f>L536*N536</f>
        <v>0</v>
      </c>
      <c r="S536" s="13">
        <f>L536*P536</f>
        <v>18000</v>
      </c>
      <c r="T536" s="13"/>
      <c r="U536" s="13">
        <f>L536*T536</f>
        <v>0</v>
      </c>
      <c r="V536" s="13">
        <f>S536-U536</f>
        <v>18000</v>
      </c>
      <c r="W536" s="15">
        <f>IF(S536&gt;0, V536/S536, 0)</f>
        <v>1</v>
      </c>
      <c r="X536" s="6" t="s">
        <v>39</v>
      </c>
      <c r="Y536" s="8" t="s">
        <v>40</v>
      </c>
      <c r="Z536" s="8" t="s">
        <v>41</v>
      </c>
      <c r="AA536" s="8" t="s">
        <v>42</v>
      </c>
      <c r="AB536" s="6" t="s">
        <v>42</v>
      </c>
    </row>
    <row r="537" spans="1:28">
      <c r="A537" s="9">
        <v>530</v>
      </c>
      <c r="B537" s="9" t="s">
        <v>816</v>
      </c>
      <c r="C537" s="9" t="s">
        <v>799</v>
      </c>
      <c r="D537" s="9" t="s">
        <v>652</v>
      </c>
      <c r="E537" s="9" t="s">
        <v>33</v>
      </c>
      <c r="F537" s="7" t="s">
        <v>34</v>
      </c>
      <c r="G537" s="7" t="s">
        <v>45</v>
      </c>
      <c r="H537" s="7" t="s">
        <v>46</v>
      </c>
      <c r="I537" s="9">
        <v>164</v>
      </c>
      <c r="J537" s="9" t="s">
        <v>318</v>
      </c>
      <c r="K537" s="9" t="s">
        <v>38</v>
      </c>
      <c r="L537" s="11">
        <v>1</v>
      </c>
      <c r="M537" s="14">
        <v>18000.0</v>
      </c>
      <c r="N537" s="14"/>
      <c r="O537" s="16">
        <f>IF(M537&gt;0, N537/M537, 0)</f>
        <v>0</v>
      </c>
      <c r="P537" s="14">
        <f>M537-N537</f>
        <v>18000</v>
      </c>
      <c r="Q537" s="14">
        <f>L537*M537</f>
        <v>18000</v>
      </c>
      <c r="R537" s="14">
        <f>L537*N537</f>
        <v>0</v>
      </c>
      <c r="S537" s="14">
        <f>L537*P537</f>
        <v>18000</v>
      </c>
      <c r="T537" s="14"/>
      <c r="U537" s="14">
        <f>L537*T537</f>
        <v>0</v>
      </c>
      <c r="V537" s="14">
        <f>S537-U537</f>
        <v>18000</v>
      </c>
      <c r="W537" s="16">
        <f>IF(S537&gt;0, V537/S537, 0)</f>
        <v>1</v>
      </c>
      <c r="X537" s="7" t="s">
        <v>39</v>
      </c>
      <c r="Y537" s="9" t="s">
        <v>40</v>
      </c>
      <c r="Z537" s="9" t="s">
        <v>41</v>
      </c>
      <c r="AA537" s="9" t="s">
        <v>42</v>
      </c>
      <c r="AB537" s="7" t="s">
        <v>42</v>
      </c>
    </row>
    <row r="538" spans="1:28">
      <c r="A538" s="8">
        <v>531</v>
      </c>
      <c r="B538" s="8" t="s">
        <v>817</v>
      </c>
      <c r="C538" s="8" t="s">
        <v>799</v>
      </c>
      <c r="D538" s="8" t="s">
        <v>652</v>
      </c>
      <c r="E538" s="8" t="s">
        <v>33</v>
      </c>
      <c r="F538" s="6" t="s">
        <v>34</v>
      </c>
      <c r="G538" s="6" t="s">
        <v>35</v>
      </c>
      <c r="H538" s="6" t="s">
        <v>36</v>
      </c>
      <c r="I538" s="8">
        <v>170</v>
      </c>
      <c r="J538" s="8" t="s">
        <v>142</v>
      </c>
      <c r="K538" s="8" t="s">
        <v>38</v>
      </c>
      <c r="L538" s="10">
        <v>1</v>
      </c>
      <c r="M538" s="13">
        <v>8000.0</v>
      </c>
      <c r="N538" s="13"/>
      <c r="O538" s="15">
        <f>IF(M538&gt;0, N538/M538, 0)</f>
        <v>0</v>
      </c>
      <c r="P538" s="13">
        <f>M538-N538</f>
        <v>8000</v>
      </c>
      <c r="Q538" s="13">
        <f>L538*M538</f>
        <v>8000</v>
      </c>
      <c r="R538" s="13">
        <f>L538*N538</f>
        <v>0</v>
      </c>
      <c r="S538" s="13">
        <f>L538*P538</f>
        <v>8000</v>
      </c>
      <c r="T538" s="13"/>
      <c r="U538" s="13">
        <f>L538*T538</f>
        <v>0</v>
      </c>
      <c r="V538" s="13">
        <f>S538-U538</f>
        <v>8000</v>
      </c>
      <c r="W538" s="15">
        <f>IF(S538&gt;0, V538/S538, 0)</f>
        <v>1</v>
      </c>
      <c r="X538" s="6" t="s">
        <v>39</v>
      </c>
      <c r="Y538" s="8" t="s">
        <v>40</v>
      </c>
      <c r="Z538" s="8" t="s">
        <v>41</v>
      </c>
      <c r="AA538" s="8" t="s">
        <v>42</v>
      </c>
      <c r="AB538" s="6" t="s">
        <v>42</v>
      </c>
    </row>
    <row r="539" spans="1:28">
      <c r="A539" s="9">
        <v>532</v>
      </c>
      <c r="B539" s="9" t="s">
        <v>818</v>
      </c>
      <c r="C539" s="9" t="s">
        <v>799</v>
      </c>
      <c r="D539" s="9" t="s">
        <v>652</v>
      </c>
      <c r="E539" s="9" t="s">
        <v>33</v>
      </c>
      <c r="F539" s="7" t="s">
        <v>34</v>
      </c>
      <c r="G539" s="7" t="s">
        <v>51</v>
      </c>
      <c r="H539" s="7" t="s">
        <v>51</v>
      </c>
      <c r="I539" s="9">
        <v>158</v>
      </c>
      <c r="J539" s="9" t="s">
        <v>122</v>
      </c>
      <c r="K539" s="9" t="s">
        <v>38</v>
      </c>
      <c r="L539" s="11">
        <v>1</v>
      </c>
      <c r="M539" s="14">
        <v>8500.0</v>
      </c>
      <c r="N539" s="14"/>
      <c r="O539" s="16">
        <f>IF(M539&gt;0, N539/M539, 0)</f>
        <v>0</v>
      </c>
      <c r="P539" s="14">
        <f>M539-N539</f>
        <v>8500</v>
      </c>
      <c r="Q539" s="14">
        <f>L539*M539</f>
        <v>8500</v>
      </c>
      <c r="R539" s="14">
        <f>L539*N539</f>
        <v>0</v>
      </c>
      <c r="S539" s="14">
        <f>L539*P539</f>
        <v>8500</v>
      </c>
      <c r="T539" s="14"/>
      <c r="U539" s="14">
        <f>L539*T539</f>
        <v>0</v>
      </c>
      <c r="V539" s="14">
        <f>S539-U539</f>
        <v>8500</v>
      </c>
      <c r="W539" s="16">
        <f>IF(S539&gt;0, V539/S539, 0)</f>
        <v>1</v>
      </c>
      <c r="X539" s="7" t="s">
        <v>39</v>
      </c>
      <c r="Y539" s="9" t="s">
        <v>40</v>
      </c>
      <c r="Z539" s="9" t="s">
        <v>41</v>
      </c>
      <c r="AA539" s="9" t="s">
        <v>42</v>
      </c>
      <c r="AB539" s="7" t="s">
        <v>42</v>
      </c>
    </row>
    <row r="540" spans="1:28">
      <c r="A540" s="8">
        <v>533</v>
      </c>
      <c r="B540" s="8" t="s">
        <v>819</v>
      </c>
      <c r="C540" s="8" t="s">
        <v>799</v>
      </c>
      <c r="D540" s="8" t="s">
        <v>652</v>
      </c>
      <c r="E540" s="8" t="s">
        <v>33</v>
      </c>
      <c r="F540" s="6" t="s">
        <v>34</v>
      </c>
      <c r="G540" s="6" t="s">
        <v>56</v>
      </c>
      <c r="H540" s="6" t="s">
        <v>56</v>
      </c>
      <c r="I540" s="8">
        <v>158</v>
      </c>
      <c r="J540" s="8" t="s">
        <v>128</v>
      </c>
      <c r="K540" s="8" t="s">
        <v>38</v>
      </c>
      <c r="L540" s="10">
        <v>1</v>
      </c>
      <c r="M540" s="13">
        <v>7500.0</v>
      </c>
      <c r="N540" s="13"/>
      <c r="O540" s="15">
        <f>IF(M540&gt;0, N540/M540, 0)</f>
        <v>0</v>
      </c>
      <c r="P540" s="13">
        <f>M540-N540</f>
        <v>7500</v>
      </c>
      <c r="Q540" s="13">
        <f>L540*M540</f>
        <v>7500</v>
      </c>
      <c r="R540" s="13">
        <f>L540*N540</f>
        <v>0</v>
      </c>
      <c r="S540" s="13">
        <f>L540*P540</f>
        <v>7500</v>
      </c>
      <c r="T540" s="13"/>
      <c r="U540" s="13">
        <f>L540*T540</f>
        <v>0</v>
      </c>
      <c r="V540" s="13">
        <f>S540-U540</f>
        <v>7500</v>
      </c>
      <c r="W540" s="15">
        <f>IF(S540&gt;0, V540/S540, 0)</f>
        <v>1</v>
      </c>
      <c r="X540" s="6" t="s">
        <v>39</v>
      </c>
      <c r="Y540" s="8" t="s">
        <v>40</v>
      </c>
      <c r="Z540" s="8" t="s">
        <v>41</v>
      </c>
      <c r="AA540" s="8" t="s">
        <v>42</v>
      </c>
      <c r="AB540" s="6" t="s">
        <v>42</v>
      </c>
    </row>
    <row r="541" spans="1:28">
      <c r="A541" s="9">
        <v>534</v>
      </c>
      <c r="B541" s="9" t="s">
        <v>820</v>
      </c>
      <c r="C541" s="9" t="s">
        <v>799</v>
      </c>
      <c r="D541" s="9" t="s">
        <v>652</v>
      </c>
      <c r="E541" s="9" t="s">
        <v>33</v>
      </c>
      <c r="F541" s="7" t="s">
        <v>50</v>
      </c>
      <c r="G541" s="7" t="s">
        <v>51</v>
      </c>
      <c r="H541" s="7" t="s">
        <v>51</v>
      </c>
      <c r="I541" s="9">
        <v>158</v>
      </c>
      <c r="J541" s="9" t="s">
        <v>125</v>
      </c>
      <c r="K541" s="9" t="s">
        <v>53</v>
      </c>
      <c r="L541" s="11">
        <v>1</v>
      </c>
      <c r="M541" s="14">
        <v>8000.0</v>
      </c>
      <c r="N541" s="14"/>
      <c r="O541" s="16">
        <f>IF(M541&gt;0, N541/M541, 0)</f>
        <v>0</v>
      </c>
      <c r="P541" s="14">
        <f>M541-N541</f>
        <v>8000</v>
      </c>
      <c r="Q541" s="14">
        <f>L541*M541</f>
        <v>8000</v>
      </c>
      <c r="R541" s="14">
        <f>L541*N541</f>
        <v>0</v>
      </c>
      <c r="S541" s="14">
        <f>L541*P541</f>
        <v>8000</v>
      </c>
      <c r="T541" s="14"/>
      <c r="U541" s="14">
        <f>L541*T541</f>
        <v>0</v>
      </c>
      <c r="V541" s="14">
        <f>S541-U541</f>
        <v>8000</v>
      </c>
      <c r="W541" s="16">
        <f>IF(S541&gt;0, V541/S541, 0)</f>
        <v>1</v>
      </c>
      <c r="X541" s="7" t="s">
        <v>39</v>
      </c>
      <c r="Y541" s="9" t="s">
        <v>40</v>
      </c>
      <c r="Z541" s="9" t="s">
        <v>41</v>
      </c>
      <c r="AA541" s="9" t="s">
        <v>42</v>
      </c>
      <c r="AB541" s="7" t="s">
        <v>42</v>
      </c>
    </row>
    <row r="542" spans="1:28">
      <c r="A542" s="8">
        <v>535</v>
      </c>
      <c r="B542" s="8" t="s">
        <v>821</v>
      </c>
      <c r="C542" s="8" t="s">
        <v>799</v>
      </c>
      <c r="D542" s="8" t="s">
        <v>652</v>
      </c>
      <c r="E542" s="8" t="s">
        <v>33</v>
      </c>
      <c r="F542" s="6" t="s">
        <v>50</v>
      </c>
      <c r="G542" s="6" t="s">
        <v>51</v>
      </c>
      <c r="H542" s="6" t="s">
        <v>51</v>
      </c>
      <c r="I542" s="8">
        <v>170</v>
      </c>
      <c r="J542" s="8" t="s">
        <v>52</v>
      </c>
      <c r="K542" s="8" t="s">
        <v>53</v>
      </c>
      <c r="L542" s="10">
        <v>1</v>
      </c>
      <c r="M542" s="13">
        <v>8000.0</v>
      </c>
      <c r="N542" s="13"/>
      <c r="O542" s="15">
        <f>IF(M542&gt;0, N542/M542, 0)</f>
        <v>0</v>
      </c>
      <c r="P542" s="13">
        <f>M542-N542</f>
        <v>8000</v>
      </c>
      <c r="Q542" s="13">
        <f>L542*M542</f>
        <v>8000</v>
      </c>
      <c r="R542" s="13">
        <f>L542*N542</f>
        <v>0</v>
      </c>
      <c r="S542" s="13">
        <f>L542*P542</f>
        <v>8000</v>
      </c>
      <c r="T542" s="13"/>
      <c r="U542" s="13">
        <f>L542*T542</f>
        <v>0</v>
      </c>
      <c r="V542" s="13">
        <f>S542-U542</f>
        <v>8000</v>
      </c>
      <c r="W542" s="15">
        <f>IF(S542&gt;0, V542/S542, 0)</f>
        <v>1</v>
      </c>
      <c r="X542" s="6" t="s">
        <v>39</v>
      </c>
      <c r="Y542" s="8" t="s">
        <v>40</v>
      </c>
      <c r="Z542" s="8" t="s">
        <v>41</v>
      </c>
      <c r="AA542" s="8" t="s">
        <v>42</v>
      </c>
      <c r="AB542" s="6" t="s">
        <v>42</v>
      </c>
    </row>
    <row r="543" spans="1:28">
      <c r="A543" s="9">
        <v>536</v>
      </c>
      <c r="B543" s="9" t="s">
        <v>822</v>
      </c>
      <c r="C543" s="9" t="s">
        <v>799</v>
      </c>
      <c r="D543" s="9" t="s">
        <v>652</v>
      </c>
      <c r="E543" s="9" t="s">
        <v>33</v>
      </c>
      <c r="F543" s="7" t="s">
        <v>50</v>
      </c>
      <c r="G543" s="7" t="s">
        <v>35</v>
      </c>
      <c r="H543" s="7" t="s">
        <v>36</v>
      </c>
      <c r="I543" s="9">
        <v>170</v>
      </c>
      <c r="J543" s="9" t="s">
        <v>642</v>
      </c>
      <c r="K543" s="9" t="s">
        <v>53</v>
      </c>
      <c r="L543" s="11">
        <v>1</v>
      </c>
      <c r="M543" s="14">
        <v>7000.0</v>
      </c>
      <c r="N543" s="14"/>
      <c r="O543" s="16">
        <f>IF(M543&gt;0, N543/M543, 0)</f>
        <v>0</v>
      </c>
      <c r="P543" s="14">
        <f>M543-N543</f>
        <v>7000</v>
      </c>
      <c r="Q543" s="14">
        <f>L543*M543</f>
        <v>7000</v>
      </c>
      <c r="R543" s="14">
        <f>L543*N543</f>
        <v>0</v>
      </c>
      <c r="S543" s="14">
        <f>L543*P543</f>
        <v>7000</v>
      </c>
      <c r="T543" s="14"/>
      <c r="U543" s="14">
        <f>L543*T543</f>
        <v>0</v>
      </c>
      <c r="V543" s="14">
        <f>S543-U543</f>
        <v>7000</v>
      </c>
      <c r="W543" s="16">
        <f>IF(S543&gt;0, V543/S543, 0)</f>
        <v>1</v>
      </c>
      <c r="X543" s="7" t="s">
        <v>39</v>
      </c>
      <c r="Y543" s="9" t="s">
        <v>40</v>
      </c>
      <c r="Z543" s="9" t="s">
        <v>41</v>
      </c>
      <c r="AA543" s="9" t="s">
        <v>42</v>
      </c>
      <c r="AB543" s="7" t="s">
        <v>42</v>
      </c>
    </row>
    <row r="544" spans="1:28">
      <c r="A544" s="8">
        <v>537</v>
      </c>
      <c r="B544" s="8" t="s">
        <v>823</v>
      </c>
      <c r="C544" s="8" t="s">
        <v>799</v>
      </c>
      <c r="D544" s="8" t="s">
        <v>652</v>
      </c>
      <c r="E544" s="8" t="s">
        <v>33</v>
      </c>
      <c r="F544" s="6" t="s">
        <v>50</v>
      </c>
      <c r="G544" s="6" t="s">
        <v>35</v>
      </c>
      <c r="H544" s="6" t="s">
        <v>36</v>
      </c>
      <c r="I544" s="8">
        <v>152</v>
      </c>
      <c r="J544" s="8" t="s">
        <v>151</v>
      </c>
      <c r="K544" s="8" t="s">
        <v>53</v>
      </c>
      <c r="L544" s="10">
        <v>1</v>
      </c>
      <c r="M544" s="13">
        <v>7000.0</v>
      </c>
      <c r="N544" s="13"/>
      <c r="O544" s="15">
        <f>IF(M544&gt;0, N544/M544, 0)</f>
        <v>0</v>
      </c>
      <c r="P544" s="13">
        <f>M544-N544</f>
        <v>7000</v>
      </c>
      <c r="Q544" s="13">
        <f>L544*M544</f>
        <v>7000</v>
      </c>
      <c r="R544" s="13">
        <f>L544*N544</f>
        <v>0</v>
      </c>
      <c r="S544" s="13">
        <f>L544*P544</f>
        <v>7000</v>
      </c>
      <c r="T544" s="13"/>
      <c r="U544" s="13">
        <f>L544*T544</f>
        <v>0</v>
      </c>
      <c r="V544" s="13">
        <f>S544-U544</f>
        <v>7000</v>
      </c>
      <c r="W544" s="15">
        <f>IF(S544&gt;0, V544/S544, 0)</f>
        <v>1</v>
      </c>
      <c r="X544" s="6" t="s">
        <v>39</v>
      </c>
      <c r="Y544" s="8" t="s">
        <v>40</v>
      </c>
      <c r="Z544" s="8" t="s">
        <v>41</v>
      </c>
      <c r="AA544" s="8" t="s">
        <v>42</v>
      </c>
      <c r="AB544" s="6" t="s">
        <v>42</v>
      </c>
    </row>
    <row r="545" spans="1:28">
      <c r="A545" s="9">
        <v>538</v>
      </c>
      <c r="B545" s="9" t="s">
        <v>824</v>
      </c>
      <c r="C545" s="9" t="s">
        <v>799</v>
      </c>
      <c r="D545" s="9" t="s">
        <v>652</v>
      </c>
      <c r="E545" s="9" t="s">
        <v>68</v>
      </c>
      <c r="F545" s="7" t="s">
        <v>50</v>
      </c>
      <c r="G545" s="7" t="s">
        <v>56</v>
      </c>
      <c r="H545" s="7" t="s">
        <v>56</v>
      </c>
      <c r="I545" s="9">
        <v>134</v>
      </c>
      <c r="J545" s="9" t="s">
        <v>281</v>
      </c>
      <c r="K545" s="9" t="s">
        <v>38</v>
      </c>
      <c r="L545" s="11">
        <v>1</v>
      </c>
      <c r="M545" s="14">
        <v>8000.0</v>
      </c>
      <c r="N545" s="14"/>
      <c r="O545" s="16">
        <f>IF(M545&gt;0, N545/M545, 0)</f>
        <v>0</v>
      </c>
      <c r="P545" s="14">
        <f>M545-N545</f>
        <v>8000</v>
      </c>
      <c r="Q545" s="14">
        <f>L545*M545</f>
        <v>8000</v>
      </c>
      <c r="R545" s="14">
        <f>L545*N545</f>
        <v>0</v>
      </c>
      <c r="S545" s="14">
        <f>L545*P545</f>
        <v>8000</v>
      </c>
      <c r="T545" s="14"/>
      <c r="U545" s="14">
        <f>L545*T545</f>
        <v>0</v>
      </c>
      <c r="V545" s="14">
        <f>S545-U545</f>
        <v>8000</v>
      </c>
      <c r="W545" s="16">
        <f>IF(S545&gt;0, V545/S545, 0)</f>
        <v>1</v>
      </c>
      <c r="X545" s="7" t="s">
        <v>39</v>
      </c>
      <c r="Y545" s="9" t="s">
        <v>40</v>
      </c>
      <c r="Z545" s="9" t="s">
        <v>71</v>
      </c>
      <c r="AA545" s="9" t="s">
        <v>42</v>
      </c>
      <c r="AB545" s="7" t="s">
        <v>42</v>
      </c>
    </row>
    <row r="546" spans="1:28">
      <c r="A546" s="8">
        <v>539</v>
      </c>
      <c r="B546" s="8" t="s">
        <v>825</v>
      </c>
      <c r="C546" s="8" t="s">
        <v>799</v>
      </c>
      <c r="D546" s="8" t="s">
        <v>652</v>
      </c>
      <c r="E546" s="8" t="s">
        <v>33</v>
      </c>
      <c r="F546" s="6" t="s">
        <v>50</v>
      </c>
      <c r="G546" s="6" t="s">
        <v>35</v>
      </c>
      <c r="H546" s="6" t="s">
        <v>73</v>
      </c>
      <c r="I546" s="8">
        <v>140</v>
      </c>
      <c r="J546" s="8" t="s">
        <v>570</v>
      </c>
      <c r="K546" s="8" t="s">
        <v>53</v>
      </c>
      <c r="L546" s="10">
        <v>1</v>
      </c>
      <c r="M546" s="13">
        <v>8000.0</v>
      </c>
      <c r="N546" s="13"/>
      <c r="O546" s="15">
        <f>IF(M546&gt;0, N546/M546, 0)</f>
        <v>0</v>
      </c>
      <c r="P546" s="13">
        <f>M546-N546</f>
        <v>8000</v>
      </c>
      <c r="Q546" s="13">
        <f>L546*M546</f>
        <v>8000</v>
      </c>
      <c r="R546" s="13">
        <f>L546*N546</f>
        <v>0</v>
      </c>
      <c r="S546" s="13">
        <f>L546*P546</f>
        <v>8000</v>
      </c>
      <c r="T546" s="13"/>
      <c r="U546" s="13">
        <f>L546*T546</f>
        <v>0</v>
      </c>
      <c r="V546" s="13">
        <f>S546-U546</f>
        <v>8000</v>
      </c>
      <c r="W546" s="15">
        <f>IF(S546&gt;0, V546/S546, 0)</f>
        <v>1</v>
      </c>
      <c r="X546" s="6" t="s">
        <v>39</v>
      </c>
      <c r="Y546" s="8" t="s">
        <v>40</v>
      </c>
      <c r="Z546" s="8" t="s">
        <v>41</v>
      </c>
      <c r="AA546" s="8" t="s">
        <v>42</v>
      </c>
      <c r="AB546" s="6" t="s">
        <v>42</v>
      </c>
    </row>
    <row r="547" spans="1:28">
      <c r="A547" s="9">
        <v>540</v>
      </c>
      <c r="B547" s="9" t="s">
        <v>826</v>
      </c>
      <c r="C547" s="9" t="s">
        <v>799</v>
      </c>
      <c r="D547" s="9" t="s">
        <v>652</v>
      </c>
      <c r="E547" s="9" t="s">
        <v>33</v>
      </c>
      <c r="F547" s="7" t="s">
        <v>50</v>
      </c>
      <c r="G547" s="7" t="s">
        <v>35</v>
      </c>
      <c r="H547" s="7" t="s">
        <v>36</v>
      </c>
      <c r="I547" s="9">
        <v>140</v>
      </c>
      <c r="J547" s="9" t="s">
        <v>223</v>
      </c>
      <c r="K547" s="9" t="s">
        <v>53</v>
      </c>
      <c r="L547" s="11">
        <v>1</v>
      </c>
      <c r="M547" s="14">
        <v>7000.0</v>
      </c>
      <c r="N547" s="14"/>
      <c r="O547" s="16">
        <f>IF(M547&gt;0, N547/M547, 0)</f>
        <v>0</v>
      </c>
      <c r="P547" s="14">
        <f>M547-N547</f>
        <v>7000</v>
      </c>
      <c r="Q547" s="14">
        <f>L547*M547</f>
        <v>7000</v>
      </c>
      <c r="R547" s="14">
        <f>L547*N547</f>
        <v>0</v>
      </c>
      <c r="S547" s="14">
        <f>L547*P547</f>
        <v>7000</v>
      </c>
      <c r="T547" s="14"/>
      <c r="U547" s="14">
        <f>L547*T547</f>
        <v>0</v>
      </c>
      <c r="V547" s="14">
        <f>S547-U547</f>
        <v>7000</v>
      </c>
      <c r="W547" s="16">
        <f>IF(S547&gt;0, V547/S547, 0)</f>
        <v>1</v>
      </c>
      <c r="X547" s="7" t="s">
        <v>39</v>
      </c>
      <c r="Y547" s="9" t="s">
        <v>40</v>
      </c>
      <c r="Z547" s="9" t="s">
        <v>41</v>
      </c>
      <c r="AA547" s="9" t="s">
        <v>42</v>
      </c>
      <c r="AB547" s="7" t="s">
        <v>42</v>
      </c>
    </row>
    <row r="548" spans="1:28">
      <c r="A548" s="8">
        <v>541</v>
      </c>
      <c r="B548" s="8" t="s">
        <v>827</v>
      </c>
      <c r="C548" s="8" t="s">
        <v>828</v>
      </c>
      <c r="D548" s="8" t="s">
        <v>652</v>
      </c>
      <c r="E548" s="8" t="s">
        <v>68</v>
      </c>
      <c r="F548" s="6" t="s">
        <v>50</v>
      </c>
      <c r="G548" s="6" t="s">
        <v>56</v>
      </c>
      <c r="H548" s="6" t="s">
        <v>56</v>
      </c>
      <c r="I548" s="8">
        <v>140</v>
      </c>
      <c r="J548" s="8" t="s">
        <v>597</v>
      </c>
      <c r="K548" s="8" t="s">
        <v>38</v>
      </c>
      <c r="L548" s="10">
        <v>1</v>
      </c>
      <c r="M548" s="13">
        <v>8000.0</v>
      </c>
      <c r="N548" s="13">
        <v>800.0</v>
      </c>
      <c r="O548" s="15">
        <f>IF(M548&gt;0, N548/M548, 0)</f>
        <v>0.1</v>
      </c>
      <c r="P548" s="13">
        <f>M548-N548</f>
        <v>7200</v>
      </c>
      <c r="Q548" s="13">
        <f>L548*M548</f>
        <v>8000</v>
      </c>
      <c r="R548" s="13">
        <f>L548*N548</f>
        <v>800</v>
      </c>
      <c r="S548" s="13">
        <f>L548*P548</f>
        <v>7200</v>
      </c>
      <c r="T548" s="13"/>
      <c r="U548" s="13">
        <f>L548*T548</f>
        <v>0</v>
      </c>
      <c r="V548" s="13">
        <f>S548-U548</f>
        <v>7200</v>
      </c>
      <c r="W548" s="15">
        <f>IF(S548&gt;0, V548/S548, 0)</f>
        <v>1</v>
      </c>
      <c r="X548" s="6" t="s">
        <v>39</v>
      </c>
      <c r="Y548" s="8" t="s">
        <v>40</v>
      </c>
      <c r="Z548" s="8" t="s">
        <v>71</v>
      </c>
      <c r="AA548" s="8" t="s">
        <v>42</v>
      </c>
      <c r="AB548" s="6" t="s">
        <v>42</v>
      </c>
    </row>
    <row r="549" spans="1:28">
      <c r="A549" s="9">
        <v>542</v>
      </c>
      <c r="B549" s="9" t="s">
        <v>829</v>
      </c>
      <c r="C549" s="9" t="s">
        <v>828</v>
      </c>
      <c r="D549" s="9" t="s">
        <v>652</v>
      </c>
      <c r="E549" s="9" t="s">
        <v>33</v>
      </c>
      <c r="F549" s="7" t="s">
        <v>50</v>
      </c>
      <c r="G549" s="7" t="s">
        <v>51</v>
      </c>
      <c r="H549" s="7" t="s">
        <v>51</v>
      </c>
      <c r="I549" s="9">
        <v>140</v>
      </c>
      <c r="J549" s="9" t="s">
        <v>279</v>
      </c>
      <c r="K549" s="9" t="s">
        <v>53</v>
      </c>
      <c r="L549" s="11">
        <v>1</v>
      </c>
      <c r="M549" s="14">
        <v>8000.0</v>
      </c>
      <c r="N549" s="14">
        <v>800.0</v>
      </c>
      <c r="O549" s="16">
        <f>IF(M549&gt;0, N549/M549, 0)</f>
        <v>0.1</v>
      </c>
      <c r="P549" s="14">
        <f>M549-N549</f>
        <v>7200</v>
      </c>
      <c r="Q549" s="14">
        <f>L549*M549</f>
        <v>8000</v>
      </c>
      <c r="R549" s="14">
        <f>L549*N549</f>
        <v>800</v>
      </c>
      <c r="S549" s="14">
        <f>L549*P549</f>
        <v>7200</v>
      </c>
      <c r="T549" s="14"/>
      <c r="U549" s="14">
        <f>L549*T549</f>
        <v>0</v>
      </c>
      <c r="V549" s="14">
        <f>S549-U549</f>
        <v>7200</v>
      </c>
      <c r="W549" s="16">
        <f>IF(S549&gt;0, V549/S549, 0)</f>
        <v>1</v>
      </c>
      <c r="X549" s="7" t="s">
        <v>39</v>
      </c>
      <c r="Y549" s="9" t="s">
        <v>40</v>
      </c>
      <c r="Z549" s="9" t="s">
        <v>41</v>
      </c>
      <c r="AA549" s="9" t="s">
        <v>42</v>
      </c>
      <c r="AB549" s="7" t="s">
        <v>42</v>
      </c>
    </row>
    <row r="550" spans="1:28">
      <c r="A550" s="8">
        <v>543</v>
      </c>
      <c r="B550" s="8" t="s">
        <v>830</v>
      </c>
      <c r="C550" s="8" t="s">
        <v>828</v>
      </c>
      <c r="D550" s="8" t="s">
        <v>652</v>
      </c>
      <c r="E550" s="8" t="s">
        <v>33</v>
      </c>
      <c r="F550" s="6" t="s">
        <v>50</v>
      </c>
      <c r="G550" s="6" t="s">
        <v>51</v>
      </c>
      <c r="H550" s="6" t="s">
        <v>51</v>
      </c>
      <c r="I550" s="8">
        <v>146</v>
      </c>
      <c r="J550" s="8" t="s">
        <v>254</v>
      </c>
      <c r="K550" s="8" t="s">
        <v>53</v>
      </c>
      <c r="L550" s="10">
        <v>1</v>
      </c>
      <c r="M550" s="13">
        <v>8000.0</v>
      </c>
      <c r="N550" s="13">
        <v>800.0</v>
      </c>
      <c r="O550" s="15">
        <f>IF(M550&gt;0, N550/M550, 0)</f>
        <v>0.1</v>
      </c>
      <c r="P550" s="13">
        <f>M550-N550</f>
        <v>7200</v>
      </c>
      <c r="Q550" s="13">
        <f>L550*M550</f>
        <v>8000</v>
      </c>
      <c r="R550" s="13">
        <f>L550*N550</f>
        <v>800</v>
      </c>
      <c r="S550" s="13">
        <f>L550*P550</f>
        <v>7200</v>
      </c>
      <c r="T550" s="13"/>
      <c r="U550" s="13">
        <f>L550*T550</f>
        <v>0</v>
      </c>
      <c r="V550" s="13">
        <f>S550-U550</f>
        <v>7200</v>
      </c>
      <c r="W550" s="15">
        <f>IF(S550&gt;0, V550/S550, 0)</f>
        <v>1</v>
      </c>
      <c r="X550" s="6" t="s">
        <v>39</v>
      </c>
      <c r="Y550" s="8" t="s">
        <v>40</v>
      </c>
      <c r="Z550" s="8" t="s">
        <v>41</v>
      </c>
      <c r="AA550" s="8" t="s">
        <v>42</v>
      </c>
      <c r="AB550" s="6" t="s">
        <v>42</v>
      </c>
    </row>
    <row r="551" spans="1:28">
      <c r="A551" s="9">
        <v>544</v>
      </c>
      <c r="B551" s="9" t="s">
        <v>831</v>
      </c>
      <c r="C551" s="9" t="s">
        <v>828</v>
      </c>
      <c r="D551" s="9" t="s">
        <v>652</v>
      </c>
      <c r="E551" s="9" t="s">
        <v>68</v>
      </c>
      <c r="F551" s="7" t="s">
        <v>34</v>
      </c>
      <c r="G551" s="7" t="s">
        <v>69</v>
      </c>
      <c r="H551" s="7" t="s">
        <v>69</v>
      </c>
      <c r="I551" s="9">
        <v>158</v>
      </c>
      <c r="J551" s="9" t="s">
        <v>260</v>
      </c>
      <c r="K551" s="9" t="s">
        <v>38</v>
      </c>
      <c r="L551" s="11">
        <v>2</v>
      </c>
      <c r="M551" s="14">
        <v>18000.0</v>
      </c>
      <c r="N551" s="14"/>
      <c r="O551" s="16">
        <f>IF(M551&gt;0, N551/M551, 0)</f>
        <v>0</v>
      </c>
      <c r="P551" s="14">
        <f>M551-N551</f>
        <v>18000</v>
      </c>
      <c r="Q551" s="14">
        <f>L551*M551</f>
        <v>36000</v>
      </c>
      <c r="R551" s="14">
        <f>L551*N551</f>
        <v>0</v>
      </c>
      <c r="S551" s="14">
        <f>L551*P551</f>
        <v>36000</v>
      </c>
      <c r="T551" s="14"/>
      <c r="U551" s="14">
        <f>L551*T551</f>
        <v>0</v>
      </c>
      <c r="V551" s="14">
        <f>S551-U551</f>
        <v>36000</v>
      </c>
      <c r="W551" s="16">
        <f>IF(S551&gt;0, V551/S551, 0)</f>
        <v>1</v>
      </c>
      <c r="X551" s="7" t="s">
        <v>39</v>
      </c>
      <c r="Y551" s="9" t="s">
        <v>40</v>
      </c>
      <c r="Z551" s="9" t="s">
        <v>71</v>
      </c>
      <c r="AA551" s="9" t="s">
        <v>42</v>
      </c>
      <c r="AB551" s="7" t="s">
        <v>42</v>
      </c>
    </row>
    <row r="552" spans="1:28">
      <c r="A552" s="8">
        <v>545</v>
      </c>
      <c r="B552" s="8" t="s">
        <v>832</v>
      </c>
      <c r="C552" s="8" t="s">
        <v>828</v>
      </c>
      <c r="D552" s="8" t="s">
        <v>652</v>
      </c>
      <c r="E552" s="8" t="s">
        <v>33</v>
      </c>
      <c r="F552" s="6" t="s">
        <v>34</v>
      </c>
      <c r="G552" s="6" t="s">
        <v>51</v>
      </c>
      <c r="H552" s="6" t="s">
        <v>51</v>
      </c>
      <c r="I552" s="8">
        <v>158</v>
      </c>
      <c r="J552" s="8" t="s">
        <v>122</v>
      </c>
      <c r="K552" s="8" t="s">
        <v>38</v>
      </c>
      <c r="L552" s="10">
        <v>1</v>
      </c>
      <c r="M552" s="13">
        <v>8500.0</v>
      </c>
      <c r="N552" s="13"/>
      <c r="O552" s="15">
        <f>IF(M552&gt;0, N552/M552, 0)</f>
        <v>0</v>
      </c>
      <c r="P552" s="13">
        <f>M552-N552</f>
        <v>8500</v>
      </c>
      <c r="Q552" s="13">
        <f>L552*M552</f>
        <v>8500</v>
      </c>
      <c r="R552" s="13">
        <f>L552*N552</f>
        <v>0</v>
      </c>
      <c r="S552" s="13">
        <f>L552*P552</f>
        <v>8500</v>
      </c>
      <c r="T552" s="13"/>
      <c r="U552" s="13">
        <f>L552*T552</f>
        <v>0</v>
      </c>
      <c r="V552" s="13">
        <f>S552-U552</f>
        <v>8500</v>
      </c>
      <c r="W552" s="15">
        <f>IF(S552&gt;0, V552/S552, 0)</f>
        <v>1</v>
      </c>
      <c r="X552" s="6" t="s">
        <v>39</v>
      </c>
      <c r="Y552" s="8" t="s">
        <v>40</v>
      </c>
      <c r="Z552" s="8" t="s">
        <v>41</v>
      </c>
      <c r="AA552" s="8" t="s">
        <v>42</v>
      </c>
      <c r="AB552" s="6" t="s">
        <v>42</v>
      </c>
    </row>
    <row r="553" spans="1:28">
      <c r="A553" s="9">
        <v>546</v>
      </c>
      <c r="B553" s="9" t="s">
        <v>833</v>
      </c>
      <c r="C553" s="9" t="s">
        <v>828</v>
      </c>
      <c r="D553" s="9" t="s">
        <v>652</v>
      </c>
      <c r="E553" s="9" t="s">
        <v>33</v>
      </c>
      <c r="F553" s="7" t="s">
        <v>34</v>
      </c>
      <c r="G553" s="7" t="s">
        <v>35</v>
      </c>
      <c r="H553" s="7" t="s">
        <v>36</v>
      </c>
      <c r="I553" s="9">
        <v>164</v>
      </c>
      <c r="J553" s="9" t="s">
        <v>77</v>
      </c>
      <c r="K553" s="9" t="s">
        <v>38</v>
      </c>
      <c r="L553" s="11">
        <v>2</v>
      </c>
      <c r="M553" s="14">
        <v>8000.0</v>
      </c>
      <c r="N553" s="14"/>
      <c r="O553" s="16">
        <f>IF(M553&gt;0, N553/M553, 0)</f>
        <v>0</v>
      </c>
      <c r="P553" s="14">
        <f>M553-N553</f>
        <v>8000</v>
      </c>
      <c r="Q553" s="14">
        <f>L553*M553</f>
        <v>16000</v>
      </c>
      <c r="R553" s="14">
        <f>L553*N553</f>
        <v>0</v>
      </c>
      <c r="S553" s="14">
        <f>L553*P553</f>
        <v>16000</v>
      </c>
      <c r="T553" s="14"/>
      <c r="U553" s="14">
        <f>L553*T553</f>
        <v>0</v>
      </c>
      <c r="V553" s="14">
        <f>S553-U553</f>
        <v>16000</v>
      </c>
      <c r="W553" s="16">
        <f>IF(S553&gt;0, V553/S553, 0)</f>
        <v>1</v>
      </c>
      <c r="X553" s="7" t="s">
        <v>39</v>
      </c>
      <c r="Y553" s="9" t="s">
        <v>40</v>
      </c>
      <c r="Z553" s="9" t="s">
        <v>41</v>
      </c>
      <c r="AA553" s="9" t="s">
        <v>42</v>
      </c>
      <c r="AB553" s="7" t="s">
        <v>42</v>
      </c>
    </row>
    <row r="554" spans="1:28">
      <c r="A554" s="8">
        <v>547</v>
      </c>
      <c r="B554" s="8" t="s">
        <v>834</v>
      </c>
      <c r="C554" s="8" t="s">
        <v>828</v>
      </c>
      <c r="D554" s="8" t="s">
        <v>652</v>
      </c>
      <c r="E554" s="8" t="s">
        <v>33</v>
      </c>
      <c r="F554" s="6" t="s">
        <v>34</v>
      </c>
      <c r="G554" s="6" t="s">
        <v>45</v>
      </c>
      <c r="H554" s="6" t="s">
        <v>46</v>
      </c>
      <c r="I554" s="8">
        <v>158</v>
      </c>
      <c r="J554" s="8" t="s">
        <v>47</v>
      </c>
      <c r="K554" s="8" t="s">
        <v>38</v>
      </c>
      <c r="L554" s="10">
        <v>1</v>
      </c>
      <c r="M554" s="13">
        <v>18000.0</v>
      </c>
      <c r="N554" s="13"/>
      <c r="O554" s="15">
        <f>IF(M554&gt;0, N554/M554, 0)</f>
        <v>0</v>
      </c>
      <c r="P554" s="13">
        <f>M554-N554</f>
        <v>18000</v>
      </c>
      <c r="Q554" s="13">
        <f>L554*M554</f>
        <v>18000</v>
      </c>
      <c r="R554" s="13">
        <f>L554*N554</f>
        <v>0</v>
      </c>
      <c r="S554" s="13">
        <f>L554*P554</f>
        <v>18000</v>
      </c>
      <c r="T554" s="13"/>
      <c r="U554" s="13">
        <f>L554*T554</f>
        <v>0</v>
      </c>
      <c r="V554" s="13">
        <f>S554-U554</f>
        <v>18000</v>
      </c>
      <c r="W554" s="15">
        <f>IF(S554&gt;0, V554/S554, 0)</f>
        <v>1</v>
      </c>
      <c r="X554" s="6" t="s">
        <v>39</v>
      </c>
      <c r="Y554" s="8" t="s">
        <v>40</v>
      </c>
      <c r="Z554" s="8" t="s">
        <v>41</v>
      </c>
      <c r="AA554" s="8" t="s">
        <v>42</v>
      </c>
      <c r="AB554" s="6" t="s">
        <v>42</v>
      </c>
    </row>
    <row r="555" spans="1:28">
      <c r="A555" s="9">
        <v>548</v>
      </c>
      <c r="B555" s="9" t="s">
        <v>835</v>
      </c>
      <c r="C555" s="9" t="s">
        <v>828</v>
      </c>
      <c r="D555" s="9" t="s">
        <v>652</v>
      </c>
      <c r="E555" s="9" t="s">
        <v>33</v>
      </c>
      <c r="F555" s="7" t="s">
        <v>50</v>
      </c>
      <c r="G555" s="7" t="s">
        <v>51</v>
      </c>
      <c r="H555" s="7" t="s">
        <v>51</v>
      </c>
      <c r="I555" s="9">
        <v>170</v>
      </c>
      <c r="J555" s="9" t="s">
        <v>52</v>
      </c>
      <c r="K555" s="9" t="s">
        <v>53</v>
      </c>
      <c r="L555" s="11">
        <v>1</v>
      </c>
      <c r="M555" s="14">
        <v>8000.0</v>
      </c>
      <c r="N555" s="14"/>
      <c r="O555" s="16">
        <f>IF(M555&gt;0, N555/M555, 0)</f>
        <v>0</v>
      </c>
      <c r="P555" s="14">
        <f>M555-N555</f>
        <v>8000</v>
      </c>
      <c r="Q555" s="14">
        <f>L555*M555</f>
        <v>8000</v>
      </c>
      <c r="R555" s="14">
        <f>L555*N555</f>
        <v>0</v>
      </c>
      <c r="S555" s="14">
        <f>L555*P555</f>
        <v>8000</v>
      </c>
      <c r="T555" s="14"/>
      <c r="U555" s="14">
        <f>L555*T555</f>
        <v>0</v>
      </c>
      <c r="V555" s="14">
        <f>S555-U555</f>
        <v>8000</v>
      </c>
      <c r="W555" s="16">
        <f>IF(S555&gt;0, V555/S555, 0)</f>
        <v>1</v>
      </c>
      <c r="X555" s="7" t="s">
        <v>39</v>
      </c>
      <c r="Y555" s="9" t="s">
        <v>40</v>
      </c>
      <c r="Z555" s="9" t="s">
        <v>41</v>
      </c>
      <c r="AA555" s="9" t="s">
        <v>42</v>
      </c>
      <c r="AB555" s="7" t="s">
        <v>42</v>
      </c>
    </row>
    <row r="556" spans="1:28">
      <c r="A556" s="8">
        <v>549</v>
      </c>
      <c r="B556" s="8" t="s">
        <v>836</v>
      </c>
      <c r="C556" s="8" t="s">
        <v>828</v>
      </c>
      <c r="D556" s="8" t="s">
        <v>652</v>
      </c>
      <c r="E556" s="8" t="s">
        <v>33</v>
      </c>
      <c r="F556" s="6" t="s">
        <v>50</v>
      </c>
      <c r="G556" s="6" t="s">
        <v>56</v>
      </c>
      <c r="H556" s="6" t="s">
        <v>56</v>
      </c>
      <c r="I556" s="8">
        <v>158</v>
      </c>
      <c r="J556" s="8" t="s">
        <v>791</v>
      </c>
      <c r="K556" s="8" t="s">
        <v>38</v>
      </c>
      <c r="L556" s="10">
        <v>1</v>
      </c>
      <c r="M556" s="13">
        <v>7000.0</v>
      </c>
      <c r="N556" s="13"/>
      <c r="O556" s="15">
        <f>IF(M556&gt;0, N556/M556, 0)</f>
        <v>0</v>
      </c>
      <c r="P556" s="13">
        <f>M556-N556</f>
        <v>7000</v>
      </c>
      <c r="Q556" s="13">
        <f>L556*M556</f>
        <v>7000</v>
      </c>
      <c r="R556" s="13">
        <f>L556*N556</f>
        <v>0</v>
      </c>
      <c r="S556" s="13">
        <f>L556*P556</f>
        <v>7000</v>
      </c>
      <c r="T556" s="13"/>
      <c r="U556" s="13">
        <f>L556*T556</f>
        <v>0</v>
      </c>
      <c r="V556" s="13">
        <f>S556-U556</f>
        <v>7000</v>
      </c>
      <c r="W556" s="15">
        <f>IF(S556&gt;0, V556/S556, 0)</f>
        <v>1</v>
      </c>
      <c r="X556" s="6" t="s">
        <v>39</v>
      </c>
      <c r="Y556" s="8" t="s">
        <v>40</v>
      </c>
      <c r="Z556" s="8" t="s">
        <v>41</v>
      </c>
      <c r="AA556" s="8" t="s">
        <v>42</v>
      </c>
      <c r="AB556" s="6" t="s">
        <v>42</v>
      </c>
    </row>
    <row r="557" spans="1:28">
      <c r="A557" s="9">
        <v>550</v>
      </c>
      <c r="B557" s="9" t="s">
        <v>837</v>
      </c>
      <c r="C557" s="9" t="s">
        <v>828</v>
      </c>
      <c r="D557" s="9" t="s">
        <v>652</v>
      </c>
      <c r="E557" s="9" t="s">
        <v>33</v>
      </c>
      <c r="F557" s="7" t="s">
        <v>50</v>
      </c>
      <c r="G557" s="7" t="s">
        <v>35</v>
      </c>
      <c r="H557" s="7" t="s">
        <v>73</v>
      </c>
      <c r="I557" s="9">
        <v>164</v>
      </c>
      <c r="J557" s="9" t="s">
        <v>187</v>
      </c>
      <c r="K557" s="9" t="s">
        <v>53</v>
      </c>
      <c r="L557" s="11">
        <v>1</v>
      </c>
      <c r="M557" s="14">
        <v>8000.0</v>
      </c>
      <c r="N557" s="14"/>
      <c r="O557" s="16">
        <f>IF(M557&gt;0, N557/M557, 0)</f>
        <v>0</v>
      </c>
      <c r="P557" s="14">
        <f>M557-N557</f>
        <v>8000</v>
      </c>
      <c r="Q557" s="14">
        <f>L557*M557</f>
        <v>8000</v>
      </c>
      <c r="R557" s="14">
        <f>L557*N557</f>
        <v>0</v>
      </c>
      <c r="S557" s="14">
        <f>L557*P557</f>
        <v>8000</v>
      </c>
      <c r="T557" s="14"/>
      <c r="U557" s="14">
        <f>L557*T557</f>
        <v>0</v>
      </c>
      <c r="V557" s="14">
        <f>S557-U557</f>
        <v>8000</v>
      </c>
      <c r="W557" s="16">
        <f>IF(S557&gt;0, V557/S557, 0)</f>
        <v>1</v>
      </c>
      <c r="X557" s="7" t="s">
        <v>39</v>
      </c>
      <c r="Y557" s="9" t="s">
        <v>40</v>
      </c>
      <c r="Z557" s="9" t="s">
        <v>41</v>
      </c>
      <c r="AA557" s="9" t="s">
        <v>42</v>
      </c>
      <c r="AB557" s="7" t="s">
        <v>42</v>
      </c>
    </row>
    <row r="558" spans="1:28">
      <c r="A558" s="8">
        <v>551</v>
      </c>
      <c r="B558" s="8" t="s">
        <v>838</v>
      </c>
      <c r="C558" s="8" t="s">
        <v>828</v>
      </c>
      <c r="D558" s="8" t="s">
        <v>652</v>
      </c>
      <c r="E558" s="8" t="s">
        <v>33</v>
      </c>
      <c r="F558" s="6" t="s">
        <v>50</v>
      </c>
      <c r="G558" s="6" t="s">
        <v>35</v>
      </c>
      <c r="H558" s="6" t="s">
        <v>36</v>
      </c>
      <c r="I558" s="8">
        <v>170</v>
      </c>
      <c r="J558" s="8" t="s">
        <v>642</v>
      </c>
      <c r="K558" s="8" t="s">
        <v>53</v>
      </c>
      <c r="L558" s="10">
        <v>2</v>
      </c>
      <c r="M558" s="13">
        <v>7000.0</v>
      </c>
      <c r="N558" s="13"/>
      <c r="O558" s="15">
        <f>IF(M558&gt;0, N558/M558, 0)</f>
        <v>0</v>
      </c>
      <c r="P558" s="13">
        <f>M558-N558</f>
        <v>7000</v>
      </c>
      <c r="Q558" s="13">
        <f>L558*M558</f>
        <v>14000</v>
      </c>
      <c r="R558" s="13">
        <f>L558*N558</f>
        <v>0</v>
      </c>
      <c r="S558" s="13">
        <f>L558*P558</f>
        <v>14000</v>
      </c>
      <c r="T558" s="13"/>
      <c r="U558" s="13">
        <f>L558*T558</f>
        <v>0</v>
      </c>
      <c r="V558" s="13">
        <f>S558-U558</f>
        <v>14000</v>
      </c>
      <c r="W558" s="15">
        <f>IF(S558&gt;0, V558/S558, 0)</f>
        <v>1</v>
      </c>
      <c r="X558" s="6" t="s">
        <v>39</v>
      </c>
      <c r="Y558" s="8" t="s">
        <v>40</v>
      </c>
      <c r="Z558" s="8" t="s">
        <v>41</v>
      </c>
      <c r="AA558" s="8" t="s">
        <v>42</v>
      </c>
      <c r="AB558" s="6" t="s">
        <v>42</v>
      </c>
    </row>
    <row r="559" spans="1:28">
      <c r="A559" s="9">
        <v>552</v>
      </c>
      <c r="B559" s="9" t="s">
        <v>839</v>
      </c>
      <c r="C559" s="9" t="s">
        <v>828</v>
      </c>
      <c r="D559" s="9" t="s">
        <v>652</v>
      </c>
      <c r="E559" s="9" t="s">
        <v>33</v>
      </c>
      <c r="F559" s="7" t="s">
        <v>50</v>
      </c>
      <c r="G559" s="7" t="s">
        <v>45</v>
      </c>
      <c r="H559" s="7" t="s">
        <v>46</v>
      </c>
      <c r="I559" s="9">
        <v>158</v>
      </c>
      <c r="J559" s="9" t="s">
        <v>441</v>
      </c>
      <c r="K559" s="9" t="s">
        <v>38</v>
      </c>
      <c r="L559" s="11">
        <v>1</v>
      </c>
      <c r="M559" s="14">
        <v>18000.0</v>
      </c>
      <c r="N559" s="14"/>
      <c r="O559" s="16">
        <f>IF(M559&gt;0, N559/M559, 0)</f>
        <v>0</v>
      </c>
      <c r="P559" s="14">
        <f>M559-N559</f>
        <v>18000</v>
      </c>
      <c r="Q559" s="14">
        <f>L559*M559</f>
        <v>18000</v>
      </c>
      <c r="R559" s="14">
        <f>L559*N559</f>
        <v>0</v>
      </c>
      <c r="S559" s="14">
        <f>L559*P559</f>
        <v>18000</v>
      </c>
      <c r="T559" s="14"/>
      <c r="U559" s="14">
        <f>L559*T559</f>
        <v>0</v>
      </c>
      <c r="V559" s="14">
        <f>S559-U559</f>
        <v>18000</v>
      </c>
      <c r="W559" s="16">
        <f>IF(S559&gt;0, V559/S559, 0)</f>
        <v>1</v>
      </c>
      <c r="X559" s="7" t="s">
        <v>39</v>
      </c>
      <c r="Y559" s="9" t="s">
        <v>40</v>
      </c>
      <c r="Z559" s="9" t="s">
        <v>41</v>
      </c>
      <c r="AA559" s="9" t="s">
        <v>42</v>
      </c>
      <c r="AB559" s="7" t="s">
        <v>42</v>
      </c>
    </row>
    <row r="560" spans="1:28">
      <c r="A560" s="8">
        <v>553</v>
      </c>
      <c r="B560" s="8" t="s">
        <v>840</v>
      </c>
      <c r="C560" s="8" t="s">
        <v>828</v>
      </c>
      <c r="D560" s="8" t="s">
        <v>652</v>
      </c>
      <c r="E560" s="8" t="s">
        <v>33</v>
      </c>
      <c r="F560" s="6" t="s">
        <v>34</v>
      </c>
      <c r="G560" s="6" t="s">
        <v>45</v>
      </c>
      <c r="H560" s="6" t="s">
        <v>46</v>
      </c>
      <c r="I560" s="8">
        <v>164</v>
      </c>
      <c r="J560" s="8" t="s">
        <v>318</v>
      </c>
      <c r="K560" s="8" t="s">
        <v>38</v>
      </c>
      <c r="L560" s="10">
        <v>1</v>
      </c>
      <c r="M560" s="13">
        <v>18000.0</v>
      </c>
      <c r="N560" s="13"/>
      <c r="O560" s="15">
        <f>IF(M560&gt;0, N560/M560, 0)</f>
        <v>0</v>
      </c>
      <c r="P560" s="13">
        <f>M560-N560</f>
        <v>18000</v>
      </c>
      <c r="Q560" s="13">
        <f>L560*M560</f>
        <v>18000</v>
      </c>
      <c r="R560" s="13">
        <f>L560*N560</f>
        <v>0</v>
      </c>
      <c r="S560" s="13">
        <f>L560*P560</f>
        <v>18000</v>
      </c>
      <c r="T560" s="13"/>
      <c r="U560" s="13">
        <f>L560*T560</f>
        <v>0</v>
      </c>
      <c r="V560" s="13">
        <f>S560-U560</f>
        <v>18000</v>
      </c>
      <c r="W560" s="15">
        <f>IF(S560&gt;0, V560/S560, 0)</f>
        <v>1</v>
      </c>
      <c r="X560" s="6" t="s">
        <v>39</v>
      </c>
      <c r="Y560" s="8" t="s">
        <v>40</v>
      </c>
      <c r="Z560" s="8" t="s">
        <v>41</v>
      </c>
      <c r="AA560" s="8" t="s">
        <v>42</v>
      </c>
      <c r="AB560" s="6" t="s">
        <v>42</v>
      </c>
    </row>
    <row r="561" spans="1:28">
      <c r="A561" s="9">
        <v>554</v>
      </c>
      <c r="B561" s="9" t="s">
        <v>841</v>
      </c>
      <c r="C561" s="9" t="s">
        <v>828</v>
      </c>
      <c r="D561" s="9" t="s">
        <v>652</v>
      </c>
      <c r="E561" s="9" t="s">
        <v>33</v>
      </c>
      <c r="F561" s="7" t="s">
        <v>34</v>
      </c>
      <c r="G561" s="7" t="s">
        <v>45</v>
      </c>
      <c r="H561" s="7" t="s">
        <v>46</v>
      </c>
      <c r="I561" s="9">
        <v>176</v>
      </c>
      <c r="J561" s="9" t="s">
        <v>424</v>
      </c>
      <c r="K561" s="9" t="s">
        <v>38</v>
      </c>
      <c r="L561" s="11">
        <v>1</v>
      </c>
      <c r="M561" s="14">
        <v>18000.0</v>
      </c>
      <c r="N561" s="14"/>
      <c r="O561" s="16">
        <f>IF(M561&gt;0, N561/M561, 0)</f>
        <v>0</v>
      </c>
      <c r="P561" s="14">
        <f>M561-N561</f>
        <v>18000</v>
      </c>
      <c r="Q561" s="14">
        <f>L561*M561</f>
        <v>18000</v>
      </c>
      <c r="R561" s="14">
        <f>L561*N561</f>
        <v>0</v>
      </c>
      <c r="S561" s="14">
        <f>L561*P561</f>
        <v>18000</v>
      </c>
      <c r="T561" s="14"/>
      <c r="U561" s="14">
        <f>L561*T561</f>
        <v>0</v>
      </c>
      <c r="V561" s="14">
        <f>S561-U561</f>
        <v>18000</v>
      </c>
      <c r="W561" s="16">
        <f>IF(S561&gt;0, V561/S561, 0)</f>
        <v>1</v>
      </c>
      <c r="X561" s="7" t="s">
        <v>39</v>
      </c>
      <c r="Y561" s="9" t="s">
        <v>40</v>
      </c>
      <c r="Z561" s="9" t="s">
        <v>41</v>
      </c>
      <c r="AA561" s="9" t="s">
        <v>42</v>
      </c>
      <c r="AB561" s="7" t="s">
        <v>42</v>
      </c>
    </row>
    <row r="562" spans="1:28">
      <c r="A562" s="8">
        <v>555</v>
      </c>
      <c r="B562" s="8" t="s">
        <v>842</v>
      </c>
      <c r="C562" s="8" t="s">
        <v>843</v>
      </c>
      <c r="D562" s="8" t="s">
        <v>652</v>
      </c>
      <c r="E562" s="8" t="s">
        <v>33</v>
      </c>
      <c r="F562" s="6" t="s">
        <v>34</v>
      </c>
      <c r="G562" s="6" t="s">
        <v>63</v>
      </c>
      <c r="H562" s="6" t="s">
        <v>148</v>
      </c>
      <c r="I562" s="8">
        <v>182</v>
      </c>
      <c r="J562" s="8" t="s">
        <v>739</v>
      </c>
      <c r="K562" s="8" t="s">
        <v>38</v>
      </c>
      <c r="L562" s="10">
        <v>2</v>
      </c>
      <c r="M562" s="13">
        <v>9500.0</v>
      </c>
      <c r="N562" s="13"/>
      <c r="O562" s="15">
        <f>IF(M562&gt;0, N562/M562, 0)</f>
        <v>0</v>
      </c>
      <c r="P562" s="13">
        <f>M562-N562</f>
        <v>9500</v>
      </c>
      <c r="Q562" s="13">
        <f>L562*M562</f>
        <v>19000</v>
      </c>
      <c r="R562" s="13">
        <f>L562*N562</f>
        <v>0</v>
      </c>
      <c r="S562" s="13">
        <f>L562*P562</f>
        <v>19000</v>
      </c>
      <c r="T562" s="13"/>
      <c r="U562" s="13">
        <f>L562*T562</f>
        <v>0</v>
      </c>
      <c r="V562" s="13">
        <f>S562-U562</f>
        <v>19000</v>
      </c>
      <c r="W562" s="15">
        <f>IF(S562&gt;0, V562/S562, 0)</f>
        <v>1</v>
      </c>
      <c r="X562" s="6" t="s">
        <v>39</v>
      </c>
      <c r="Y562" s="8" t="s">
        <v>40</v>
      </c>
      <c r="Z562" s="8" t="s">
        <v>41</v>
      </c>
      <c r="AA562" s="8" t="s">
        <v>42</v>
      </c>
      <c r="AB562" s="6" t="s">
        <v>42</v>
      </c>
    </row>
    <row r="563" spans="1:28">
      <c r="A563" s="9">
        <v>556</v>
      </c>
      <c r="B563" s="9" t="s">
        <v>844</v>
      </c>
      <c r="C563" s="9" t="s">
        <v>843</v>
      </c>
      <c r="D563" s="9" t="s">
        <v>652</v>
      </c>
      <c r="E563" s="9" t="s">
        <v>33</v>
      </c>
      <c r="F563" s="7" t="s">
        <v>34</v>
      </c>
      <c r="G563" s="7" t="s">
        <v>69</v>
      </c>
      <c r="H563" s="7" t="s">
        <v>69</v>
      </c>
      <c r="I563" s="9">
        <v>182</v>
      </c>
      <c r="J563" s="9" t="s">
        <v>422</v>
      </c>
      <c r="K563" s="9" t="s">
        <v>38</v>
      </c>
      <c r="L563" s="11">
        <v>1</v>
      </c>
      <c r="M563" s="14">
        <v>16500.0</v>
      </c>
      <c r="N563" s="14"/>
      <c r="O563" s="16">
        <f>IF(M563&gt;0, N563/M563, 0)</f>
        <v>0</v>
      </c>
      <c r="P563" s="14">
        <f>M563-N563</f>
        <v>16500</v>
      </c>
      <c r="Q563" s="14">
        <f>L563*M563</f>
        <v>16500</v>
      </c>
      <c r="R563" s="14">
        <f>L563*N563</f>
        <v>0</v>
      </c>
      <c r="S563" s="14">
        <f>L563*P563</f>
        <v>16500</v>
      </c>
      <c r="T563" s="14"/>
      <c r="U563" s="14">
        <f>L563*T563</f>
        <v>0</v>
      </c>
      <c r="V563" s="14">
        <f>S563-U563</f>
        <v>16500</v>
      </c>
      <c r="W563" s="16">
        <f>IF(S563&gt;0, V563/S563, 0)</f>
        <v>1</v>
      </c>
      <c r="X563" s="7" t="s">
        <v>39</v>
      </c>
      <c r="Y563" s="9" t="s">
        <v>40</v>
      </c>
      <c r="Z563" s="9" t="s">
        <v>41</v>
      </c>
      <c r="AA563" s="9" t="s">
        <v>42</v>
      </c>
      <c r="AB563" s="7" t="s">
        <v>42</v>
      </c>
    </row>
    <row r="564" spans="1:28">
      <c r="A564" s="8">
        <v>557</v>
      </c>
      <c r="B564" s="8" t="s">
        <v>845</v>
      </c>
      <c r="C564" s="8" t="s">
        <v>843</v>
      </c>
      <c r="D564" s="8" t="s">
        <v>652</v>
      </c>
      <c r="E564" s="8" t="s">
        <v>33</v>
      </c>
      <c r="F564" s="6" t="s">
        <v>34</v>
      </c>
      <c r="G564" s="6" t="s">
        <v>35</v>
      </c>
      <c r="H564" s="6" t="s">
        <v>36</v>
      </c>
      <c r="I564" s="8">
        <v>182</v>
      </c>
      <c r="J564" s="8" t="s">
        <v>335</v>
      </c>
      <c r="K564" s="8" t="s">
        <v>38</v>
      </c>
      <c r="L564" s="10">
        <v>2</v>
      </c>
      <c r="M564" s="13">
        <v>8000.0</v>
      </c>
      <c r="N564" s="13"/>
      <c r="O564" s="15">
        <f>IF(M564&gt;0, N564/M564, 0)</f>
        <v>0</v>
      </c>
      <c r="P564" s="13">
        <f>M564-N564</f>
        <v>8000</v>
      </c>
      <c r="Q564" s="13">
        <f>L564*M564</f>
        <v>16000</v>
      </c>
      <c r="R564" s="13">
        <f>L564*N564</f>
        <v>0</v>
      </c>
      <c r="S564" s="13">
        <f>L564*P564</f>
        <v>16000</v>
      </c>
      <c r="T564" s="13"/>
      <c r="U564" s="13">
        <f>L564*T564</f>
        <v>0</v>
      </c>
      <c r="V564" s="13">
        <f>S564-U564</f>
        <v>16000</v>
      </c>
      <c r="W564" s="15">
        <f>IF(S564&gt;0, V564/S564, 0)</f>
        <v>1</v>
      </c>
      <c r="X564" s="6" t="s">
        <v>39</v>
      </c>
      <c r="Y564" s="8" t="s">
        <v>40</v>
      </c>
      <c r="Z564" s="8" t="s">
        <v>41</v>
      </c>
      <c r="AA564" s="8" t="s">
        <v>42</v>
      </c>
      <c r="AB564" s="6" t="s">
        <v>42</v>
      </c>
    </row>
    <row r="565" spans="1:28">
      <c r="A565" s="9">
        <v>558</v>
      </c>
      <c r="B565" s="9" t="s">
        <v>846</v>
      </c>
      <c r="C565" s="9" t="s">
        <v>843</v>
      </c>
      <c r="D565" s="9" t="s">
        <v>652</v>
      </c>
      <c r="E565" s="9" t="s">
        <v>33</v>
      </c>
      <c r="F565" s="7" t="s">
        <v>34</v>
      </c>
      <c r="G565" s="7" t="s">
        <v>45</v>
      </c>
      <c r="H565" s="7" t="s">
        <v>46</v>
      </c>
      <c r="I565" s="9">
        <v>182</v>
      </c>
      <c r="J565" s="9" t="s">
        <v>807</v>
      </c>
      <c r="K565" s="9" t="s">
        <v>38</v>
      </c>
      <c r="L565" s="11">
        <v>1</v>
      </c>
      <c r="M565" s="14">
        <v>18000.0</v>
      </c>
      <c r="N565" s="14"/>
      <c r="O565" s="16">
        <f>IF(M565&gt;0, N565/M565, 0)</f>
        <v>0</v>
      </c>
      <c r="P565" s="14">
        <f>M565-N565</f>
        <v>18000</v>
      </c>
      <c r="Q565" s="14">
        <f>L565*M565</f>
        <v>18000</v>
      </c>
      <c r="R565" s="14">
        <f>L565*N565</f>
        <v>0</v>
      </c>
      <c r="S565" s="14">
        <f>L565*P565</f>
        <v>18000</v>
      </c>
      <c r="T565" s="14"/>
      <c r="U565" s="14">
        <f>L565*T565</f>
        <v>0</v>
      </c>
      <c r="V565" s="14">
        <f>S565-U565</f>
        <v>18000</v>
      </c>
      <c r="W565" s="16">
        <f>IF(S565&gt;0, V565/S565, 0)</f>
        <v>1</v>
      </c>
      <c r="X565" s="7" t="s">
        <v>39</v>
      </c>
      <c r="Y565" s="9" t="s">
        <v>40</v>
      </c>
      <c r="Z565" s="9" t="s">
        <v>41</v>
      </c>
      <c r="AA565" s="9" t="s">
        <v>42</v>
      </c>
      <c r="AB565" s="7" t="s">
        <v>42</v>
      </c>
    </row>
    <row r="566" spans="1:28">
      <c r="A566" s="8">
        <v>559</v>
      </c>
      <c r="B566" s="8" t="s">
        <v>847</v>
      </c>
      <c r="C566" s="8" t="s">
        <v>843</v>
      </c>
      <c r="D566" s="8" t="s">
        <v>652</v>
      </c>
      <c r="E566" s="8" t="s">
        <v>68</v>
      </c>
      <c r="F566" s="6" t="s">
        <v>34</v>
      </c>
      <c r="G566" s="6" t="s">
        <v>56</v>
      </c>
      <c r="H566" s="6" t="s">
        <v>56</v>
      </c>
      <c r="I566" s="8">
        <v>146</v>
      </c>
      <c r="J566" s="8" t="s">
        <v>848</v>
      </c>
      <c r="K566" s="8" t="s">
        <v>38</v>
      </c>
      <c r="L566" s="10">
        <v>1</v>
      </c>
      <c r="M566" s="13">
        <v>9000.0</v>
      </c>
      <c r="N566" s="13"/>
      <c r="O566" s="15">
        <f>IF(M566&gt;0, N566/M566, 0)</f>
        <v>0</v>
      </c>
      <c r="P566" s="13">
        <f>M566-N566</f>
        <v>9000</v>
      </c>
      <c r="Q566" s="13">
        <f>L566*M566</f>
        <v>9000</v>
      </c>
      <c r="R566" s="13">
        <f>L566*N566</f>
        <v>0</v>
      </c>
      <c r="S566" s="13">
        <f>L566*P566</f>
        <v>9000</v>
      </c>
      <c r="T566" s="13"/>
      <c r="U566" s="13">
        <f>L566*T566</f>
        <v>0</v>
      </c>
      <c r="V566" s="13">
        <f>S566-U566</f>
        <v>9000</v>
      </c>
      <c r="W566" s="15">
        <f>IF(S566&gt;0, V566/S566, 0)</f>
        <v>1</v>
      </c>
      <c r="X566" s="6" t="s">
        <v>39</v>
      </c>
      <c r="Y566" s="8" t="s">
        <v>40</v>
      </c>
      <c r="Z566" s="8" t="s">
        <v>71</v>
      </c>
      <c r="AA566" s="8" t="s">
        <v>42</v>
      </c>
      <c r="AB566" s="6" t="s">
        <v>42</v>
      </c>
    </row>
    <row r="567" spans="1:28">
      <c r="A567" s="9">
        <v>560</v>
      </c>
      <c r="B567" s="9" t="s">
        <v>849</v>
      </c>
      <c r="C567" s="9" t="s">
        <v>843</v>
      </c>
      <c r="D567" s="9" t="s">
        <v>652</v>
      </c>
      <c r="E567" s="9" t="s">
        <v>68</v>
      </c>
      <c r="F567" s="7" t="s">
        <v>34</v>
      </c>
      <c r="G567" s="7" t="s">
        <v>51</v>
      </c>
      <c r="H567" s="7" t="s">
        <v>51</v>
      </c>
      <c r="I567" s="9">
        <v>146</v>
      </c>
      <c r="J567" s="9" t="s">
        <v>324</v>
      </c>
      <c r="K567" s="9" t="s">
        <v>38</v>
      </c>
      <c r="L567" s="11">
        <v>1</v>
      </c>
      <c r="M567" s="14">
        <v>10000.0</v>
      </c>
      <c r="N567" s="14"/>
      <c r="O567" s="16">
        <f>IF(M567&gt;0, N567/M567, 0)</f>
        <v>0</v>
      </c>
      <c r="P567" s="14">
        <f>M567-N567</f>
        <v>10000</v>
      </c>
      <c r="Q567" s="14">
        <f>L567*M567</f>
        <v>10000</v>
      </c>
      <c r="R567" s="14">
        <f>L567*N567</f>
        <v>0</v>
      </c>
      <c r="S567" s="14">
        <f>L567*P567</f>
        <v>10000</v>
      </c>
      <c r="T567" s="14"/>
      <c r="U567" s="14">
        <f>L567*T567</f>
        <v>0</v>
      </c>
      <c r="V567" s="14">
        <f>S567-U567</f>
        <v>10000</v>
      </c>
      <c r="W567" s="16">
        <f>IF(S567&gt;0, V567/S567, 0)</f>
        <v>1</v>
      </c>
      <c r="X567" s="7" t="s">
        <v>39</v>
      </c>
      <c r="Y567" s="9" t="s">
        <v>40</v>
      </c>
      <c r="Z567" s="9" t="s">
        <v>71</v>
      </c>
      <c r="AA567" s="9" t="s">
        <v>42</v>
      </c>
      <c r="AB567" s="7" t="s">
        <v>42</v>
      </c>
    </row>
    <row r="568" spans="1:28">
      <c r="A568" s="8">
        <v>561</v>
      </c>
      <c r="B568" s="8" t="s">
        <v>850</v>
      </c>
      <c r="C568" s="8" t="s">
        <v>843</v>
      </c>
      <c r="D568" s="8" t="s">
        <v>652</v>
      </c>
      <c r="E568" s="8" t="s">
        <v>33</v>
      </c>
      <c r="F568" s="6" t="s">
        <v>34</v>
      </c>
      <c r="G568" s="6" t="s">
        <v>51</v>
      </c>
      <c r="H568" s="6" t="s">
        <v>51</v>
      </c>
      <c r="I568" s="8">
        <v>164</v>
      </c>
      <c r="J568" s="8" t="s">
        <v>61</v>
      </c>
      <c r="K568" s="8" t="s">
        <v>38</v>
      </c>
      <c r="L568" s="10">
        <v>1</v>
      </c>
      <c r="M568" s="13">
        <v>8500.0</v>
      </c>
      <c r="N568" s="13"/>
      <c r="O568" s="15">
        <f>IF(M568&gt;0, N568/M568, 0)</f>
        <v>0</v>
      </c>
      <c r="P568" s="13">
        <f>M568-N568</f>
        <v>8500</v>
      </c>
      <c r="Q568" s="13">
        <f>L568*M568</f>
        <v>8500</v>
      </c>
      <c r="R568" s="13">
        <f>L568*N568</f>
        <v>0</v>
      </c>
      <c r="S568" s="13">
        <f>L568*P568</f>
        <v>8500</v>
      </c>
      <c r="T568" s="13"/>
      <c r="U568" s="13">
        <f>L568*T568</f>
        <v>0</v>
      </c>
      <c r="V568" s="13">
        <f>S568-U568</f>
        <v>8500</v>
      </c>
      <c r="W568" s="15">
        <f>IF(S568&gt;0, V568/S568, 0)</f>
        <v>1</v>
      </c>
      <c r="X568" s="6" t="s">
        <v>39</v>
      </c>
      <c r="Y568" s="8" t="s">
        <v>40</v>
      </c>
      <c r="Z568" s="8" t="s">
        <v>41</v>
      </c>
      <c r="AA568" s="8" t="s">
        <v>42</v>
      </c>
      <c r="AB568" s="6" t="s">
        <v>42</v>
      </c>
    </row>
    <row r="569" spans="1:28">
      <c r="A569" s="9">
        <v>562</v>
      </c>
      <c r="B569" s="9" t="s">
        <v>851</v>
      </c>
      <c r="C569" s="9" t="s">
        <v>843</v>
      </c>
      <c r="D569" s="9" t="s">
        <v>652</v>
      </c>
      <c r="E569" s="9" t="s">
        <v>33</v>
      </c>
      <c r="F569" s="7" t="s">
        <v>50</v>
      </c>
      <c r="G569" s="7" t="s">
        <v>45</v>
      </c>
      <c r="H569" s="7" t="s">
        <v>46</v>
      </c>
      <c r="I569" s="9">
        <v>128</v>
      </c>
      <c r="J569" s="9" t="s">
        <v>183</v>
      </c>
      <c r="K569" s="9" t="s">
        <v>38</v>
      </c>
      <c r="L569" s="11">
        <v>1</v>
      </c>
      <c r="M569" s="14">
        <v>18000.0</v>
      </c>
      <c r="N569" s="14"/>
      <c r="O569" s="16">
        <f>IF(M569&gt;0, N569/M569, 0)</f>
        <v>0</v>
      </c>
      <c r="P569" s="14">
        <f>M569-N569</f>
        <v>18000</v>
      </c>
      <c r="Q569" s="14">
        <f>L569*M569</f>
        <v>18000</v>
      </c>
      <c r="R569" s="14">
        <f>L569*N569</f>
        <v>0</v>
      </c>
      <c r="S569" s="14">
        <f>L569*P569</f>
        <v>18000</v>
      </c>
      <c r="T569" s="14"/>
      <c r="U569" s="14">
        <f>L569*T569</f>
        <v>0</v>
      </c>
      <c r="V569" s="14">
        <f>S569-U569</f>
        <v>18000</v>
      </c>
      <c r="W569" s="16">
        <f>IF(S569&gt;0, V569/S569, 0)</f>
        <v>1</v>
      </c>
      <c r="X569" s="7" t="s">
        <v>39</v>
      </c>
      <c r="Y569" s="9" t="s">
        <v>40</v>
      </c>
      <c r="Z569" s="9" t="s">
        <v>41</v>
      </c>
      <c r="AA569" s="9" t="s">
        <v>42</v>
      </c>
      <c r="AB569" s="7" t="s">
        <v>42</v>
      </c>
    </row>
    <row r="570" spans="1:28">
      <c r="A570" s="8">
        <v>563</v>
      </c>
      <c r="B570" s="8" t="s">
        <v>852</v>
      </c>
      <c r="C570" s="8" t="s">
        <v>843</v>
      </c>
      <c r="D570" s="8" t="s">
        <v>652</v>
      </c>
      <c r="E570" s="8" t="s">
        <v>33</v>
      </c>
      <c r="F570" s="6" t="s">
        <v>50</v>
      </c>
      <c r="G570" s="6" t="s">
        <v>45</v>
      </c>
      <c r="H570" s="6" t="s">
        <v>46</v>
      </c>
      <c r="I570" s="8">
        <v>116</v>
      </c>
      <c r="J570" s="8" t="s">
        <v>594</v>
      </c>
      <c r="K570" s="8" t="s">
        <v>38</v>
      </c>
      <c r="L570" s="10">
        <v>1</v>
      </c>
      <c r="M570" s="13">
        <v>18000.0</v>
      </c>
      <c r="N570" s="13"/>
      <c r="O570" s="15">
        <f>IF(M570&gt;0, N570/M570, 0)</f>
        <v>0</v>
      </c>
      <c r="P570" s="13">
        <f>M570-N570</f>
        <v>18000</v>
      </c>
      <c r="Q570" s="13">
        <f>L570*M570</f>
        <v>18000</v>
      </c>
      <c r="R570" s="13">
        <f>L570*N570</f>
        <v>0</v>
      </c>
      <c r="S570" s="13">
        <f>L570*P570</f>
        <v>18000</v>
      </c>
      <c r="T570" s="13"/>
      <c r="U570" s="13">
        <f>L570*T570</f>
        <v>0</v>
      </c>
      <c r="V570" s="13">
        <f>S570-U570</f>
        <v>18000</v>
      </c>
      <c r="W570" s="15">
        <f>IF(S570&gt;0, V570/S570, 0)</f>
        <v>1</v>
      </c>
      <c r="X570" s="6" t="s">
        <v>39</v>
      </c>
      <c r="Y570" s="8" t="s">
        <v>40</v>
      </c>
      <c r="Z570" s="8" t="s">
        <v>41</v>
      </c>
      <c r="AA570" s="8" t="s">
        <v>42</v>
      </c>
      <c r="AB570" s="6" t="s">
        <v>42</v>
      </c>
    </row>
    <row r="571" spans="1:28">
      <c r="A571" s="9">
        <v>564</v>
      </c>
      <c r="B571" s="9" t="s">
        <v>853</v>
      </c>
      <c r="C571" s="9" t="s">
        <v>843</v>
      </c>
      <c r="D571" s="9" t="s">
        <v>652</v>
      </c>
      <c r="E571" s="9" t="s">
        <v>33</v>
      </c>
      <c r="F571" s="7" t="s">
        <v>50</v>
      </c>
      <c r="G571" s="7" t="s">
        <v>35</v>
      </c>
      <c r="H571" s="7" t="s">
        <v>36</v>
      </c>
      <c r="I571" s="9">
        <v>122</v>
      </c>
      <c r="J571" s="9" t="s">
        <v>105</v>
      </c>
      <c r="K571" s="9" t="s">
        <v>53</v>
      </c>
      <c r="L571" s="11">
        <v>1</v>
      </c>
      <c r="M571" s="14">
        <v>7000.0</v>
      </c>
      <c r="N571" s="14"/>
      <c r="O571" s="16">
        <f>IF(M571&gt;0, N571/M571, 0)</f>
        <v>0</v>
      </c>
      <c r="P571" s="14">
        <f>M571-N571</f>
        <v>7000</v>
      </c>
      <c r="Q571" s="14">
        <f>L571*M571</f>
        <v>7000</v>
      </c>
      <c r="R571" s="14">
        <f>L571*N571</f>
        <v>0</v>
      </c>
      <c r="S571" s="14">
        <f>L571*P571</f>
        <v>7000</v>
      </c>
      <c r="T571" s="14"/>
      <c r="U571" s="14">
        <f>L571*T571</f>
        <v>0</v>
      </c>
      <c r="V571" s="14">
        <f>S571-U571</f>
        <v>7000</v>
      </c>
      <c r="W571" s="16">
        <f>IF(S571&gt;0, V571/S571, 0)</f>
        <v>1</v>
      </c>
      <c r="X571" s="7" t="s">
        <v>39</v>
      </c>
      <c r="Y571" s="9" t="s">
        <v>40</v>
      </c>
      <c r="Z571" s="9" t="s">
        <v>41</v>
      </c>
      <c r="AA571" s="9" t="s">
        <v>42</v>
      </c>
      <c r="AB571" s="7" t="s">
        <v>42</v>
      </c>
    </row>
    <row r="572" spans="1:28">
      <c r="A572" s="8">
        <v>565</v>
      </c>
      <c r="B572" s="8" t="s">
        <v>854</v>
      </c>
      <c r="C572" s="8" t="s">
        <v>843</v>
      </c>
      <c r="D572" s="8" t="s">
        <v>652</v>
      </c>
      <c r="E572" s="8" t="s">
        <v>68</v>
      </c>
      <c r="F572" s="6" t="s">
        <v>34</v>
      </c>
      <c r="G572" s="6" t="s">
        <v>63</v>
      </c>
      <c r="H572" s="6" t="s">
        <v>148</v>
      </c>
      <c r="I572" s="8">
        <v>170</v>
      </c>
      <c r="J572" s="8" t="s">
        <v>149</v>
      </c>
      <c r="K572" s="8" t="s">
        <v>38</v>
      </c>
      <c r="L572" s="10">
        <v>1</v>
      </c>
      <c r="M572" s="13">
        <v>11000.0</v>
      </c>
      <c r="N572" s="13"/>
      <c r="O572" s="15">
        <f>IF(M572&gt;0, N572/M572, 0)</f>
        <v>0</v>
      </c>
      <c r="P572" s="13">
        <f>M572-N572</f>
        <v>11000</v>
      </c>
      <c r="Q572" s="13">
        <f>L572*M572</f>
        <v>11000</v>
      </c>
      <c r="R572" s="13">
        <f>L572*N572</f>
        <v>0</v>
      </c>
      <c r="S572" s="13">
        <f>L572*P572</f>
        <v>11000</v>
      </c>
      <c r="T572" s="13"/>
      <c r="U572" s="13">
        <f>L572*T572</f>
        <v>0</v>
      </c>
      <c r="V572" s="13">
        <f>S572-U572</f>
        <v>11000</v>
      </c>
      <c r="W572" s="15">
        <f>IF(S572&gt;0, V572/S572, 0)</f>
        <v>1</v>
      </c>
      <c r="X572" s="6" t="s">
        <v>39</v>
      </c>
      <c r="Y572" s="8" t="s">
        <v>40</v>
      </c>
      <c r="Z572" s="8" t="s">
        <v>71</v>
      </c>
      <c r="AA572" s="8" t="s">
        <v>42</v>
      </c>
      <c r="AB572" s="6" t="s">
        <v>42</v>
      </c>
    </row>
    <row r="573" spans="1:28">
      <c r="A573" s="9">
        <v>566</v>
      </c>
      <c r="B573" s="9" t="s">
        <v>855</v>
      </c>
      <c r="C573" s="9" t="s">
        <v>843</v>
      </c>
      <c r="D573" s="9" t="s">
        <v>652</v>
      </c>
      <c r="E573" s="9" t="s">
        <v>33</v>
      </c>
      <c r="F573" s="7" t="s">
        <v>50</v>
      </c>
      <c r="G573" s="7" t="s">
        <v>35</v>
      </c>
      <c r="H573" s="7" t="s">
        <v>36</v>
      </c>
      <c r="I573" s="9">
        <v>122</v>
      </c>
      <c r="J573" s="9" t="s">
        <v>105</v>
      </c>
      <c r="K573" s="9" t="s">
        <v>53</v>
      </c>
      <c r="L573" s="11">
        <v>1</v>
      </c>
      <c r="M573" s="14">
        <v>7000.0</v>
      </c>
      <c r="N573" s="14"/>
      <c r="O573" s="16">
        <f>IF(M573&gt;0, N573/M573, 0)</f>
        <v>0</v>
      </c>
      <c r="P573" s="14">
        <f>M573-N573</f>
        <v>7000</v>
      </c>
      <c r="Q573" s="14">
        <f>L573*M573</f>
        <v>7000</v>
      </c>
      <c r="R573" s="14">
        <f>L573*N573</f>
        <v>0</v>
      </c>
      <c r="S573" s="14">
        <f>L573*P573</f>
        <v>7000</v>
      </c>
      <c r="T573" s="14"/>
      <c r="U573" s="14">
        <f>L573*T573</f>
        <v>0</v>
      </c>
      <c r="V573" s="14">
        <f>S573-U573</f>
        <v>7000</v>
      </c>
      <c r="W573" s="16">
        <f>IF(S573&gt;0, V573/S573, 0)</f>
        <v>1</v>
      </c>
      <c r="X573" s="7" t="s">
        <v>39</v>
      </c>
      <c r="Y573" s="9" t="s">
        <v>40</v>
      </c>
      <c r="Z573" s="9" t="s">
        <v>41</v>
      </c>
      <c r="AA573" s="9" t="s">
        <v>42</v>
      </c>
      <c r="AB573" s="7" t="s">
        <v>42</v>
      </c>
    </row>
    <row r="574" spans="1:28">
      <c r="A574" s="8">
        <v>567</v>
      </c>
      <c r="B574" s="8" t="s">
        <v>856</v>
      </c>
      <c r="C574" s="8" t="s">
        <v>843</v>
      </c>
      <c r="D574" s="8" t="s">
        <v>652</v>
      </c>
      <c r="E574" s="8" t="s">
        <v>33</v>
      </c>
      <c r="F574" s="6" t="s">
        <v>50</v>
      </c>
      <c r="G574" s="6" t="s">
        <v>35</v>
      </c>
      <c r="H574" s="6" t="s">
        <v>73</v>
      </c>
      <c r="I574" s="8">
        <v>122</v>
      </c>
      <c r="J574" s="8" t="s">
        <v>102</v>
      </c>
      <c r="K574" s="8" t="s">
        <v>53</v>
      </c>
      <c r="L574" s="10">
        <v>1</v>
      </c>
      <c r="M574" s="13">
        <v>8000.0</v>
      </c>
      <c r="N574" s="13"/>
      <c r="O574" s="15">
        <f>IF(M574&gt;0, N574/M574, 0)</f>
        <v>0</v>
      </c>
      <c r="P574" s="13">
        <f>M574-N574</f>
        <v>8000</v>
      </c>
      <c r="Q574" s="13">
        <f>L574*M574</f>
        <v>8000</v>
      </c>
      <c r="R574" s="13">
        <f>L574*N574</f>
        <v>0</v>
      </c>
      <c r="S574" s="13">
        <f>L574*P574</f>
        <v>8000</v>
      </c>
      <c r="T574" s="13"/>
      <c r="U574" s="13">
        <f>L574*T574</f>
        <v>0</v>
      </c>
      <c r="V574" s="13">
        <f>S574-U574</f>
        <v>8000</v>
      </c>
      <c r="W574" s="15">
        <f>IF(S574&gt;0, V574/S574, 0)</f>
        <v>1</v>
      </c>
      <c r="X574" s="6" t="s">
        <v>39</v>
      </c>
      <c r="Y574" s="8" t="s">
        <v>40</v>
      </c>
      <c r="Z574" s="8" t="s">
        <v>41</v>
      </c>
      <c r="AA574" s="8" t="s">
        <v>42</v>
      </c>
      <c r="AB574" s="6" t="s">
        <v>42</v>
      </c>
    </row>
    <row r="575" spans="1:28">
      <c r="A575" s="9">
        <v>568</v>
      </c>
      <c r="B575" s="9" t="s">
        <v>857</v>
      </c>
      <c r="C575" s="9" t="s">
        <v>843</v>
      </c>
      <c r="D575" s="9" t="s">
        <v>652</v>
      </c>
      <c r="E575" s="9" t="s">
        <v>33</v>
      </c>
      <c r="F575" s="7" t="s">
        <v>50</v>
      </c>
      <c r="G575" s="7" t="s">
        <v>51</v>
      </c>
      <c r="H575" s="7" t="s">
        <v>51</v>
      </c>
      <c r="I575" s="9">
        <v>128</v>
      </c>
      <c r="J575" s="9" t="s">
        <v>390</v>
      </c>
      <c r="K575" s="9" t="s">
        <v>53</v>
      </c>
      <c r="L575" s="11">
        <v>1</v>
      </c>
      <c r="M575" s="14">
        <v>8000.0</v>
      </c>
      <c r="N575" s="14"/>
      <c r="O575" s="16">
        <f>IF(M575&gt;0, N575/M575, 0)</f>
        <v>0</v>
      </c>
      <c r="P575" s="14">
        <f>M575-N575</f>
        <v>8000</v>
      </c>
      <c r="Q575" s="14">
        <f>L575*M575</f>
        <v>8000</v>
      </c>
      <c r="R575" s="14">
        <f>L575*N575</f>
        <v>0</v>
      </c>
      <c r="S575" s="14">
        <f>L575*P575</f>
        <v>8000</v>
      </c>
      <c r="T575" s="14"/>
      <c r="U575" s="14">
        <f>L575*T575</f>
        <v>0</v>
      </c>
      <c r="V575" s="14">
        <f>S575-U575</f>
        <v>8000</v>
      </c>
      <c r="W575" s="16">
        <f>IF(S575&gt;0, V575/S575, 0)</f>
        <v>1</v>
      </c>
      <c r="X575" s="7" t="s">
        <v>39</v>
      </c>
      <c r="Y575" s="9" t="s">
        <v>40</v>
      </c>
      <c r="Z575" s="9" t="s">
        <v>41</v>
      </c>
      <c r="AA575" s="9" t="s">
        <v>42</v>
      </c>
      <c r="AB575" s="7" t="s">
        <v>42</v>
      </c>
    </row>
    <row r="576" spans="1:28">
      <c r="A576" s="8">
        <v>569</v>
      </c>
      <c r="B576" s="8" t="s">
        <v>858</v>
      </c>
      <c r="C576" s="8" t="s">
        <v>843</v>
      </c>
      <c r="D576" s="8" t="s">
        <v>652</v>
      </c>
      <c r="E576" s="8" t="s">
        <v>33</v>
      </c>
      <c r="F576" s="6" t="s">
        <v>50</v>
      </c>
      <c r="G576" s="6" t="s">
        <v>35</v>
      </c>
      <c r="H576" s="6" t="s">
        <v>36</v>
      </c>
      <c r="I576" s="8">
        <v>134</v>
      </c>
      <c r="J576" s="8" t="s">
        <v>177</v>
      </c>
      <c r="K576" s="8" t="s">
        <v>53</v>
      </c>
      <c r="L576" s="10">
        <v>1</v>
      </c>
      <c r="M576" s="13">
        <v>7000.0</v>
      </c>
      <c r="N576" s="13"/>
      <c r="O576" s="15">
        <f>IF(M576&gt;0, N576/M576, 0)</f>
        <v>0</v>
      </c>
      <c r="P576" s="13">
        <f>M576-N576</f>
        <v>7000</v>
      </c>
      <c r="Q576" s="13">
        <f>L576*M576</f>
        <v>7000</v>
      </c>
      <c r="R576" s="13">
        <f>L576*N576</f>
        <v>0</v>
      </c>
      <c r="S576" s="13">
        <f>L576*P576</f>
        <v>7000</v>
      </c>
      <c r="T576" s="13"/>
      <c r="U576" s="13">
        <f>L576*T576</f>
        <v>0</v>
      </c>
      <c r="V576" s="13">
        <f>S576-U576</f>
        <v>7000</v>
      </c>
      <c r="W576" s="15">
        <f>IF(S576&gt;0, V576/S576, 0)</f>
        <v>1</v>
      </c>
      <c r="X576" s="6" t="s">
        <v>39</v>
      </c>
      <c r="Y576" s="8" t="s">
        <v>40</v>
      </c>
      <c r="Z576" s="8" t="s">
        <v>41</v>
      </c>
      <c r="AA576" s="8" t="s">
        <v>42</v>
      </c>
      <c r="AB576" s="6" t="s">
        <v>42</v>
      </c>
    </row>
    <row r="577" spans="1:28">
      <c r="A577" s="9">
        <v>570</v>
      </c>
      <c r="B577" s="9" t="s">
        <v>859</v>
      </c>
      <c r="C577" s="9" t="s">
        <v>843</v>
      </c>
      <c r="D577" s="9" t="s">
        <v>652</v>
      </c>
      <c r="E577" s="9" t="s">
        <v>33</v>
      </c>
      <c r="F577" s="7" t="s">
        <v>50</v>
      </c>
      <c r="G577" s="7" t="s">
        <v>35</v>
      </c>
      <c r="H577" s="7" t="s">
        <v>73</v>
      </c>
      <c r="I577" s="9">
        <v>128</v>
      </c>
      <c r="J577" s="9" t="s">
        <v>185</v>
      </c>
      <c r="K577" s="9" t="s">
        <v>53</v>
      </c>
      <c r="L577" s="11">
        <v>1</v>
      </c>
      <c r="M577" s="14">
        <v>8000.0</v>
      </c>
      <c r="N577" s="14"/>
      <c r="O577" s="16">
        <f>IF(M577&gt;0, N577/M577, 0)</f>
        <v>0</v>
      </c>
      <c r="P577" s="14">
        <f>M577-N577</f>
        <v>8000</v>
      </c>
      <c r="Q577" s="14">
        <f>L577*M577</f>
        <v>8000</v>
      </c>
      <c r="R577" s="14">
        <f>L577*N577</f>
        <v>0</v>
      </c>
      <c r="S577" s="14">
        <f>L577*P577</f>
        <v>8000</v>
      </c>
      <c r="T577" s="14"/>
      <c r="U577" s="14">
        <f>L577*T577</f>
        <v>0</v>
      </c>
      <c r="V577" s="14">
        <f>S577-U577</f>
        <v>8000</v>
      </c>
      <c r="W577" s="16">
        <f>IF(S577&gt;0, V577/S577, 0)</f>
        <v>1</v>
      </c>
      <c r="X577" s="7" t="s">
        <v>39</v>
      </c>
      <c r="Y577" s="9" t="s">
        <v>40</v>
      </c>
      <c r="Z577" s="9" t="s">
        <v>41</v>
      </c>
      <c r="AA577" s="9" t="s">
        <v>42</v>
      </c>
      <c r="AB577" s="7" t="s">
        <v>42</v>
      </c>
    </row>
    <row r="578" spans="1:28">
      <c r="A578" s="8">
        <v>571</v>
      </c>
      <c r="B578" s="8" t="s">
        <v>860</v>
      </c>
      <c r="C578" s="8" t="s">
        <v>843</v>
      </c>
      <c r="D578" s="8" t="s">
        <v>652</v>
      </c>
      <c r="E578" s="8" t="s">
        <v>68</v>
      </c>
      <c r="F578" s="6" t="s">
        <v>50</v>
      </c>
      <c r="G578" s="6" t="s">
        <v>56</v>
      </c>
      <c r="H578" s="6" t="s">
        <v>56</v>
      </c>
      <c r="I578" s="8">
        <v>134</v>
      </c>
      <c r="J578" s="8" t="s">
        <v>281</v>
      </c>
      <c r="K578" s="8" t="s">
        <v>38</v>
      </c>
      <c r="L578" s="10">
        <v>1</v>
      </c>
      <c r="M578" s="13">
        <v>9000.0</v>
      </c>
      <c r="N578" s="13"/>
      <c r="O578" s="15">
        <f>IF(M578&gt;0, N578/M578, 0)</f>
        <v>0</v>
      </c>
      <c r="P578" s="13">
        <f>M578-N578</f>
        <v>9000</v>
      </c>
      <c r="Q578" s="13">
        <f>L578*M578</f>
        <v>9000</v>
      </c>
      <c r="R578" s="13">
        <f>L578*N578</f>
        <v>0</v>
      </c>
      <c r="S578" s="13">
        <f>L578*P578</f>
        <v>9000</v>
      </c>
      <c r="T578" s="13"/>
      <c r="U578" s="13">
        <f>L578*T578</f>
        <v>0</v>
      </c>
      <c r="V578" s="13">
        <f>S578-U578</f>
        <v>9000</v>
      </c>
      <c r="W578" s="15">
        <f>IF(S578&gt;0, V578/S578, 0)</f>
        <v>1</v>
      </c>
      <c r="X578" s="6" t="s">
        <v>39</v>
      </c>
      <c r="Y578" s="8" t="s">
        <v>40</v>
      </c>
      <c r="Z578" s="8" t="s">
        <v>71</v>
      </c>
      <c r="AA578" s="8" t="s">
        <v>42</v>
      </c>
      <c r="AB578" s="6" t="s">
        <v>42</v>
      </c>
    </row>
    <row r="579" spans="1:28">
      <c r="A579" s="9">
        <v>572</v>
      </c>
      <c r="B579" s="9" t="s">
        <v>861</v>
      </c>
      <c r="C579" s="9" t="s">
        <v>843</v>
      </c>
      <c r="D579" s="9" t="s">
        <v>652</v>
      </c>
      <c r="E579" s="9" t="s">
        <v>68</v>
      </c>
      <c r="F579" s="7" t="s">
        <v>50</v>
      </c>
      <c r="G579" s="7" t="s">
        <v>63</v>
      </c>
      <c r="H579" s="7" t="s">
        <v>148</v>
      </c>
      <c r="I579" s="9">
        <v>152</v>
      </c>
      <c r="J579" s="9" t="s">
        <v>251</v>
      </c>
      <c r="K579" s="9" t="s">
        <v>38</v>
      </c>
      <c r="L579" s="11">
        <v>1</v>
      </c>
      <c r="M579" s="14">
        <v>10000.0</v>
      </c>
      <c r="N579" s="14"/>
      <c r="O579" s="16">
        <f>IF(M579&gt;0, N579/M579, 0)</f>
        <v>0</v>
      </c>
      <c r="P579" s="14">
        <f>M579-N579</f>
        <v>10000</v>
      </c>
      <c r="Q579" s="14">
        <f>L579*M579</f>
        <v>10000</v>
      </c>
      <c r="R579" s="14">
        <f>L579*N579</f>
        <v>0</v>
      </c>
      <c r="S579" s="14">
        <f>L579*P579</f>
        <v>10000</v>
      </c>
      <c r="T579" s="14"/>
      <c r="U579" s="14">
        <f>L579*T579</f>
        <v>0</v>
      </c>
      <c r="V579" s="14">
        <f>S579-U579</f>
        <v>10000</v>
      </c>
      <c r="W579" s="16">
        <f>IF(S579&gt;0, V579/S579, 0)</f>
        <v>1</v>
      </c>
      <c r="X579" s="7" t="s">
        <v>39</v>
      </c>
      <c r="Y579" s="9" t="s">
        <v>40</v>
      </c>
      <c r="Z579" s="9" t="s">
        <v>71</v>
      </c>
      <c r="AA579" s="9" t="s">
        <v>42</v>
      </c>
      <c r="AB579" s="7" t="s">
        <v>42</v>
      </c>
    </row>
    <row r="580" spans="1:28">
      <c r="A580" s="8">
        <v>573</v>
      </c>
      <c r="B580" s="8" t="s">
        <v>862</v>
      </c>
      <c r="C580" s="8" t="s">
        <v>843</v>
      </c>
      <c r="D580" s="8" t="s">
        <v>652</v>
      </c>
      <c r="E580" s="8" t="s">
        <v>33</v>
      </c>
      <c r="F580" s="6" t="s">
        <v>50</v>
      </c>
      <c r="G580" s="6" t="s">
        <v>56</v>
      </c>
      <c r="H580" s="6" t="s">
        <v>56</v>
      </c>
      <c r="I580" s="8">
        <v>152</v>
      </c>
      <c r="J580" s="8" t="s">
        <v>311</v>
      </c>
      <c r="K580" s="8" t="s">
        <v>38</v>
      </c>
      <c r="L580" s="10">
        <v>1</v>
      </c>
      <c r="M580" s="13">
        <v>7000.0</v>
      </c>
      <c r="N580" s="13"/>
      <c r="O580" s="15">
        <f>IF(M580&gt;0, N580/M580, 0)</f>
        <v>0</v>
      </c>
      <c r="P580" s="13">
        <f>M580-N580</f>
        <v>7000</v>
      </c>
      <c r="Q580" s="13">
        <f>L580*M580</f>
        <v>7000</v>
      </c>
      <c r="R580" s="13">
        <f>L580*N580</f>
        <v>0</v>
      </c>
      <c r="S580" s="13">
        <f>L580*P580</f>
        <v>7000</v>
      </c>
      <c r="T580" s="13"/>
      <c r="U580" s="13">
        <f>L580*T580</f>
        <v>0</v>
      </c>
      <c r="V580" s="13">
        <f>S580-U580</f>
        <v>7000</v>
      </c>
      <c r="W580" s="15">
        <f>IF(S580&gt;0, V580/S580, 0)</f>
        <v>1</v>
      </c>
      <c r="X580" s="6" t="s">
        <v>39</v>
      </c>
      <c r="Y580" s="8" t="s">
        <v>40</v>
      </c>
      <c r="Z580" s="8" t="s">
        <v>41</v>
      </c>
      <c r="AA580" s="8" t="s">
        <v>42</v>
      </c>
      <c r="AB580" s="6" t="s">
        <v>42</v>
      </c>
    </row>
    <row r="581" spans="1:28">
      <c r="A581" s="9">
        <v>574</v>
      </c>
      <c r="B581" s="9" t="s">
        <v>863</v>
      </c>
      <c r="C581" s="9" t="s">
        <v>843</v>
      </c>
      <c r="D581" s="9" t="s">
        <v>652</v>
      </c>
      <c r="E581" s="9" t="s">
        <v>33</v>
      </c>
      <c r="F581" s="7" t="s">
        <v>50</v>
      </c>
      <c r="G581" s="7" t="s">
        <v>51</v>
      </c>
      <c r="H581" s="7" t="s">
        <v>51</v>
      </c>
      <c r="I581" s="9">
        <v>152</v>
      </c>
      <c r="J581" s="9" t="s">
        <v>402</v>
      </c>
      <c r="K581" s="9" t="s">
        <v>53</v>
      </c>
      <c r="L581" s="11">
        <v>1</v>
      </c>
      <c r="M581" s="14">
        <v>8000.0</v>
      </c>
      <c r="N581" s="14"/>
      <c r="O581" s="16">
        <f>IF(M581&gt;0, N581/M581, 0)</f>
        <v>0</v>
      </c>
      <c r="P581" s="14">
        <f>M581-N581</f>
        <v>8000</v>
      </c>
      <c r="Q581" s="14">
        <f>L581*M581</f>
        <v>8000</v>
      </c>
      <c r="R581" s="14">
        <f>L581*N581</f>
        <v>0</v>
      </c>
      <c r="S581" s="14">
        <f>L581*P581</f>
        <v>8000</v>
      </c>
      <c r="T581" s="14"/>
      <c r="U581" s="14">
        <f>L581*T581</f>
        <v>0</v>
      </c>
      <c r="V581" s="14">
        <f>S581-U581</f>
        <v>8000</v>
      </c>
      <c r="W581" s="16">
        <f>IF(S581&gt;0, V581/S581, 0)</f>
        <v>1</v>
      </c>
      <c r="X581" s="7" t="s">
        <v>39</v>
      </c>
      <c r="Y581" s="9" t="s">
        <v>40</v>
      </c>
      <c r="Z581" s="9" t="s">
        <v>41</v>
      </c>
      <c r="AA581" s="9" t="s">
        <v>42</v>
      </c>
      <c r="AB581" s="7" t="s">
        <v>42</v>
      </c>
    </row>
    <row r="582" spans="1:28">
      <c r="A582" s="8">
        <v>575</v>
      </c>
      <c r="B582" s="8" t="s">
        <v>864</v>
      </c>
      <c r="C582" s="8" t="s">
        <v>843</v>
      </c>
      <c r="D582" s="8" t="s">
        <v>652</v>
      </c>
      <c r="E582" s="8" t="s">
        <v>33</v>
      </c>
      <c r="F582" s="6" t="s">
        <v>50</v>
      </c>
      <c r="G582" s="6" t="s">
        <v>35</v>
      </c>
      <c r="H582" s="6" t="s">
        <v>73</v>
      </c>
      <c r="I582" s="8">
        <v>152</v>
      </c>
      <c r="J582" s="8" t="s">
        <v>605</v>
      </c>
      <c r="K582" s="8" t="s">
        <v>53</v>
      </c>
      <c r="L582" s="10">
        <v>1</v>
      </c>
      <c r="M582" s="13">
        <v>8000.0</v>
      </c>
      <c r="N582" s="13"/>
      <c r="O582" s="15">
        <f>IF(M582&gt;0, N582/M582, 0)</f>
        <v>0</v>
      </c>
      <c r="P582" s="13">
        <f>M582-N582</f>
        <v>8000</v>
      </c>
      <c r="Q582" s="13">
        <f>L582*M582</f>
        <v>8000</v>
      </c>
      <c r="R582" s="13">
        <f>L582*N582</f>
        <v>0</v>
      </c>
      <c r="S582" s="13">
        <f>L582*P582</f>
        <v>8000</v>
      </c>
      <c r="T582" s="13"/>
      <c r="U582" s="13">
        <f>L582*T582</f>
        <v>0</v>
      </c>
      <c r="V582" s="13">
        <f>S582-U582</f>
        <v>8000</v>
      </c>
      <c r="W582" s="15">
        <f>IF(S582&gt;0, V582/S582, 0)</f>
        <v>1</v>
      </c>
      <c r="X582" s="6" t="s">
        <v>39</v>
      </c>
      <c r="Y582" s="8" t="s">
        <v>40</v>
      </c>
      <c r="Z582" s="8" t="s">
        <v>41</v>
      </c>
      <c r="AA582" s="8" t="s">
        <v>42</v>
      </c>
      <c r="AB582" s="6" t="s">
        <v>42</v>
      </c>
    </row>
    <row r="583" spans="1:28">
      <c r="A583" s="9">
        <v>576</v>
      </c>
      <c r="B583" s="9" t="s">
        <v>865</v>
      </c>
      <c r="C583" s="9" t="s">
        <v>843</v>
      </c>
      <c r="D583" s="9" t="s">
        <v>652</v>
      </c>
      <c r="E583" s="9" t="s">
        <v>33</v>
      </c>
      <c r="F583" s="7" t="s">
        <v>50</v>
      </c>
      <c r="G583" s="7" t="s">
        <v>35</v>
      </c>
      <c r="H583" s="7" t="s">
        <v>36</v>
      </c>
      <c r="I583" s="9">
        <v>152</v>
      </c>
      <c r="J583" s="9" t="s">
        <v>151</v>
      </c>
      <c r="K583" s="9" t="s">
        <v>53</v>
      </c>
      <c r="L583" s="11">
        <v>1</v>
      </c>
      <c r="M583" s="14">
        <v>7000.0</v>
      </c>
      <c r="N583" s="14"/>
      <c r="O583" s="16">
        <f>IF(M583&gt;0, N583/M583, 0)</f>
        <v>0</v>
      </c>
      <c r="P583" s="14">
        <f>M583-N583</f>
        <v>7000</v>
      </c>
      <c r="Q583" s="14">
        <f>L583*M583</f>
        <v>7000</v>
      </c>
      <c r="R583" s="14">
        <f>L583*N583</f>
        <v>0</v>
      </c>
      <c r="S583" s="14">
        <f>L583*P583</f>
        <v>7000</v>
      </c>
      <c r="T583" s="14"/>
      <c r="U583" s="14">
        <f>L583*T583</f>
        <v>0</v>
      </c>
      <c r="V583" s="14">
        <f>S583-U583</f>
        <v>7000</v>
      </c>
      <c r="W583" s="16">
        <f>IF(S583&gt;0, V583/S583, 0)</f>
        <v>1</v>
      </c>
      <c r="X583" s="7" t="s">
        <v>39</v>
      </c>
      <c r="Y583" s="9" t="s">
        <v>40</v>
      </c>
      <c r="Z583" s="9" t="s">
        <v>41</v>
      </c>
      <c r="AA583" s="9" t="s">
        <v>42</v>
      </c>
      <c r="AB583" s="7" t="s">
        <v>42</v>
      </c>
    </row>
    <row r="584" spans="1:28">
      <c r="A584" s="8">
        <v>577</v>
      </c>
      <c r="B584" s="8" t="s">
        <v>866</v>
      </c>
      <c r="C584" s="8" t="s">
        <v>843</v>
      </c>
      <c r="D584" s="8" t="s">
        <v>652</v>
      </c>
      <c r="E584" s="8" t="s">
        <v>33</v>
      </c>
      <c r="F584" s="6" t="s">
        <v>50</v>
      </c>
      <c r="G584" s="6" t="s">
        <v>69</v>
      </c>
      <c r="H584" s="6" t="s">
        <v>69</v>
      </c>
      <c r="I584" s="8">
        <v>152</v>
      </c>
      <c r="J584" s="8" t="s">
        <v>350</v>
      </c>
      <c r="K584" s="8" t="s">
        <v>38</v>
      </c>
      <c r="L584" s="10">
        <v>1</v>
      </c>
      <c r="M584" s="13">
        <v>16000.0</v>
      </c>
      <c r="N584" s="13"/>
      <c r="O584" s="15">
        <f>IF(M584&gt;0, N584/M584, 0)</f>
        <v>0</v>
      </c>
      <c r="P584" s="13">
        <f>M584-N584</f>
        <v>16000</v>
      </c>
      <c r="Q584" s="13">
        <f>L584*M584</f>
        <v>16000</v>
      </c>
      <c r="R584" s="13">
        <f>L584*N584</f>
        <v>0</v>
      </c>
      <c r="S584" s="13">
        <f>L584*P584</f>
        <v>16000</v>
      </c>
      <c r="T584" s="13"/>
      <c r="U584" s="13">
        <f>L584*T584</f>
        <v>0</v>
      </c>
      <c r="V584" s="13">
        <f>S584-U584</f>
        <v>16000</v>
      </c>
      <c r="W584" s="15">
        <f>IF(S584&gt;0, V584/S584, 0)</f>
        <v>1</v>
      </c>
      <c r="X584" s="6" t="s">
        <v>39</v>
      </c>
      <c r="Y584" s="8" t="s">
        <v>40</v>
      </c>
      <c r="Z584" s="8" t="s">
        <v>41</v>
      </c>
      <c r="AA584" s="8" t="s">
        <v>42</v>
      </c>
      <c r="AB584" s="6" t="s">
        <v>42</v>
      </c>
    </row>
    <row r="585" spans="1:28">
      <c r="A585" s="9">
        <v>578</v>
      </c>
      <c r="B585" s="9" t="s">
        <v>867</v>
      </c>
      <c r="C585" s="9" t="s">
        <v>843</v>
      </c>
      <c r="D585" s="9" t="s">
        <v>652</v>
      </c>
      <c r="E585" s="9" t="s">
        <v>33</v>
      </c>
      <c r="F585" s="7" t="s">
        <v>34</v>
      </c>
      <c r="G585" s="7" t="s">
        <v>56</v>
      </c>
      <c r="H585" s="7" t="s">
        <v>56</v>
      </c>
      <c r="I585" s="9">
        <v>164</v>
      </c>
      <c r="J585" s="9" t="s">
        <v>57</v>
      </c>
      <c r="K585" s="9" t="s">
        <v>38</v>
      </c>
      <c r="L585" s="11">
        <v>1</v>
      </c>
      <c r="M585" s="14">
        <v>7500.0</v>
      </c>
      <c r="N585" s="14"/>
      <c r="O585" s="16">
        <f>IF(M585&gt;0, N585/M585, 0)</f>
        <v>0</v>
      </c>
      <c r="P585" s="14">
        <f>M585-N585</f>
        <v>7500</v>
      </c>
      <c r="Q585" s="14">
        <f>L585*M585</f>
        <v>7500</v>
      </c>
      <c r="R585" s="14">
        <f>L585*N585</f>
        <v>0</v>
      </c>
      <c r="S585" s="14">
        <f>L585*P585</f>
        <v>7500</v>
      </c>
      <c r="T585" s="14"/>
      <c r="U585" s="14">
        <f>L585*T585</f>
        <v>0</v>
      </c>
      <c r="V585" s="14">
        <f>S585-U585</f>
        <v>7500</v>
      </c>
      <c r="W585" s="16">
        <f>IF(S585&gt;0, V585/S585, 0)</f>
        <v>1</v>
      </c>
      <c r="X585" s="7" t="s">
        <v>39</v>
      </c>
      <c r="Y585" s="9" t="s">
        <v>40</v>
      </c>
      <c r="Z585" s="9" t="s">
        <v>41</v>
      </c>
      <c r="AA585" s="9" t="s">
        <v>42</v>
      </c>
      <c r="AB585" s="7" t="s">
        <v>42</v>
      </c>
    </row>
    <row r="586" spans="1:28">
      <c r="A586" s="8">
        <v>579</v>
      </c>
      <c r="B586" s="8" t="s">
        <v>868</v>
      </c>
      <c r="C586" s="8" t="s">
        <v>843</v>
      </c>
      <c r="D586" s="8" t="s">
        <v>652</v>
      </c>
      <c r="E586" s="8" t="s">
        <v>68</v>
      </c>
      <c r="F586" s="6" t="s">
        <v>34</v>
      </c>
      <c r="G586" s="6" t="s">
        <v>63</v>
      </c>
      <c r="H586" s="6" t="s">
        <v>148</v>
      </c>
      <c r="I586" s="8">
        <v>164</v>
      </c>
      <c r="J586" s="8" t="s">
        <v>365</v>
      </c>
      <c r="K586" s="8" t="s">
        <v>38</v>
      </c>
      <c r="L586" s="10">
        <v>1</v>
      </c>
      <c r="M586" s="13">
        <v>11000.0</v>
      </c>
      <c r="N586" s="13"/>
      <c r="O586" s="15">
        <f>IF(M586&gt;0, N586/M586, 0)</f>
        <v>0</v>
      </c>
      <c r="P586" s="13">
        <f>M586-N586</f>
        <v>11000</v>
      </c>
      <c r="Q586" s="13">
        <f>L586*M586</f>
        <v>11000</v>
      </c>
      <c r="R586" s="13">
        <f>L586*N586</f>
        <v>0</v>
      </c>
      <c r="S586" s="13">
        <f>L586*P586</f>
        <v>11000</v>
      </c>
      <c r="T586" s="13"/>
      <c r="U586" s="13">
        <f>L586*T586</f>
        <v>0</v>
      </c>
      <c r="V586" s="13">
        <f>S586-U586</f>
        <v>11000</v>
      </c>
      <c r="W586" s="15">
        <f>IF(S586&gt;0, V586/S586, 0)</f>
        <v>1</v>
      </c>
      <c r="X586" s="6" t="s">
        <v>39</v>
      </c>
      <c r="Y586" s="8" t="s">
        <v>40</v>
      </c>
      <c r="Z586" s="8" t="s">
        <v>71</v>
      </c>
      <c r="AA586" s="8" t="s">
        <v>42</v>
      </c>
      <c r="AB586" s="6" t="s">
        <v>42</v>
      </c>
    </row>
    <row r="587" spans="1:28">
      <c r="A587" s="9">
        <v>580</v>
      </c>
      <c r="B587" s="9" t="s">
        <v>869</v>
      </c>
      <c r="C587" s="9" t="s">
        <v>843</v>
      </c>
      <c r="D587" s="9" t="s">
        <v>652</v>
      </c>
      <c r="E587" s="9" t="s">
        <v>68</v>
      </c>
      <c r="F587" s="7" t="s">
        <v>34</v>
      </c>
      <c r="G587" s="7" t="s">
        <v>35</v>
      </c>
      <c r="H587" s="7" t="s">
        <v>36</v>
      </c>
      <c r="I587" s="9">
        <v>164</v>
      </c>
      <c r="J587" s="9" t="s">
        <v>77</v>
      </c>
      <c r="K587" s="9" t="s">
        <v>38</v>
      </c>
      <c r="L587" s="11">
        <v>1</v>
      </c>
      <c r="M587" s="14">
        <v>10000.0</v>
      </c>
      <c r="N587" s="14"/>
      <c r="O587" s="16">
        <f>IF(M587&gt;0, N587/M587, 0)</f>
        <v>0</v>
      </c>
      <c r="P587" s="14">
        <f>M587-N587</f>
        <v>10000</v>
      </c>
      <c r="Q587" s="14">
        <f>L587*M587</f>
        <v>10000</v>
      </c>
      <c r="R587" s="14">
        <f>L587*N587</f>
        <v>0</v>
      </c>
      <c r="S587" s="14">
        <f>L587*P587</f>
        <v>10000</v>
      </c>
      <c r="T587" s="14"/>
      <c r="U587" s="14">
        <f>L587*T587</f>
        <v>0</v>
      </c>
      <c r="V587" s="14">
        <f>S587-U587</f>
        <v>10000</v>
      </c>
      <c r="W587" s="16">
        <f>IF(S587&gt;0, V587/S587, 0)</f>
        <v>1</v>
      </c>
      <c r="X587" s="7" t="s">
        <v>39</v>
      </c>
      <c r="Y587" s="9" t="s">
        <v>40</v>
      </c>
      <c r="Z587" s="9" t="s">
        <v>71</v>
      </c>
      <c r="AA587" s="9" t="s">
        <v>42</v>
      </c>
      <c r="AB587" s="7" t="s">
        <v>42</v>
      </c>
    </row>
    <row r="588" spans="1:28">
      <c r="A588" s="8">
        <v>581</v>
      </c>
      <c r="B588" s="8" t="s">
        <v>870</v>
      </c>
      <c r="C588" s="8" t="s">
        <v>843</v>
      </c>
      <c r="D588" s="8" t="s">
        <v>652</v>
      </c>
      <c r="E588" s="8" t="s">
        <v>33</v>
      </c>
      <c r="F588" s="6" t="s">
        <v>50</v>
      </c>
      <c r="G588" s="6" t="s">
        <v>51</v>
      </c>
      <c r="H588" s="6" t="s">
        <v>51</v>
      </c>
      <c r="I588" s="8">
        <v>146</v>
      </c>
      <c r="J588" s="8" t="s">
        <v>254</v>
      </c>
      <c r="K588" s="8" t="s">
        <v>53</v>
      </c>
      <c r="L588" s="10">
        <v>1</v>
      </c>
      <c r="M588" s="13">
        <v>8000.0</v>
      </c>
      <c r="N588" s="13"/>
      <c r="O588" s="15">
        <f>IF(M588&gt;0, N588/M588, 0)</f>
        <v>0</v>
      </c>
      <c r="P588" s="13">
        <f>M588-N588</f>
        <v>8000</v>
      </c>
      <c r="Q588" s="13">
        <f>L588*M588</f>
        <v>8000</v>
      </c>
      <c r="R588" s="13">
        <f>L588*N588</f>
        <v>0</v>
      </c>
      <c r="S588" s="13">
        <f>L588*P588</f>
        <v>8000</v>
      </c>
      <c r="T588" s="13"/>
      <c r="U588" s="13">
        <f>L588*T588</f>
        <v>0</v>
      </c>
      <c r="V588" s="13">
        <f>S588-U588</f>
        <v>8000</v>
      </c>
      <c r="W588" s="15">
        <f>IF(S588&gt;0, V588/S588, 0)</f>
        <v>1</v>
      </c>
      <c r="X588" s="6" t="s">
        <v>39</v>
      </c>
      <c r="Y588" s="8" t="s">
        <v>40</v>
      </c>
      <c r="Z588" s="8" t="s">
        <v>41</v>
      </c>
      <c r="AA588" s="8" t="s">
        <v>42</v>
      </c>
      <c r="AB588" s="6" t="s">
        <v>42</v>
      </c>
    </row>
    <row r="589" spans="1:28">
      <c r="A589" s="9">
        <v>582</v>
      </c>
      <c r="B589" s="9" t="s">
        <v>871</v>
      </c>
      <c r="C589" s="9" t="s">
        <v>843</v>
      </c>
      <c r="D589" s="9" t="s">
        <v>652</v>
      </c>
      <c r="E589" s="9" t="s">
        <v>33</v>
      </c>
      <c r="F589" s="7" t="s">
        <v>34</v>
      </c>
      <c r="G589" s="7" t="s">
        <v>51</v>
      </c>
      <c r="H589" s="7" t="s">
        <v>51</v>
      </c>
      <c r="I589" s="9">
        <v>164</v>
      </c>
      <c r="J589" s="9" t="s">
        <v>61</v>
      </c>
      <c r="K589" s="9" t="s">
        <v>38</v>
      </c>
      <c r="L589" s="11">
        <v>1</v>
      </c>
      <c r="M589" s="14">
        <v>8500.0</v>
      </c>
      <c r="N589" s="14"/>
      <c r="O589" s="16">
        <f>IF(M589&gt;0, N589/M589, 0)</f>
        <v>0</v>
      </c>
      <c r="P589" s="14">
        <f>M589-N589</f>
        <v>8500</v>
      </c>
      <c r="Q589" s="14">
        <f>L589*M589</f>
        <v>8500</v>
      </c>
      <c r="R589" s="14">
        <f>L589*N589</f>
        <v>0</v>
      </c>
      <c r="S589" s="14">
        <f>L589*P589</f>
        <v>8500</v>
      </c>
      <c r="T589" s="14"/>
      <c r="U589" s="14">
        <f>L589*T589</f>
        <v>0</v>
      </c>
      <c r="V589" s="14">
        <f>S589-U589</f>
        <v>8500</v>
      </c>
      <c r="W589" s="16">
        <f>IF(S589&gt;0, V589/S589, 0)</f>
        <v>1</v>
      </c>
      <c r="X589" s="7" t="s">
        <v>39</v>
      </c>
      <c r="Y589" s="9" t="s">
        <v>40</v>
      </c>
      <c r="Z589" s="9" t="s">
        <v>41</v>
      </c>
      <c r="AA589" s="9" t="s">
        <v>42</v>
      </c>
      <c r="AB589" s="7" t="s">
        <v>42</v>
      </c>
    </row>
    <row r="590" spans="1:28">
      <c r="A590" s="8">
        <v>583</v>
      </c>
      <c r="B590" s="8" t="s">
        <v>872</v>
      </c>
      <c r="C590" s="8" t="s">
        <v>843</v>
      </c>
      <c r="D590" s="8" t="s">
        <v>652</v>
      </c>
      <c r="E590" s="8" t="s">
        <v>33</v>
      </c>
      <c r="F590" s="6" t="s">
        <v>34</v>
      </c>
      <c r="G590" s="6" t="s">
        <v>56</v>
      </c>
      <c r="H590" s="6" t="s">
        <v>56</v>
      </c>
      <c r="I590" s="8">
        <v>164</v>
      </c>
      <c r="J590" s="8" t="s">
        <v>57</v>
      </c>
      <c r="K590" s="8" t="s">
        <v>38</v>
      </c>
      <c r="L590" s="10">
        <v>1</v>
      </c>
      <c r="M590" s="13">
        <v>7500.0</v>
      </c>
      <c r="N590" s="13"/>
      <c r="O590" s="15">
        <f>IF(M590&gt;0, N590/M590, 0)</f>
        <v>0</v>
      </c>
      <c r="P590" s="13">
        <f>M590-N590</f>
        <v>7500</v>
      </c>
      <c r="Q590" s="13">
        <f>L590*M590</f>
        <v>7500</v>
      </c>
      <c r="R590" s="13">
        <f>L590*N590</f>
        <v>0</v>
      </c>
      <c r="S590" s="13">
        <f>L590*P590</f>
        <v>7500</v>
      </c>
      <c r="T590" s="13"/>
      <c r="U590" s="13">
        <f>L590*T590</f>
        <v>0</v>
      </c>
      <c r="V590" s="13">
        <f>S590-U590</f>
        <v>7500</v>
      </c>
      <c r="W590" s="15">
        <f>IF(S590&gt;0, V590/S590, 0)</f>
        <v>1</v>
      </c>
      <c r="X590" s="6" t="s">
        <v>39</v>
      </c>
      <c r="Y590" s="8" t="s">
        <v>40</v>
      </c>
      <c r="Z590" s="8" t="s">
        <v>41</v>
      </c>
      <c r="AA590" s="8" t="s">
        <v>42</v>
      </c>
      <c r="AB590" s="6" t="s">
        <v>42</v>
      </c>
    </row>
    <row r="591" spans="1:28">
      <c r="A591" s="9">
        <v>584</v>
      </c>
      <c r="B591" s="9" t="s">
        <v>873</v>
      </c>
      <c r="C591" s="9" t="s">
        <v>843</v>
      </c>
      <c r="D591" s="9" t="s">
        <v>652</v>
      </c>
      <c r="E591" s="9" t="s">
        <v>33</v>
      </c>
      <c r="F591" s="7" t="s">
        <v>50</v>
      </c>
      <c r="G591" s="7" t="s">
        <v>35</v>
      </c>
      <c r="H591" s="7" t="s">
        <v>36</v>
      </c>
      <c r="I591" s="9">
        <v>140</v>
      </c>
      <c r="J591" s="9" t="s">
        <v>223</v>
      </c>
      <c r="K591" s="9" t="s">
        <v>53</v>
      </c>
      <c r="L591" s="11">
        <v>1</v>
      </c>
      <c r="M591" s="14">
        <v>7000.0</v>
      </c>
      <c r="N591" s="14"/>
      <c r="O591" s="16">
        <f>IF(M591&gt;0, N591/M591, 0)</f>
        <v>0</v>
      </c>
      <c r="P591" s="14">
        <f>M591-N591</f>
        <v>7000</v>
      </c>
      <c r="Q591" s="14">
        <f>L591*M591</f>
        <v>7000</v>
      </c>
      <c r="R591" s="14">
        <f>L591*N591</f>
        <v>0</v>
      </c>
      <c r="S591" s="14">
        <f>L591*P591</f>
        <v>7000</v>
      </c>
      <c r="T591" s="14"/>
      <c r="U591" s="14">
        <f>L591*T591</f>
        <v>0</v>
      </c>
      <c r="V591" s="14">
        <f>S591-U591</f>
        <v>7000</v>
      </c>
      <c r="W591" s="16">
        <f>IF(S591&gt;0, V591/S591, 0)</f>
        <v>1</v>
      </c>
      <c r="X591" s="7" t="s">
        <v>39</v>
      </c>
      <c r="Y591" s="9" t="s">
        <v>40</v>
      </c>
      <c r="Z591" s="9" t="s">
        <v>41</v>
      </c>
      <c r="AA591" s="9" t="s">
        <v>42</v>
      </c>
      <c r="AB591" s="7" t="s">
        <v>42</v>
      </c>
    </row>
    <row r="592" spans="1:28">
      <c r="A592" s="8">
        <v>585</v>
      </c>
      <c r="B592" s="8" t="s">
        <v>874</v>
      </c>
      <c r="C592" s="8" t="s">
        <v>843</v>
      </c>
      <c r="D592" s="8" t="s">
        <v>652</v>
      </c>
      <c r="E592" s="8" t="s">
        <v>33</v>
      </c>
      <c r="F592" s="6" t="s">
        <v>50</v>
      </c>
      <c r="G592" s="6" t="s">
        <v>35</v>
      </c>
      <c r="H592" s="6" t="s">
        <v>73</v>
      </c>
      <c r="I592" s="8">
        <v>140</v>
      </c>
      <c r="J592" s="8" t="s">
        <v>570</v>
      </c>
      <c r="K592" s="8" t="s">
        <v>53</v>
      </c>
      <c r="L592" s="10">
        <v>1</v>
      </c>
      <c r="M592" s="13">
        <v>8000.0</v>
      </c>
      <c r="N592" s="13"/>
      <c r="O592" s="15">
        <f>IF(M592&gt;0, N592/M592, 0)</f>
        <v>0</v>
      </c>
      <c r="P592" s="13">
        <f>M592-N592</f>
        <v>8000</v>
      </c>
      <c r="Q592" s="13">
        <f>L592*M592</f>
        <v>8000</v>
      </c>
      <c r="R592" s="13">
        <f>L592*N592</f>
        <v>0</v>
      </c>
      <c r="S592" s="13">
        <f>L592*P592</f>
        <v>8000</v>
      </c>
      <c r="T592" s="13"/>
      <c r="U592" s="13">
        <f>L592*T592</f>
        <v>0</v>
      </c>
      <c r="V592" s="13">
        <f>S592-U592</f>
        <v>8000</v>
      </c>
      <c r="W592" s="15">
        <f>IF(S592&gt;0, V592/S592, 0)</f>
        <v>1</v>
      </c>
      <c r="X592" s="6" t="s">
        <v>39</v>
      </c>
      <c r="Y592" s="8" t="s">
        <v>40</v>
      </c>
      <c r="Z592" s="8" t="s">
        <v>41</v>
      </c>
      <c r="AA592" s="8" t="s">
        <v>42</v>
      </c>
      <c r="AB592" s="6" t="s">
        <v>42</v>
      </c>
    </row>
    <row r="593" spans="1:28">
      <c r="A593" s="9">
        <v>586</v>
      </c>
      <c r="B593" s="9" t="s">
        <v>875</v>
      </c>
      <c r="C593" s="9" t="s">
        <v>843</v>
      </c>
      <c r="D593" s="9" t="s">
        <v>652</v>
      </c>
      <c r="E593" s="9" t="s">
        <v>33</v>
      </c>
      <c r="F593" s="7" t="s">
        <v>50</v>
      </c>
      <c r="G593" s="7" t="s">
        <v>35</v>
      </c>
      <c r="H593" s="7" t="s">
        <v>73</v>
      </c>
      <c r="I593" s="9">
        <v>134</v>
      </c>
      <c r="J593" s="9" t="s">
        <v>146</v>
      </c>
      <c r="K593" s="9" t="s">
        <v>53</v>
      </c>
      <c r="L593" s="11">
        <v>1</v>
      </c>
      <c r="M593" s="14">
        <v>8000.0</v>
      </c>
      <c r="N593" s="14"/>
      <c r="O593" s="16">
        <f>IF(M593&gt;0, N593/M593, 0)</f>
        <v>0</v>
      </c>
      <c r="P593" s="14">
        <f>M593-N593</f>
        <v>8000</v>
      </c>
      <c r="Q593" s="14">
        <f>L593*M593</f>
        <v>8000</v>
      </c>
      <c r="R593" s="14">
        <f>L593*N593</f>
        <v>0</v>
      </c>
      <c r="S593" s="14">
        <f>L593*P593</f>
        <v>8000</v>
      </c>
      <c r="T593" s="14"/>
      <c r="U593" s="14">
        <f>L593*T593</f>
        <v>0</v>
      </c>
      <c r="V593" s="14">
        <f>S593-U593</f>
        <v>8000</v>
      </c>
      <c r="W593" s="16">
        <f>IF(S593&gt;0, V593/S593, 0)</f>
        <v>1</v>
      </c>
      <c r="X593" s="7" t="s">
        <v>39</v>
      </c>
      <c r="Y593" s="9" t="s">
        <v>40</v>
      </c>
      <c r="Z593" s="9" t="s">
        <v>41</v>
      </c>
      <c r="AA593" s="9" t="s">
        <v>42</v>
      </c>
      <c r="AB593" s="7" t="s">
        <v>42</v>
      </c>
    </row>
    <row r="594" spans="1:28">
      <c r="A594" s="8">
        <v>587</v>
      </c>
      <c r="B594" s="8" t="s">
        <v>876</v>
      </c>
      <c r="C594" s="8" t="s">
        <v>843</v>
      </c>
      <c r="D594" s="8" t="s">
        <v>652</v>
      </c>
      <c r="E594" s="8" t="s">
        <v>33</v>
      </c>
      <c r="F594" s="6" t="s">
        <v>50</v>
      </c>
      <c r="G594" s="6" t="s">
        <v>51</v>
      </c>
      <c r="H594" s="6" t="s">
        <v>51</v>
      </c>
      <c r="I594" s="8">
        <v>134</v>
      </c>
      <c r="J594" s="8" t="s">
        <v>175</v>
      </c>
      <c r="K594" s="8" t="s">
        <v>53</v>
      </c>
      <c r="L594" s="10">
        <v>1</v>
      </c>
      <c r="M594" s="13">
        <v>8000.0</v>
      </c>
      <c r="N594" s="13"/>
      <c r="O594" s="15">
        <f>IF(M594&gt;0, N594/M594, 0)</f>
        <v>0</v>
      </c>
      <c r="P594" s="13">
        <f>M594-N594</f>
        <v>8000</v>
      </c>
      <c r="Q594" s="13">
        <f>L594*M594</f>
        <v>8000</v>
      </c>
      <c r="R594" s="13">
        <f>L594*N594</f>
        <v>0</v>
      </c>
      <c r="S594" s="13">
        <f>L594*P594</f>
        <v>8000</v>
      </c>
      <c r="T594" s="13"/>
      <c r="U594" s="13">
        <f>L594*T594</f>
        <v>0</v>
      </c>
      <c r="V594" s="13">
        <f>S594-U594</f>
        <v>8000</v>
      </c>
      <c r="W594" s="15">
        <f>IF(S594&gt;0, V594/S594, 0)</f>
        <v>1</v>
      </c>
      <c r="X594" s="6" t="s">
        <v>39</v>
      </c>
      <c r="Y594" s="8" t="s">
        <v>40</v>
      </c>
      <c r="Z594" s="8" t="s">
        <v>41</v>
      </c>
      <c r="AA594" s="8" t="s">
        <v>42</v>
      </c>
      <c r="AB594" s="6" t="s">
        <v>42</v>
      </c>
    </row>
    <row r="595" spans="1:28">
      <c r="A595" s="9">
        <v>588</v>
      </c>
      <c r="B595" s="9" t="s">
        <v>877</v>
      </c>
      <c r="C595" s="9" t="s">
        <v>843</v>
      </c>
      <c r="D595" s="9" t="s">
        <v>652</v>
      </c>
      <c r="E595" s="9" t="s">
        <v>33</v>
      </c>
      <c r="F595" s="7" t="s">
        <v>50</v>
      </c>
      <c r="G595" s="7" t="s">
        <v>69</v>
      </c>
      <c r="H595" s="7" t="s">
        <v>69</v>
      </c>
      <c r="I595" s="9">
        <v>134</v>
      </c>
      <c r="J595" s="9" t="s">
        <v>209</v>
      </c>
      <c r="K595" s="9" t="s">
        <v>38</v>
      </c>
      <c r="L595" s="11">
        <v>1</v>
      </c>
      <c r="M595" s="14">
        <v>16000.0</v>
      </c>
      <c r="N595" s="14"/>
      <c r="O595" s="16">
        <f>IF(M595&gt;0, N595/M595, 0)</f>
        <v>0</v>
      </c>
      <c r="P595" s="14">
        <f>M595-N595</f>
        <v>16000</v>
      </c>
      <c r="Q595" s="14">
        <f>L595*M595</f>
        <v>16000</v>
      </c>
      <c r="R595" s="14">
        <f>L595*N595</f>
        <v>0</v>
      </c>
      <c r="S595" s="14">
        <f>L595*P595</f>
        <v>16000</v>
      </c>
      <c r="T595" s="14"/>
      <c r="U595" s="14">
        <f>L595*T595</f>
        <v>0</v>
      </c>
      <c r="V595" s="14">
        <f>S595-U595</f>
        <v>16000</v>
      </c>
      <c r="W595" s="16">
        <f>IF(S595&gt;0, V595/S595, 0)</f>
        <v>1</v>
      </c>
      <c r="X595" s="7" t="s">
        <v>39</v>
      </c>
      <c r="Y595" s="9" t="s">
        <v>40</v>
      </c>
      <c r="Z595" s="9" t="s">
        <v>41</v>
      </c>
      <c r="AA595" s="9" t="s">
        <v>42</v>
      </c>
      <c r="AB595" s="7" t="s">
        <v>42</v>
      </c>
    </row>
    <row r="596" spans="1:28">
      <c r="A596" s="8">
        <v>589</v>
      </c>
      <c r="B596" s="8" t="s">
        <v>878</v>
      </c>
      <c r="C596" s="8" t="s">
        <v>843</v>
      </c>
      <c r="D596" s="8" t="s">
        <v>652</v>
      </c>
      <c r="E596" s="8" t="s">
        <v>33</v>
      </c>
      <c r="F596" s="6" t="s">
        <v>34</v>
      </c>
      <c r="G596" s="6" t="s">
        <v>51</v>
      </c>
      <c r="H596" s="6" t="s">
        <v>51</v>
      </c>
      <c r="I596" s="8">
        <v>182</v>
      </c>
      <c r="J596" s="8" t="s">
        <v>321</v>
      </c>
      <c r="K596" s="8" t="s">
        <v>38</v>
      </c>
      <c r="L596" s="10">
        <v>1</v>
      </c>
      <c r="M596" s="13">
        <v>8500.0</v>
      </c>
      <c r="N596" s="13"/>
      <c r="O596" s="15">
        <f>IF(M596&gt;0, N596/M596, 0)</f>
        <v>0</v>
      </c>
      <c r="P596" s="13">
        <f>M596-N596</f>
        <v>8500</v>
      </c>
      <c r="Q596" s="13">
        <f>L596*M596</f>
        <v>8500</v>
      </c>
      <c r="R596" s="13">
        <f>L596*N596</f>
        <v>0</v>
      </c>
      <c r="S596" s="13">
        <f>L596*P596</f>
        <v>8500</v>
      </c>
      <c r="T596" s="13"/>
      <c r="U596" s="13">
        <f>L596*T596</f>
        <v>0</v>
      </c>
      <c r="V596" s="13">
        <f>S596-U596</f>
        <v>8500</v>
      </c>
      <c r="W596" s="15">
        <f>IF(S596&gt;0, V596/S596, 0)</f>
        <v>1</v>
      </c>
      <c r="X596" s="6" t="s">
        <v>39</v>
      </c>
      <c r="Y596" s="8" t="s">
        <v>40</v>
      </c>
      <c r="Z596" s="8" t="s">
        <v>41</v>
      </c>
      <c r="AA596" s="8" t="s">
        <v>42</v>
      </c>
      <c r="AB596" s="6" t="s">
        <v>42</v>
      </c>
    </row>
    <row r="597" spans="1:28">
      <c r="A597" s="9">
        <v>590</v>
      </c>
      <c r="B597" s="9" t="s">
        <v>879</v>
      </c>
      <c r="C597" s="9" t="s">
        <v>843</v>
      </c>
      <c r="D597" s="9" t="s">
        <v>652</v>
      </c>
      <c r="E597" s="9" t="s">
        <v>33</v>
      </c>
      <c r="F597" s="7" t="s">
        <v>34</v>
      </c>
      <c r="G597" s="7" t="s">
        <v>35</v>
      </c>
      <c r="H597" s="7" t="s">
        <v>36</v>
      </c>
      <c r="I597" s="9">
        <v>170</v>
      </c>
      <c r="J597" s="9" t="s">
        <v>142</v>
      </c>
      <c r="K597" s="9" t="s">
        <v>38</v>
      </c>
      <c r="L597" s="11">
        <v>1</v>
      </c>
      <c r="M597" s="14">
        <v>8000.0</v>
      </c>
      <c r="N597" s="14"/>
      <c r="O597" s="16">
        <f>IF(M597&gt;0, N597/M597, 0)</f>
        <v>0</v>
      </c>
      <c r="P597" s="14">
        <f>M597-N597</f>
        <v>8000</v>
      </c>
      <c r="Q597" s="14">
        <f>L597*M597</f>
        <v>8000</v>
      </c>
      <c r="R597" s="14">
        <f>L597*N597</f>
        <v>0</v>
      </c>
      <c r="S597" s="14">
        <f>L597*P597</f>
        <v>8000</v>
      </c>
      <c r="T597" s="14"/>
      <c r="U597" s="14">
        <f>L597*T597</f>
        <v>0</v>
      </c>
      <c r="V597" s="14">
        <f>S597-U597</f>
        <v>8000</v>
      </c>
      <c r="W597" s="16">
        <f>IF(S597&gt;0, V597/S597, 0)</f>
        <v>1</v>
      </c>
      <c r="X597" s="7" t="s">
        <v>39</v>
      </c>
      <c r="Y597" s="9" t="s">
        <v>40</v>
      </c>
      <c r="Z597" s="9" t="s">
        <v>41</v>
      </c>
      <c r="AA597" s="9" t="s">
        <v>42</v>
      </c>
      <c r="AB597" s="7" t="s">
        <v>42</v>
      </c>
    </row>
    <row r="598" spans="1:28">
      <c r="A598" s="8">
        <v>591</v>
      </c>
      <c r="B598" s="8" t="s">
        <v>880</v>
      </c>
      <c r="C598" s="8" t="s">
        <v>843</v>
      </c>
      <c r="D598" s="8" t="s">
        <v>652</v>
      </c>
      <c r="E598" s="8" t="s">
        <v>33</v>
      </c>
      <c r="F598" s="6" t="s">
        <v>50</v>
      </c>
      <c r="G598" s="6" t="s">
        <v>69</v>
      </c>
      <c r="H598" s="6" t="s">
        <v>69</v>
      </c>
      <c r="I598" s="8">
        <v>146</v>
      </c>
      <c r="J598" s="8" t="s">
        <v>382</v>
      </c>
      <c r="K598" s="8" t="s">
        <v>38</v>
      </c>
      <c r="L598" s="10">
        <v>1</v>
      </c>
      <c r="M598" s="13">
        <v>16000.0</v>
      </c>
      <c r="N598" s="13"/>
      <c r="O598" s="15">
        <f>IF(M598&gt;0, N598/M598, 0)</f>
        <v>0</v>
      </c>
      <c r="P598" s="13">
        <f>M598-N598</f>
        <v>16000</v>
      </c>
      <c r="Q598" s="13">
        <f>L598*M598</f>
        <v>16000</v>
      </c>
      <c r="R598" s="13">
        <f>L598*N598</f>
        <v>0</v>
      </c>
      <c r="S598" s="13">
        <f>L598*P598</f>
        <v>16000</v>
      </c>
      <c r="T598" s="13"/>
      <c r="U598" s="13">
        <f>L598*T598</f>
        <v>0</v>
      </c>
      <c r="V598" s="13">
        <f>S598-U598</f>
        <v>16000</v>
      </c>
      <c r="W598" s="15">
        <f>IF(S598&gt;0, V598/S598, 0)</f>
        <v>1</v>
      </c>
      <c r="X598" s="6" t="s">
        <v>39</v>
      </c>
      <c r="Y598" s="8" t="s">
        <v>40</v>
      </c>
      <c r="Z598" s="8" t="s">
        <v>41</v>
      </c>
      <c r="AA598" s="8" t="s">
        <v>42</v>
      </c>
      <c r="AB598" s="6" t="s">
        <v>42</v>
      </c>
    </row>
    <row r="599" spans="1:28">
      <c r="A599" s="9">
        <v>592</v>
      </c>
      <c r="B599" s="9" t="s">
        <v>881</v>
      </c>
      <c r="C599" s="9" t="s">
        <v>843</v>
      </c>
      <c r="D599" s="9" t="s">
        <v>652</v>
      </c>
      <c r="E599" s="9" t="s">
        <v>33</v>
      </c>
      <c r="F599" s="7" t="s">
        <v>50</v>
      </c>
      <c r="G599" s="7" t="s">
        <v>35</v>
      </c>
      <c r="H599" s="7" t="s">
        <v>36</v>
      </c>
      <c r="I599" s="9">
        <v>134</v>
      </c>
      <c r="J599" s="9" t="s">
        <v>177</v>
      </c>
      <c r="K599" s="9" t="s">
        <v>53</v>
      </c>
      <c r="L599" s="11">
        <v>2</v>
      </c>
      <c r="M599" s="14">
        <v>7000.0</v>
      </c>
      <c r="N599" s="14"/>
      <c r="O599" s="16">
        <f>IF(M599&gt;0, N599/M599, 0)</f>
        <v>0</v>
      </c>
      <c r="P599" s="14">
        <f>M599-N599</f>
        <v>7000</v>
      </c>
      <c r="Q599" s="14">
        <f>L599*M599</f>
        <v>14000</v>
      </c>
      <c r="R599" s="14">
        <f>L599*N599</f>
        <v>0</v>
      </c>
      <c r="S599" s="14">
        <f>L599*P599</f>
        <v>14000</v>
      </c>
      <c r="T599" s="14"/>
      <c r="U599" s="14">
        <f>L599*T599</f>
        <v>0</v>
      </c>
      <c r="V599" s="14">
        <f>S599-U599</f>
        <v>14000</v>
      </c>
      <c r="W599" s="16">
        <f>IF(S599&gt;0, V599/S599, 0)</f>
        <v>1</v>
      </c>
      <c r="X599" s="7" t="s">
        <v>39</v>
      </c>
      <c r="Y599" s="9" t="s">
        <v>40</v>
      </c>
      <c r="Z599" s="9" t="s">
        <v>41</v>
      </c>
      <c r="AA599" s="9" t="s">
        <v>42</v>
      </c>
      <c r="AB599" s="7" t="s">
        <v>42</v>
      </c>
    </row>
    <row r="600" spans="1:28">
      <c r="A600" s="8">
        <v>593</v>
      </c>
      <c r="B600" s="8" t="s">
        <v>882</v>
      </c>
      <c r="C600" s="8" t="s">
        <v>843</v>
      </c>
      <c r="D600" s="8" t="s">
        <v>652</v>
      </c>
      <c r="E600" s="8" t="s">
        <v>33</v>
      </c>
      <c r="F600" s="6" t="s">
        <v>34</v>
      </c>
      <c r="G600" s="6" t="s">
        <v>56</v>
      </c>
      <c r="H600" s="6" t="s">
        <v>56</v>
      </c>
      <c r="I600" s="8">
        <v>170</v>
      </c>
      <c r="J600" s="8" t="s">
        <v>212</v>
      </c>
      <c r="K600" s="8" t="s">
        <v>38</v>
      </c>
      <c r="L600" s="10">
        <v>1</v>
      </c>
      <c r="M600" s="13">
        <v>7500.0</v>
      </c>
      <c r="N600" s="13"/>
      <c r="O600" s="15">
        <f>IF(M600&gt;0, N600/M600, 0)</f>
        <v>0</v>
      </c>
      <c r="P600" s="13">
        <f>M600-N600</f>
        <v>7500</v>
      </c>
      <c r="Q600" s="13">
        <f>L600*M600</f>
        <v>7500</v>
      </c>
      <c r="R600" s="13">
        <f>L600*N600</f>
        <v>0</v>
      </c>
      <c r="S600" s="13">
        <f>L600*P600</f>
        <v>7500</v>
      </c>
      <c r="T600" s="13"/>
      <c r="U600" s="13">
        <f>L600*T600</f>
        <v>0</v>
      </c>
      <c r="V600" s="13">
        <f>S600-U600</f>
        <v>7500</v>
      </c>
      <c r="W600" s="15">
        <f>IF(S600&gt;0, V600/S600, 0)</f>
        <v>1</v>
      </c>
      <c r="X600" s="6" t="s">
        <v>39</v>
      </c>
      <c r="Y600" s="8" t="s">
        <v>40</v>
      </c>
      <c r="Z600" s="8" t="s">
        <v>41</v>
      </c>
      <c r="AA600" s="8" t="s">
        <v>42</v>
      </c>
      <c r="AB600" s="6" t="s">
        <v>42</v>
      </c>
    </row>
    <row r="601" spans="1:28">
      <c r="A601" s="9">
        <v>594</v>
      </c>
      <c r="B601" s="9" t="s">
        <v>883</v>
      </c>
      <c r="C601" s="9" t="s">
        <v>843</v>
      </c>
      <c r="D601" s="9" t="s">
        <v>652</v>
      </c>
      <c r="E601" s="9" t="s">
        <v>33</v>
      </c>
      <c r="F601" s="7" t="s">
        <v>34</v>
      </c>
      <c r="G601" s="7" t="s">
        <v>35</v>
      </c>
      <c r="H601" s="7" t="s">
        <v>36</v>
      </c>
      <c r="I601" s="9">
        <v>182</v>
      </c>
      <c r="J601" s="9" t="s">
        <v>335</v>
      </c>
      <c r="K601" s="9" t="s">
        <v>38</v>
      </c>
      <c r="L601" s="11">
        <v>1</v>
      </c>
      <c r="M601" s="14">
        <v>8000.0</v>
      </c>
      <c r="N601" s="14"/>
      <c r="O601" s="16">
        <f>IF(M601&gt;0, N601/M601, 0)</f>
        <v>0</v>
      </c>
      <c r="P601" s="14">
        <f>M601-N601</f>
        <v>8000</v>
      </c>
      <c r="Q601" s="14">
        <f>L601*M601</f>
        <v>8000</v>
      </c>
      <c r="R601" s="14">
        <f>L601*N601</f>
        <v>0</v>
      </c>
      <c r="S601" s="14">
        <f>L601*P601</f>
        <v>8000</v>
      </c>
      <c r="T601" s="14"/>
      <c r="U601" s="14">
        <f>L601*T601</f>
        <v>0</v>
      </c>
      <c r="V601" s="14">
        <f>S601-U601</f>
        <v>8000</v>
      </c>
      <c r="W601" s="16">
        <f>IF(S601&gt;0, V601/S601, 0)</f>
        <v>1</v>
      </c>
      <c r="X601" s="7" t="s">
        <v>39</v>
      </c>
      <c r="Y601" s="9" t="s">
        <v>40</v>
      </c>
      <c r="Z601" s="9" t="s">
        <v>41</v>
      </c>
      <c r="AA601" s="9" t="s">
        <v>42</v>
      </c>
      <c r="AB601" s="7" t="s">
        <v>42</v>
      </c>
    </row>
    <row r="602" spans="1:28">
      <c r="A602" s="8">
        <v>595</v>
      </c>
      <c r="B602" s="8" t="s">
        <v>884</v>
      </c>
      <c r="C602" s="8" t="s">
        <v>843</v>
      </c>
      <c r="D602" s="8" t="s">
        <v>652</v>
      </c>
      <c r="E602" s="8" t="s">
        <v>33</v>
      </c>
      <c r="F602" s="6" t="s">
        <v>34</v>
      </c>
      <c r="G602" s="6" t="s">
        <v>35</v>
      </c>
      <c r="H602" s="6" t="s">
        <v>36</v>
      </c>
      <c r="I602" s="8">
        <v>170</v>
      </c>
      <c r="J602" s="8" t="s">
        <v>142</v>
      </c>
      <c r="K602" s="8" t="s">
        <v>38</v>
      </c>
      <c r="L602" s="10">
        <v>1</v>
      </c>
      <c r="M602" s="13">
        <v>8000.0</v>
      </c>
      <c r="N602" s="13"/>
      <c r="O602" s="15">
        <f>IF(M602&gt;0, N602/M602, 0)</f>
        <v>0</v>
      </c>
      <c r="P602" s="13">
        <f>M602-N602</f>
        <v>8000</v>
      </c>
      <c r="Q602" s="13">
        <f>L602*M602</f>
        <v>8000</v>
      </c>
      <c r="R602" s="13">
        <f>L602*N602</f>
        <v>0</v>
      </c>
      <c r="S602" s="13">
        <f>L602*P602</f>
        <v>8000</v>
      </c>
      <c r="T602" s="13"/>
      <c r="U602" s="13">
        <f>L602*T602</f>
        <v>0</v>
      </c>
      <c r="V602" s="13">
        <f>S602-U602</f>
        <v>8000</v>
      </c>
      <c r="W602" s="15">
        <f>IF(S602&gt;0, V602/S602, 0)</f>
        <v>1</v>
      </c>
      <c r="X602" s="6" t="s">
        <v>39</v>
      </c>
      <c r="Y602" s="8" t="s">
        <v>40</v>
      </c>
      <c r="Z602" s="8" t="s">
        <v>41</v>
      </c>
      <c r="AA602" s="8" t="s">
        <v>42</v>
      </c>
      <c r="AB602" s="6" t="s">
        <v>42</v>
      </c>
    </row>
    <row r="603" spans="1:28">
      <c r="A603" s="9">
        <v>596</v>
      </c>
      <c r="B603" s="9" t="s">
        <v>885</v>
      </c>
      <c r="C603" s="9" t="s">
        <v>843</v>
      </c>
      <c r="D603" s="9" t="s">
        <v>652</v>
      </c>
      <c r="E603" s="9" t="s">
        <v>33</v>
      </c>
      <c r="F603" s="7" t="s">
        <v>50</v>
      </c>
      <c r="G603" s="7" t="s">
        <v>45</v>
      </c>
      <c r="H603" s="7" t="s">
        <v>46</v>
      </c>
      <c r="I603" s="9">
        <v>146</v>
      </c>
      <c r="J603" s="9" t="s">
        <v>140</v>
      </c>
      <c r="K603" s="9" t="s">
        <v>38</v>
      </c>
      <c r="L603" s="11">
        <v>1</v>
      </c>
      <c r="M603" s="14">
        <v>18000.0</v>
      </c>
      <c r="N603" s="14"/>
      <c r="O603" s="16">
        <f>IF(M603&gt;0, N603/M603, 0)</f>
        <v>0</v>
      </c>
      <c r="P603" s="14">
        <f>M603-N603</f>
        <v>18000</v>
      </c>
      <c r="Q603" s="14">
        <f>L603*M603</f>
        <v>18000</v>
      </c>
      <c r="R603" s="14">
        <f>L603*N603</f>
        <v>0</v>
      </c>
      <c r="S603" s="14">
        <f>L603*P603</f>
        <v>18000</v>
      </c>
      <c r="T603" s="14"/>
      <c r="U603" s="14">
        <f>L603*T603</f>
        <v>0</v>
      </c>
      <c r="V603" s="14">
        <f>S603-U603</f>
        <v>18000</v>
      </c>
      <c r="W603" s="16">
        <f>IF(S603&gt;0, V603/S603, 0)</f>
        <v>1</v>
      </c>
      <c r="X603" s="7" t="s">
        <v>39</v>
      </c>
      <c r="Y603" s="9" t="s">
        <v>40</v>
      </c>
      <c r="Z603" s="9" t="s">
        <v>41</v>
      </c>
      <c r="AA603" s="9" t="s">
        <v>42</v>
      </c>
      <c r="AB603" s="7" t="s">
        <v>42</v>
      </c>
    </row>
    <row r="604" spans="1:28">
      <c r="A604" s="8">
        <v>597</v>
      </c>
      <c r="B604" s="8" t="s">
        <v>886</v>
      </c>
      <c r="C604" s="8" t="s">
        <v>843</v>
      </c>
      <c r="D604" s="8" t="s">
        <v>652</v>
      </c>
      <c r="E604" s="8" t="s">
        <v>33</v>
      </c>
      <c r="F604" s="6" t="s">
        <v>34</v>
      </c>
      <c r="G604" s="6" t="s">
        <v>35</v>
      </c>
      <c r="H604" s="6" t="s">
        <v>73</v>
      </c>
      <c r="I604" s="8">
        <v>170</v>
      </c>
      <c r="J604" s="8" t="s">
        <v>648</v>
      </c>
      <c r="K604" s="8" t="s">
        <v>38</v>
      </c>
      <c r="L604" s="10">
        <v>1</v>
      </c>
      <c r="M604" s="13">
        <v>9000.0</v>
      </c>
      <c r="N604" s="13"/>
      <c r="O604" s="15">
        <f>IF(M604&gt;0, N604/M604, 0)</f>
        <v>0</v>
      </c>
      <c r="P604" s="13">
        <f>M604-N604</f>
        <v>9000</v>
      </c>
      <c r="Q604" s="13">
        <f>L604*M604</f>
        <v>9000</v>
      </c>
      <c r="R604" s="13">
        <f>L604*N604</f>
        <v>0</v>
      </c>
      <c r="S604" s="13">
        <f>L604*P604</f>
        <v>9000</v>
      </c>
      <c r="T604" s="13"/>
      <c r="U604" s="13">
        <f>L604*T604</f>
        <v>0</v>
      </c>
      <c r="V604" s="13">
        <f>S604-U604</f>
        <v>9000</v>
      </c>
      <c r="W604" s="15">
        <f>IF(S604&gt;0, V604/S604, 0)</f>
        <v>1</v>
      </c>
      <c r="X604" s="6" t="s">
        <v>39</v>
      </c>
      <c r="Y604" s="8" t="s">
        <v>40</v>
      </c>
      <c r="Z604" s="8" t="s">
        <v>41</v>
      </c>
      <c r="AA604" s="8" t="s">
        <v>42</v>
      </c>
      <c r="AB604" s="6" t="s">
        <v>42</v>
      </c>
    </row>
    <row r="605" spans="1:28">
      <c r="A605" s="9">
        <v>598</v>
      </c>
      <c r="B605" s="9" t="s">
        <v>887</v>
      </c>
      <c r="C605" s="9" t="s">
        <v>843</v>
      </c>
      <c r="D605" s="9" t="s">
        <v>652</v>
      </c>
      <c r="E605" s="9" t="s">
        <v>33</v>
      </c>
      <c r="F605" s="7" t="s">
        <v>34</v>
      </c>
      <c r="G605" s="7" t="s">
        <v>35</v>
      </c>
      <c r="H605" s="7" t="s">
        <v>36</v>
      </c>
      <c r="I605" s="9">
        <v>170</v>
      </c>
      <c r="J605" s="9" t="s">
        <v>142</v>
      </c>
      <c r="K605" s="9" t="s">
        <v>38</v>
      </c>
      <c r="L605" s="11">
        <v>2</v>
      </c>
      <c r="M605" s="14">
        <v>8000.0</v>
      </c>
      <c r="N605" s="14"/>
      <c r="O605" s="16">
        <f>IF(M605&gt;0, N605/M605, 0)</f>
        <v>0</v>
      </c>
      <c r="P605" s="14">
        <f>M605-N605</f>
        <v>8000</v>
      </c>
      <c r="Q605" s="14">
        <f>L605*M605</f>
        <v>16000</v>
      </c>
      <c r="R605" s="14">
        <f>L605*N605</f>
        <v>0</v>
      </c>
      <c r="S605" s="14">
        <f>L605*P605</f>
        <v>16000</v>
      </c>
      <c r="T605" s="14"/>
      <c r="U605" s="14">
        <f>L605*T605</f>
        <v>0</v>
      </c>
      <c r="V605" s="14">
        <f>S605-U605</f>
        <v>16000</v>
      </c>
      <c r="W605" s="16">
        <f>IF(S605&gt;0, V605/S605, 0)</f>
        <v>1</v>
      </c>
      <c r="X605" s="7" t="s">
        <v>39</v>
      </c>
      <c r="Y605" s="9" t="s">
        <v>40</v>
      </c>
      <c r="Z605" s="9" t="s">
        <v>41</v>
      </c>
      <c r="AA605" s="9" t="s">
        <v>42</v>
      </c>
      <c r="AB605" s="7" t="s">
        <v>42</v>
      </c>
    </row>
    <row r="606" spans="1:28">
      <c r="A606" s="8">
        <v>599</v>
      </c>
      <c r="B606" s="8" t="s">
        <v>888</v>
      </c>
      <c r="C606" s="8" t="s">
        <v>843</v>
      </c>
      <c r="D606" s="8" t="s">
        <v>652</v>
      </c>
      <c r="E606" s="8" t="s">
        <v>33</v>
      </c>
      <c r="F606" s="6" t="s">
        <v>34</v>
      </c>
      <c r="G606" s="6" t="s">
        <v>51</v>
      </c>
      <c r="H606" s="6" t="s">
        <v>51</v>
      </c>
      <c r="I606" s="8">
        <v>164</v>
      </c>
      <c r="J606" s="8" t="s">
        <v>61</v>
      </c>
      <c r="K606" s="8" t="s">
        <v>38</v>
      </c>
      <c r="L606" s="10">
        <v>1</v>
      </c>
      <c r="M606" s="13">
        <v>8500.0</v>
      </c>
      <c r="N606" s="13"/>
      <c r="O606" s="15">
        <f>IF(M606&gt;0, N606/M606, 0)</f>
        <v>0</v>
      </c>
      <c r="P606" s="13">
        <f>M606-N606</f>
        <v>8500</v>
      </c>
      <c r="Q606" s="13">
        <f>L606*M606</f>
        <v>8500</v>
      </c>
      <c r="R606" s="13">
        <f>L606*N606</f>
        <v>0</v>
      </c>
      <c r="S606" s="13">
        <f>L606*P606</f>
        <v>8500</v>
      </c>
      <c r="T606" s="13"/>
      <c r="U606" s="13">
        <f>L606*T606</f>
        <v>0</v>
      </c>
      <c r="V606" s="13">
        <f>S606-U606</f>
        <v>8500</v>
      </c>
      <c r="W606" s="15">
        <f>IF(S606&gt;0, V606/S606, 0)</f>
        <v>1</v>
      </c>
      <c r="X606" s="6" t="s">
        <v>39</v>
      </c>
      <c r="Y606" s="8" t="s">
        <v>40</v>
      </c>
      <c r="Z606" s="8" t="s">
        <v>41</v>
      </c>
      <c r="AA606" s="8" t="s">
        <v>42</v>
      </c>
      <c r="AB606" s="6" t="s">
        <v>42</v>
      </c>
    </row>
    <row r="607" spans="1:28">
      <c r="A607" s="9">
        <v>600</v>
      </c>
      <c r="B607" s="9" t="s">
        <v>889</v>
      </c>
      <c r="C607" s="9" t="s">
        <v>843</v>
      </c>
      <c r="D607" s="9" t="s">
        <v>652</v>
      </c>
      <c r="E607" s="9" t="s">
        <v>33</v>
      </c>
      <c r="F607" s="7" t="s">
        <v>34</v>
      </c>
      <c r="G607" s="7" t="s">
        <v>51</v>
      </c>
      <c r="H607" s="7" t="s">
        <v>51</v>
      </c>
      <c r="I607" s="9">
        <v>158</v>
      </c>
      <c r="J607" s="9" t="s">
        <v>122</v>
      </c>
      <c r="K607" s="9" t="s">
        <v>38</v>
      </c>
      <c r="L607" s="11">
        <v>1</v>
      </c>
      <c r="M607" s="14">
        <v>8500.0</v>
      </c>
      <c r="N607" s="14"/>
      <c r="O607" s="16">
        <f>IF(M607&gt;0, N607/M607, 0)</f>
        <v>0</v>
      </c>
      <c r="P607" s="14">
        <f>M607-N607</f>
        <v>8500</v>
      </c>
      <c r="Q607" s="14">
        <f>L607*M607</f>
        <v>8500</v>
      </c>
      <c r="R607" s="14">
        <f>L607*N607</f>
        <v>0</v>
      </c>
      <c r="S607" s="14">
        <f>L607*P607</f>
        <v>8500</v>
      </c>
      <c r="T607" s="14"/>
      <c r="U607" s="14">
        <f>L607*T607</f>
        <v>0</v>
      </c>
      <c r="V607" s="14">
        <f>S607-U607</f>
        <v>8500</v>
      </c>
      <c r="W607" s="16">
        <f>IF(S607&gt;0, V607/S607, 0)</f>
        <v>1</v>
      </c>
      <c r="X607" s="7" t="s">
        <v>39</v>
      </c>
      <c r="Y607" s="9" t="s">
        <v>40</v>
      </c>
      <c r="Z607" s="9" t="s">
        <v>41</v>
      </c>
      <c r="AA607" s="9" t="s">
        <v>42</v>
      </c>
      <c r="AB607" s="7" t="s">
        <v>42</v>
      </c>
    </row>
    <row r="608" spans="1:28">
      <c r="A608" s="8">
        <v>601</v>
      </c>
      <c r="B608" s="8" t="s">
        <v>890</v>
      </c>
      <c r="C608" s="8" t="s">
        <v>843</v>
      </c>
      <c r="D608" s="8" t="s">
        <v>652</v>
      </c>
      <c r="E608" s="8" t="s">
        <v>33</v>
      </c>
      <c r="F608" s="6" t="s">
        <v>50</v>
      </c>
      <c r="G608" s="6" t="s">
        <v>35</v>
      </c>
      <c r="H608" s="6" t="s">
        <v>36</v>
      </c>
      <c r="I608" s="8">
        <v>140</v>
      </c>
      <c r="J608" s="8" t="s">
        <v>223</v>
      </c>
      <c r="K608" s="8" t="s">
        <v>53</v>
      </c>
      <c r="L608" s="10">
        <v>2</v>
      </c>
      <c r="M608" s="13">
        <v>7000.0</v>
      </c>
      <c r="N608" s="13"/>
      <c r="O608" s="15">
        <f>IF(M608&gt;0, N608/M608, 0)</f>
        <v>0</v>
      </c>
      <c r="P608" s="13">
        <f>M608-N608</f>
        <v>7000</v>
      </c>
      <c r="Q608" s="13">
        <f>L608*M608</f>
        <v>14000</v>
      </c>
      <c r="R608" s="13">
        <f>L608*N608</f>
        <v>0</v>
      </c>
      <c r="S608" s="13">
        <f>L608*P608</f>
        <v>14000</v>
      </c>
      <c r="T608" s="13"/>
      <c r="U608" s="13">
        <f>L608*T608</f>
        <v>0</v>
      </c>
      <c r="V608" s="13">
        <f>S608-U608</f>
        <v>14000</v>
      </c>
      <c r="W608" s="15">
        <f>IF(S608&gt;0, V608/S608, 0)</f>
        <v>1</v>
      </c>
      <c r="X608" s="6" t="s">
        <v>39</v>
      </c>
      <c r="Y608" s="8" t="s">
        <v>40</v>
      </c>
      <c r="Z608" s="8" t="s">
        <v>41</v>
      </c>
      <c r="AA608" s="8" t="s">
        <v>42</v>
      </c>
      <c r="AB608" s="6" t="s">
        <v>42</v>
      </c>
    </row>
    <row r="609" spans="1:28">
      <c r="A609" s="9">
        <v>602</v>
      </c>
      <c r="B609" s="9" t="s">
        <v>891</v>
      </c>
      <c r="C609" s="9" t="s">
        <v>843</v>
      </c>
      <c r="D609" s="9" t="s">
        <v>652</v>
      </c>
      <c r="E609" s="9" t="s">
        <v>33</v>
      </c>
      <c r="F609" s="7" t="s">
        <v>50</v>
      </c>
      <c r="G609" s="7" t="s">
        <v>51</v>
      </c>
      <c r="H609" s="7" t="s">
        <v>51</v>
      </c>
      <c r="I609" s="9">
        <v>164</v>
      </c>
      <c r="J609" s="9" t="s">
        <v>404</v>
      </c>
      <c r="K609" s="9" t="s">
        <v>53</v>
      </c>
      <c r="L609" s="11">
        <v>1</v>
      </c>
      <c r="M609" s="14">
        <v>8000.0</v>
      </c>
      <c r="N609" s="14"/>
      <c r="O609" s="16">
        <f>IF(M609&gt;0, N609/M609, 0)</f>
        <v>0</v>
      </c>
      <c r="P609" s="14">
        <f>M609-N609</f>
        <v>8000</v>
      </c>
      <c r="Q609" s="14">
        <f>L609*M609</f>
        <v>8000</v>
      </c>
      <c r="R609" s="14">
        <f>L609*N609</f>
        <v>0</v>
      </c>
      <c r="S609" s="14">
        <f>L609*P609</f>
        <v>8000</v>
      </c>
      <c r="T609" s="14"/>
      <c r="U609" s="14">
        <f>L609*T609</f>
        <v>0</v>
      </c>
      <c r="V609" s="14">
        <f>S609-U609</f>
        <v>8000</v>
      </c>
      <c r="W609" s="16">
        <f>IF(S609&gt;0, V609/S609, 0)</f>
        <v>1</v>
      </c>
      <c r="X609" s="7" t="s">
        <v>39</v>
      </c>
      <c r="Y609" s="9" t="s">
        <v>40</v>
      </c>
      <c r="Z609" s="9" t="s">
        <v>41</v>
      </c>
      <c r="AA609" s="9" t="s">
        <v>42</v>
      </c>
      <c r="AB609" s="7" t="s">
        <v>42</v>
      </c>
    </row>
    <row r="610" spans="1:28">
      <c r="A610" s="8">
        <v>603</v>
      </c>
      <c r="B610" s="8" t="s">
        <v>892</v>
      </c>
      <c r="C610" s="8" t="s">
        <v>843</v>
      </c>
      <c r="D610" s="8" t="s">
        <v>652</v>
      </c>
      <c r="E610" s="8" t="s">
        <v>33</v>
      </c>
      <c r="F610" s="6" t="s">
        <v>34</v>
      </c>
      <c r="G610" s="6" t="s">
        <v>35</v>
      </c>
      <c r="H610" s="6" t="s">
        <v>36</v>
      </c>
      <c r="I610" s="8">
        <v>170</v>
      </c>
      <c r="J610" s="8" t="s">
        <v>142</v>
      </c>
      <c r="K610" s="8" t="s">
        <v>38</v>
      </c>
      <c r="L610" s="10">
        <v>1</v>
      </c>
      <c r="M610" s="13">
        <v>8000.0</v>
      </c>
      <c r="N610" s="13"/>
      <c r="O610" s="15">
        <f>IF(M610&gt;0, N610/M610, 0)</f>
        <v>0</v>
      </c>
      <c r="P610" s="13">
        <f>M610-N610</f>
        <v>8000</v>
      </c>
      <c r="Q610" s="13">
        <f>L610*M610</f>
        <v>8000</v>
      </c>
      <c r="R610" s="13">
        <f>L610*N610</f>
        <v>0</v>
      </c>
      <c r="S610" s="13">
        <f>L610*P610</f>
        <v>8000</v>
      </c>
      <c r="T610" s="13"/>
      <c r="U610" s="13">
        <f>L610*T610</f>
        <v>0</v>
      </c>
      <c r="V610" s="13">
        <f>S610-U610</f>
        <v>8000</v>
      </c>
      <c r="W610" s="15">
        <f>IF(S610&gt;0, V610/S610, 0)</f>
        <v>1</v>
      </c>
      <c r="X610" s="6" t="s">
        <v>39</v>
      </c>
      <c r="Y610" s="8" t="s">
        <v>40</v>
      </c>
      <c r="Z610" s="8" t="s">
        <v>41</v>
      </c>
      <c r="AA610" s="8" t="s">
        <v>42</v>
      </c>
      <c r="AB610" s="6" t="s">
        <v>42</v>
      </c>
    </row>
    <row r="611" spans="1:28">
      <c r="A611" s="9">
        <v>604</v>
      </c>
      <c r="B611" s="9" t="s">
        <v>893</v>
      </c>
      <c r="C611" s="9" t="s">
        <v>843</v>
      </c>
      <c r="D611" s="9" t="s">
        <v>652</v>
      </c>
      <c r="E611" s="9" t="s">
        <v>33</v>
      </c>
      <c r="F611" s="7" t="s">
        <v>50</v>
      </c>
      <c r="G611" s="7" t="s">
        <v>35</v>
      </c>
      <c r="H611" s="7" t="s">
        <v>36</v>
      </c>
      <c r="I611" s="9">
        <v>140</v>
      </c>
      <c r="J611" s="9" t="s">
        <v>223</v>
      </c>
      <c r="K611" s="9" t="s">
        <v>53</v>
      </c>
      <c r="L611" s="11">
        <v>2</v>
      </c>
      <c r="M611" s="14">
        <v>7000.0</v>
      </c>
      <c r="N611" s="14"/>
      <c r="O611" s="16">
        <f>IF(M611&gt;0, N611/M611, 0)</f>
        <v>0</v>
      </c>
      <c r="P611" s="14">
        <f>M611-N611</f>
        <v>7000</v>
      </c>
      <c r="Q611" s="14">
        <f>L611*M611</f>
        <v>14000</v>
      </c>
      <c r="R611" s="14">
        <f>L611*N611</f>
        <v>0</v>
      </c>
      <c r="S611" s="14">
        <f>L611*P611</f>
        <v>14000</v>
      </c>
      <c r="T611" s="14"/>
      <c r="U611" s="14">
        <f>L611*T611</f>
        <v>0</v>
      </c>
      <c r="V611" s="14">
        <f>S611-U611</f>
        <v>14000</v>
      </c>
      <c r="W611" s="16">
        <f>IF(S611&gt;0, V611/S611, 0)</f>
        <v>1</v>
      </c>
      <c r="X611" s="7" t="s">
        <v>39</v>
      </c>
      <c r="Y611" s="9" t="s">
        <v>40</v>
      </c>
      <c r="Z611" s="9" t="s">
        <v>41</v>
      </c>
      <c r="AA611" s="9" t="s">
        <v>42</v>
      </c>
      <c r="AB611" s="7" t="s">
        <v>42</v>
      </c>
    </row>
    <row r="612" spans="1:28">
      <c r="A612" s="8">
        <v>605</v>
      </c>
      <c r="B612" s="8" t="s">
        <v>894</v>
      </c>
      <c r="C612" s="8" t="s">
        <v>843</v>
      </c>
      <c r="D612" s="8" t="s">
        <v>652</v>
      </c>
      <c r="E612" s="8" t="s">
        <v>33</v>
      </c>
      <c r="F612" s="6" t="s">
        <v>50</v>
      </c>
      <c r="G612" s="6" t="s">
        <v>51</v>
      </c>
      <c r="H612" s="6" t="s">
        <v>51</v>
      </c>
      <c r="I612" s="8">
        <v>164</v>
      </c>
      <c r="J612" s="8" t="s">
        <v>404</v>
      </c>
      <c r="K612" s="8" t="s">
        <v>53</v>
      </c>
      <c r="L612" s="10">
        <v>1</v>
      </c>
      <c r="M612" s="13">
        <v>8000.0</v>
      </c>
      <c r="N612" s="13"/>
      <c r="O612" s="15">
        <f>IF(M612&gt;0, N612/M612, 0)</f>
        <v>0</v>
      </c>
      <c r="P612" s="13">
        <f>M612-N612</f>
        <v>8000</v>
      </c>
      <c r="Q612" s="13">
        <f>L612*M612</f>
        <v>8000</v>
      </c>
      <c r="R612" s="13">
        <f>L612*N612</f>
        <v>0</v>
      </c>
      <c r="S612" s="13">
        <f>L612*P612</f>
        <v>8000</v>
      </c>
      <c r="T612" s="13"/>
      <c r="U612" s="13">
        <f>L612*T612</f>
        <v>0</v>
      </c>
      <c r="V612" s="13">
        <f>S612-U612</f>
        <v>8000</v>
      </c>
      <c r="W612" s="15">
        <f>IF(S612&gt;0, V612/S612, 0)</f>
        <v>1</v>
      </c>
      <c r="X612" s="6" t="s">
        <v>39</v>
      </c>
      <c r="Y612" s="8" t="s">
        <v>40</v>
      </c>
      <c r="Z612" s="8" t="s">
        <v>41</v>
      </c>
      <c r="AA612" s="8" t="s">
        <v>42</v>
      </c>
      <c r="AB612" s="6" t="s">
        <v>42</v>
      </c>
    </row>
    <row r="613" spans="1:28">
      <c r="A613" s="9">
        <v>606</v>
      </c>
      <c r="B613" s="9" t="s">
        <v>895</v>
      </c>
      <c r="C613" s="9" t="s">
        <v>843</v>
      </c>
      <c r="D613" s="9" t="s">
        <v>652</v>
      </c>
      <c r="E613" s="9" t="s">
        <v>33</v>
      </c>
      <c r="F613" s="7" t="s">
        <v>50</v>
      </c>
      <c r="G613" s="7" t="s">
        <v>35</v>
      </c>
      <c r="H613" s="7" t="s">
        <v>73</v>
      </c>
      <c r="I613" s="9">
        <v>128</v>
      </c>
      <c r="J613" s="9" t="s">
        <v>185</v>
      </c>
      <c r="K613" s="9" t="s">
        <v>53</v>
      </c>
      <c r="L613" s="11">
        <v>1</v>
      </c>
      <c r="M613" s="14">
        <v>8000.0</v>
      </c>
      <c r="N613" s="14"/>
      <c r="O613" s="16">
        <f>IF(M613&gt;0, N613/M613, 0)</f>
        <v>0</v>
      </c>
      <c r="P613" s="14">
        <f>M613-N613</f>
        <v>8000</v>
      </c>
      <c r="Q613" s="14">
        <f>L613*M613</f>
        <v>8000</v>
      </c>
      <c r="R613" s="14">
        <f>L613*N613</f>
        <v>0</v>
      </c>
      <c r="S613" s="14">
        <f>L613*P613</f>
        <v>8000</v>
      </c>
      <c r="T613" s="14"/>
      <c r="U613" s="14">
        <f>L613*T613</f>
        <v>0</v>
      </c>
      <c r="V613" s="14">
        <f>S613-U613</f>
        <v>8000</v>
      </c>
      <c r="W613" s="16">
        <f>IF(S613&gt;0, V613/S613, 0)</f>
        <v>1</v>
      </c>
      <c r="X613" s="7" t="s">
        <v>39</v>
      </c>
      <c r="Y613" s="9" t="s">
        <v>40</v>
      </c>
      <c r="Z613" s="9" t="s">
        <v>41</v>
      </c>
      <c r="AA613" s="9" t="s">
        <v>42</v>
      </c>
      <c r="AB613" s="7" t="s">
        <v>42</v>
      </c>
    </row>
    <row r="614" spans="1:28">
      <c r="A614" s="8">
        <v>607</v>
      </c>
      <c r="B614" s="8" t="s">
        <v>896</v>
      </c>
      <c r="C614" s="8" t="s">
        <v>843</v>
      </c>
      <c r="D614" s="8" t="s">
        <v>652</v>
      </c>
      <c r="E614" s="8" t="s">
        <v>33</v>
      </c>
      <c r="F614" s="6" t="s">
        <v>50</v>
      </c>
      <c r="G614" s="6" t="s">
        <v>35</v>
      </c>
      <c r="H614" s="6" t="s">
        <v>36</v>
      </c>
      <c r="I614" s="8">
        <v>116</v>
      </c>
      <c r="J614" s="8" t="s">
        <v>92</v>
      </c>
      <c r="K614" s="8" t="s">
        <v>53</v>
      </c>
      <c r="L614" s="10">
        <v>1</v>
      </c>
      <c r="M614" s="13">
        <v>7000.0</v>
      </c>
      <c r="N614" s="13"/>
      <c r="O614" s="15">
        <f>IF(M614&gt;0, N614/M614, 0)</f>
        <v>0</v>
      </c>
      <c r="P614" s="13">
        <f>M614-N614</f>
        <v>7000</v>
      </c>
      <c r="Q614" s="13">
        <f>L614*M614</f>
        <v>7000</v>
      </c>
      <c r="R614" s="13">
        <f>L614*N614</f>
        <v>0</v>
      </c>
      <c r="S614" s="13">
        <f>L614*P614</f>
        <v>7000</v>
      </c>
      <c r="T614" s="13"/>
      <c r="U614" s="13">
        <f>L614*T614</f>
        <v>0</v>
      </c>
      <c r="V614" s="13">
        <f>S614-U614</f>
        <v>7000</v>
      </c>
      <c r="W614" s="15">
        <f>IF(S614&gt;0, V614/S614, 0)</f>
        <v>1</v>
      </c>
      <c r="X614" s="6" t="s">
        <v>39</v>
      </c>
      <c r="Y614" s="8" t="s">
        <v>40</v>
      </c>
      <c r="Z614" s="8" t="s">
        <v>41</v>
      </c>
      <c r="AA614" s="8" t="s">
        <v>42</v>
      </c>
      <c r="AB614" s="6" t="s">
        <v>42</v>
      </c>
    </row>
    <row r="615" spans="1:28">
      <c r="A615" s="9">
        <v>608</v>
      </c>
      <c r="B615" s="9" t="s">
        <v>897</v>
      </c>
      <c r="C615" s="9" t="s">
        <v>843</v>
      </c>
      <c r="D615" s="9" t="s">
        <v>652</v>
      </c>
      <c r="E615" s="9" t="s">
        <v>33</v>
      </c>
      <c r="F615" s="7" t="s">
        <v>50</v>
      </c>
      <c r="G615" s="7" t="s">
        <v>35</v>
      </c>
      <c r="H615" s="7" t="s">
        <v>36</v>
      </c>
      <c r="I615" s="9">
        <v>146</v>
      </c>
      <c r="J615" s="9" t="s">
        <v>257</v>
      </c>
      <c r="K615" s="9" t="s">
        <v>53</v>
      </c>
      <c r="L615" s="11">
        <v>1</v>
      </c>
      <c r="M615" s="14">
        <v>7000.0</v>
      </c>
      <c r="N615" s="14"/>
      <c r="O615" s="16">
        <f>IF(M615&gt;0, N615/M615, 0)</f>
        <v>0</v>
      </c>
      <c r="P615" s="14">
        <f>M615-N615</f>
        <v>7000</v>
      </c>
      <c r="Q615" s="14">
        <f>L615*M615</f>
        <v>7000</v>
      </c>
      <c r="R615" s="14">
        <f>L615*N615</f>
        <v>0</v>
      </c>
      <c r="S615" s="14">
        <f>L615*P615</f>
        <v>7000</v>
      </c>
      <c r="T615" s="14"/>
      <c r="U615" s="14">
        <f>L615*T615</f>
        <v>0</v>
      </c>
      <c r="V615" s="14">
        <f>S615-U615</f>
        <v>7000</v>
      </c>
      <c r="W615" s="16">
        <f>IF(S615&gt;0, V615/S615, 0)</f>
        <v>1</v>
      </c>
      <c r="X615" s="7" t="s">
        <v>39</v>
      </c>
      <c r="Y615" s="9" t="s">
        <v>40</v>
      </c>
      <c r="Z615" s="9" t="s">
        <v>41</v>
      </c>
      <c r="AA615" s="9" t="s">
        <v>42</v>
      </c>
      <c r="AB615" s="7" t="s">
        <v>42</v>
      </c>
    </row>
    <row r="616" spans="1:28">
      <c r="A616" s="8">
        <v>609</v>
      </c>
      <c r="B616" s="8" t="s">
        <v>898</v>
      </c>
      <c r="C616" s="8" t="s">
        <v>843</v>
      </c>
      <c r="D616" s="8" t="s">
        <v>652</v>
      </c>
      <c r="E616" s="8" t="s">
        <v>33</v>
      </c>
      <c r="F616" s="6" t="s">
        <v>50</v>
      </c>
      <c r="G616" s="6" t="s">
        <v>35</v>
      </c>
      <c r="H616" s="6" t="s">
        <v>36</v>
      </c>
      <c r="I616" s="8">
        <v>134</v>
      </c>
      <c r="J616" s="8" t="s">
        <v>177</v>
      </c>
      <c r="K616" s="8" t="s">
        <v>53</v>
      </c>
      <c r="L616" s="10">
        <v>1</v>
      </c>
      <c r="M616" s="13">
        <v>7000.0</v>
      </c>
      <c r="N616" s="13"/>
      <c r="O616" s="15">
        <f>IF(M616&gt;0, N616/M616, 0)</f>
        <v>0</v>
      </c>
      <c r="P616" s="13">
        <f>M616-N616</f>
        <v>7000</v>
      </c>
      <c r="Q616" s="13">
        <f>L616*M616</f>
        <v>7000</v>
      </c>
      <c r="R616" s="13">
        <f>L616*N616</f>
        <v>0</v>
      </c>
      <c r="S616" s="13">
        <f>L616*P616</f>
        <v>7000</v>
      </c>
      <c r="T616" s="13"/>
      <c r="U616" s="13">
        <f>L616*T616</f>
        <v>0</v>
      </c>
      <c r="V616" s="13">
        <f>S616-U616</f>
        <v>7000</v>
      </c>
      <c r="W616" s="15">
        <f>IF(S616&gt;0, V616/S616, 0)</f>
        <v>1</v>
      </c>
      <c r="X616" s="6" t="s">
        <v>39</v>
      </c>
      <c r="Y616" s="8" t="s">
        <v>40</v>
      </c>
      <c r="Z616" s="8" t="s">
        <v>41</v>
      </c>
      <c r="AA616" s="8" t="s">
        <v>42</v>
      </c>
      <c r="AB616" s="6" t="s">
        <v>42</v>
      </c>
    </row>
    <row r="617" spans="1:28">
      <c r="A617" s="9">
        <v>610</v>
      </c>
      <c r="B617" s="9" t="s">
        <v>899</v>
      </c>
      <c r="C617" s="9" t="s">
        <v>843</v>
      </c>
      <c r="D617" s="9" t="s">
        <v>652</v>
      </c>
      <c r="E617" s="9" t="s">
        <v>33</v>
      </c>
      <c r="F617" s="7" t="s">
        <v>34</v>
      </c>
      <c r="G617" s="7" t="s">
        <v>45</v>
      </c>
      <c r="H617" s="7" t="s">
        <v>46</v>
      </c>
      <c r="I617" s="9">
        <v>182</v>
      </c>
      <c r="J617" s="9" t="s">
        <v>807</v>
      </c>
      <c r="K617" s="9" t="s">
        <v>38</v>
      </c>
      <c r="L617" s="11">
        <v>1</v>
      </c>
      <c r="M617" s="14">
        <v>18000.0</v>
      </c>
      <c r="N617" s="14"/>
      <c r="O617" s="16">
        <f>IF(M617&gt;0, N617/M617, 0)</f>
        <v>0</v>
      </c>
      <c r="P617" s="14">
        <f>M617-N617</f>
        <v>18000</v>
      </c>
      <c r="Q617" s="14">
        <f>L617*M617</f>
        <v>18000</v>
      </c>
      <c r="R617" s="14">
        <f>L617*N617</f>
        <v>0</v>
      </c>
      <c r="S617" s="14">
        <f>L617*P617</f>
        <v>18000</v>
      </c>
      <c r="T617" s="14"/>
      <c r="U617" s="14">
        <f>L617*T617</f>
        <v>0</v>
      </c>
      <c r="V617" s="14">
        <f>S617-U617</f>
        <v>18000</v>
      </c>
      <c r="W617" s="16">
        <f>IF(S617&gt;0, V617/S617, 0)</f>
        <v>1</v>
      </c>
      <c r="X617" s="7" t="s">
        <v>39</v>
      </c>
      <c r="Y617" s="9" t="s">
        <v>40</v>
      </c>
      <c r="Z617" s="9" t="s">
        <v>41</v>
      </c>
      <c r="AA617" s="9" t="s">
        <v>42</v>
      </c>
      <c r="AB617" s="7" t="s">
        <v>42</v>
      </c>
    </row>
    <row r="618" spans="1:28">
      <c r="A618" s="8">
        <v>611</v>
      </c>
      <c r="B618" s="8" t="s">
        <v>900</v>
      </c>
      <c r="C618" s="8" t="s">
        <v>843</v>
      </c>
      <c r="D618" s="8" t="s">
        <v>652</v>
      </c>
      <c r="E618" s="8" t="s">
        <v>33</v>
      </c>
      <c r="F618" s="6" t="s">
        <v>50</v>
      </c>
      <c r="G618" s="6" t="s">
        <v>45</v>
      </c>
      <c r="H618" s="6" t="s">
        <v>46</v>
      </c>
      <c r="I618" s="8">
        <v>128</v>
      </c>
      <c r="J618" s="8" t="s">
        <v>183</v>
      </c>
      <c r="K618" s="8" t="s">
        <v>38</v>
      </c>
      <c r="L618" s="10">
        <v>1</v>
      </c>
      <c r="M618" s="13">
        <v>18000.0</v>
      </c>
      <c r="N618" s="13"/>
      <c r="O618" s="15">
        <f>IF(M618&gt;0, N618/M618, 0)</f>
        <v>0</v>
      </c>
      <c r="P618" s="13">
        <f>M618-N618</f>
        <v>18000</v>
      </c>
      <c r="Q618" s="13">
        <f>L618*M618</f>
        <v>18000</v>
      </c>
      <c r="R618" s="13">
        <f>L618*N618</f>
        <v>0</v>
      </c>
      <c r="S618" s="13">
        <f>L618*P618</f>
        <v>18000</v>
      </c>
      <c r="T618" s="13"/>
      <c r="U618" s="13">
        <f>L618*T618</f>
        <v>0</v>
      </c>
      <c r="V618" s="13">
        <f>S618-U618</f>
        <v>18000</v>
      </c>
      <c r="W618" s="15">
        <f>IF(S618&gt;0, V618/S618, 0)</f>
        <v>1</v>
      </c>
      <c r="X618" s="6" t="s">
        <v>39</v>
      </c>
      <c r="Y618" s="8" t="s">
        <v>40</v>
      </c>
      <c r="Z618" s="8" t="s">
        <v>41</v>
      </c>
      <c r="AA618" s="8" t="s">
        <v>42</v>
      </c>
      <c r="AB618" s="6" t="s">
        <v>42</v>
      </c>
    </row>
    <row r="619" spans="1:28">
      <c r="A619" s="9">
        <v>612</v>
      </c>
      <c r="B619" s="9" t="s">
        <v>901</v>
      </c>
      <c r="C619" s="9" t="s">
        <v>843</v>
      </c>
      <c r="D619" s="9" t="s">
        <v>652</v>
      </c>
      <c r="E619" s="9" t="s">
        <v>33</v>
      </c>
      <c r="F619" s="7" t="s">
        <v>34</v>
      </c>
      <c r="G619" s="7" t="s">
        <v>35</v>
      </c>
      <c r="H619" s="7" t="s">
        <v>73</v>
      </c>
      <c r="I619" s="9">
        <v>188</v>
      </c>
      <c r="J619" s="9" t="s">
        <v>902</v>
      </c>
      <c r="K619" s="9" t="s">
        <v>38</v>
      </c>
      <c r="L619" s="11">
        <v>1</v>
      </c>
      <c r="M619" s="14">
        <v>9000.0</v>
      </c>
      <c r="N619" s="14"/>
      <c r="O619" s="16">
        <f>IF(M619&gt;0, N619/M619, 0)</f>
        <v>0</v>
      </c>
      <c r="P619" s="14">
        <f>M619-N619</f>
        <v>9000</v>
      </c>
      <c r="Q619" s="14">
        <f>L619*M619</f>
        <v>9000</v>
      </c>
      <c r="R619" s="14">
        <f>L619*N619</f>
        <v>0</v>
      </c>
      <c r="S619" s="14">
        <f>L619*P619</f>
        <v>9000</v>
      </c>
      <c r="T619" s="14"/>
      <c r="U619" s="14">
        <f>L619*T619</f>
        <v>0</v>
      </c>
      <c r="V619" s="14">
        <f>S619-U619</f>
        <v>9000</v>
      </c>
      <c r="W619" s="16">
        <f>IF(S619&gt;0, V619/S619, 0)</f>
        <v>1</v>
      </c>
      <c r="X619" s="7" t="s">
        <v>39</v>
      </c>
      <c r="Y619" s="9" t="s">
        <v>40</v>
      </c>
      <c r="Z619" s="9" t="s">
        <v>41</v>
      </c>
      <c r="AA619" s="9" t="s">
        <v>42</v>
      </c>
      <c r="AB619" s="7" t="s">
        <v>42</v>
      </c>
    </row>
    <row r="620" spans="1:28">
      <c r="A620" s="8">
        <v>613</v>
      </c>
      <c r="B620" s="8" t="s">
        <v>903</v>
      </c>
      <c r="C620" s="8" t="s">
        <v>843</v>
      </c>
      <c r="D620" s="8" t="s">
        <v>652</v>
      </c>
      <c r="E620" s="8" t="s">
        <v>33</v>
      </c>
      <c r="F620" s="6" t="s">
        <v>34</v>
      </c>
      <c r="G620" s="6" t="s">
        <v>35</v>
      </c>
      <c r="H620" s="6" t="s">
        <v>36</v>
      </c>
      <c r="I620" s="8">
        <v>188</v>
      </c>
      <c r="J620" s="8" t="s">
        <v>368</v>
      </c>
      <c r="K620" s="8" t="s">
        <v>38</v>
      </c>
      <c r="L620" s="10">
        <v>1</v>
      </c>
      <c r="M620" s="13">
        <v>8000.0</v>
      </c>
      <c r="N620" s="13"/>
      <c r="O620" s="15">
        <f>IF(M620&gt;0, N620/M620, 0)</f>
        <v>0</v>
      </c>
      <c r="P620" s="13">
        <f>M620-N620</f>
        <v>8000</v>
      </c>
      <c r="Q620" s="13">
        <f>L620*M620</f>
        <v>8000</v>
      </c>
      <c r="R620" s="13">
        <f>L620*N620</f>
        <v>0</v>
      </c>
      <c r="S620" s="13">
        <f>L620*P620</f>
        <v>8000</v>
      </c>
      <c r="T620" s="13"/>
      <c r="U620" s="13">
        <f>L620*T620</f>
        <v>0</v>
      </c>
      <c r="V620" s="13">
        <f>S620-U620</f>
        <v>8000</v>
      </c>
      <c r="W620" s="15">
        <f>IF(S620&gt;0, V620/S620, 0)</f>
        <v>1</v>
      </c>
      <c r="X620" s="6" t="s">
        <v>39</v>
      </c>
      <c r="Y620" s="8" t="s">
        <v>40</v>
      </c>
      <c r="Z620" s="8" t="s">
        <v>41</v>
      </c>
      <c r="AA620" s="8" t="s">
        <v>42</v>
      </c>
      <c r="AB620" s="6" t="s">
        <v>42</v>
      </c>
    </row>
    <row r="621" spans="1:28">
      <c r="A621" s="9">
        <v>614</v>
      </c>
      <c r="B621" s="9" t="s">
        <v>904</v>
      </c>
      <c r="C621" s="9" t="s">
        <v>843</v>
      </c>
      <c r="D621" s="9" t="s">
        <v>652</v>
      </c>
      <c r="E621" s="9" t="s">
        <v>33</v>
      </c>
      <c r="F621" s="7" t="s">
        <v>34</v>
      </c>
      <c r="G621" s="7" t="s">
        <v>35</v>
      </c>
      <c r="H621" s="7" t="s">
        <v>36</v>
      </c>
      <c r="I621" s="9">
        <v>182</v>
      </c>
      <c r="J621" s="9" t="s">
        <v>335</v>
      </c>
      <c r="K621" s="9" t="s">
        <v>38</v>
      </c>
      <c r="L621" s="11">
        <v>1</v>
      </c>
      <c r="M621" s="14">
        <v>8000.0</v>
      </c>
      <c r="N621" s="14"/>
      <c r="O621" s="16">
        <f>IF(M621&gt;0, N621/M621, 0)</f>
        <v>0</v>
      </c>
      <c r="P621" s="14">
        <f>M621-N621</f>
        <v>8000</v>
      </c>
      <c r="Q621" s="14">
        <f>L621*M621</f>
        <v>8000</v>
      </c>
      <c r="R621" s="14">
        <f>L621*N621</f>
        <v>0</v>
      </c>
      <c r="S621" s="14">
        <f>L621*P621</f>
        <v>8000</v>
      </c>
      <c r="T621" s="14"/>
      <c r="U621" s="14">
        <f>L621*T621</f>
        <v>0</v>
      </c>
      <c r="V621" s="14">
        <f>S621-U621</f>
        <v>8000</v>
      </c>
      <c r="W621" s="16">
        <f>IF(S621&gt;0, V621/S621, 0)</f>
        <v>1</v>
      </c>
      <c r="X621" s="7" t="s">
        <v>39</v>
      </c>
      <c r="Y621" s="9" t="s">
        <v>40</v>
      </c>
      <c r="Z621" s="9" t="s">
        <v>41</v>
      </c>
      <c r="AA621" s="9" t="s">
        <v>42</v>
      </c>
      <c r="AB621" s="7" t="s">
        <v>42</v>
      </c>
    </row>
    <row r="622" spans="1:28">
      <c r="A622" s="8">
        <v>615</v>
      </c>
      <c r="B622" s="8" t="s">
        <v>905</v>
      </c>
      <c r="C622" s="8" t="s">
        <v>843</v>
      </c>
      <c r="D622" s="8" t="s">
        <v>652</v>
      </c>
      <c r="E622" s="8" t="s">
        <v>33</v>
      </c>
      <c r="F622" s="6" t="s">
        <v>34</v>
      </c>
      <c r="G622" s="6" t="s">
        <v>63</v>
      </c>
      <c r="H622" s="6" t="s">
        <v>148</v>
      </c>
      <c r="I622" s="8">
        <v>182</v>
      </c>
      <c r="J622" s="8" t="s">
        <v>739</v>
      </c>
      <c r="K622" s="8" t="s">
        <v>38</v>
      </c>
      <c r="L622" s="10">
        <v>1</v>
      </c>
      <c r="M622" s="13">
        <v>9500.0</v>
      </c>
      <c r="N622" s="13"/>
      <c r="O622" s="15">
        <f>IF(M622&gt;0, N622/M622, 0)</f>
        <v>0</v>
      </c>
      <c r="P622" s="13">
        <f>M622-N622</f>
        <v>9500</v>
      </c>
      <c r="Q622" s="13">
        <f>L622*M622</f>
        <v>9500</v>
      </c>
      <c r="R622" s="13">
        <f>L622*N622</f>
        <v>0</v>
      </c>
      <c r="S622" s="13">
        <f>L622*P622</f>
        <v>9500</v>
      </c>
      <c r="T622" s="13"/>
      <c r="U622" s="13">
        <f>L622*T622</f>
        <v>0</v>
      </c>
      <c r="V622" s="13">
        <f>S622-U622</f>
        <v>9500</v>
      </c>
      <c r="W622" s="15">
        <f>IF(S622&gt;0, V622/S622, 0)</f>
        <v>1</v>
      </c>
      <c r="X622" s="6" t="s">
        <v>39</v>
      </c>
      <c r="Y622" s="8" t="s">
        <v>40</v>
      </c>
      <c r="Z622" s="8" t="s">
        <v>41</v>
      </c>
      <c r="AA622" s="8" t="s">
        <v>42</v>
      </c>
      <c r="AB622" s="6" t="s">
        <v>42</v>
      </c>
    </row>
    <row r="623" spans="1:28">
      <c r="A623" s="9">
        <v>616</v>
      </c>
      <c r="B623" s="9" t="s">
        <v>906</v>
      </c>
      <c r="C623" s="9" t="s">
        <v>843</v>
      </c>
      <c r="D623" s="9" t="s">
        <v>652</v>
      </c>
      <c r="E623" s="9" t="s">
        <v>33</v>
      </c>
      <c r="F623" s="7" t="s">
        <v>50</v>
      </c>
      <c r="G623" s="7" t="s">
        <v>56</v>
      </c>
      <c r="H623" s="7" t="s">
        <v>56</v>
      </c>
      <c r="I623" s="9">
        <v>152</v>
      </c>
      <c r="J623" s="9" t="s">
        <v>311</v>
      </c>
      <c r="K623" s="9" t="s">
        <v>38</v>
      </c>
      <c r="L623" s="11">
        <v>1</v>
      </c>
      <c r="M623" s="14">
        <v>7000.0</v>
      </c>
      <c r="N623" s="14"/>
      <c r="O623" s="16">
        <f>IF(M623&gt;0, N623/M623, 0)</f>
        <v>0</v>
      </c>
      <c r="P623" s="14">
        <f>M623-N623</f>
        <v>7000</v>
      </c>
      <c r="Q623" s="14">
        <f>L623*M623</f>
        <v>7000</v>
      </c>
      <c r="R623" s="14">
        <f>L623*N623</f>
        <v>0</v>
      </c>
      <c r="S623" s="14">
        <f>L623*P623</f>
        <v>7000</v>
      </c>
      <c r="T623" s="14"/>
      <c r="U623" s="14">
        <f>L623*T623</f>
        <v>0</v>
      </c>
      <c r="V623" s="14">
        <f>S623-U623</f>
        <v>7000</v>
      </c>
      <c r="W623" s="16">
        <f>IF(S623&gt;0, V623/S623, 0)</f>
        <v>1</v>
      </c>
      <c r="X623" s="7" t="s">
        <v>39</v>
      </c>
      <c r="Y623" s="9" t="s">
        <v>40</v>
      </c>
      <c r="Z623" s="9" t="s">
        <v>41</v>
      </c>
      <c r="AA623" s="9" t="s">
        <v>42</v>
      </c>
      <c r="AB623" s="7" t="s">
        <v>42</v>
      </c>
    </row>
    <row r="624" spans="1:28">
      <c r="A624" s="8">
        <v>617</v>
      </c>
      <c r="B624" s="8" t="s">
        <v>907</v>
      </c>
      <c r="C624" s="8" t="s">
        <v>843</v>
      </c>
      <c r="D624" s="8" t="s">
        <v>652</v>
      </c>
      <c r="E624" s="8" t="s">
        <v>33</v>
      </c>
      <c r="F624" s="6" t="s">
        <v>34</v>
      </c>
      <c r="G624" s="6" t="s">
        <v>56</v>
      </c>
      <c r="H624" s="6" t="s">
        <v>56</v>
      </c>
      <c r="I624" s="8">
        <v>182</v>
      </c>
      <c r="J624" s="8" t="s">
        <v>655</v>
      </c>
      <c r="K624" s="8" t="s">
        <v>38</v>
      </c>
      <c r="L624" s="10">
        <v>1</v>
      </c>
      <c r="M624" s="13">
        <v>7500.0</v>
      </c>
      <c r="N624" s="13"/>
      <c r="O624" s="15">
        <f>IF(M624&gt;0, N624/M624, 0)</f>
        <v>0</v>
      </c>
      <c r="P624" s="13">
        <f>M624-N624</f>
        <v>7500</v>
      </c>
      <c r="Q624" s="13">
        <f>L624*M624</f>
        <v>7500</v>
      </c>
      <c r="R624" s="13">
        <f>L624*N624</f>
        <v>0</v>
      </c>
      <c r="S624" s="13">
        <f>L624*P624</f>
        <v>7500</v>
      </c>
      <c r="T624" s="13"/>
      <c r="U624" s="13">
        <f>L624*T624</f>
        <v>0</v>
      </c>
      <c r="V624" s="13">
        <f>S624-U624</f>
        <v>7500</v>
      </c>
      <c r="W624" s="15">
        <f>IF(S624&gt;0, V624/S624, 0)</f>
        <v>1</v>
      </c>
      <c r="X624" s="6" t="s">
        <v>39</v>
      </c>
      <c r="Y624" s="8" t="s">
        <v>40</v>
      </c>
      <c r="Z624" s="8" t="s">
        <v>41</v>
      </c>
      <c r="AA624" s="8" t="s">
        <v>42</v>
      </c>
      <c r="AB624" s="6" t="s">
        <v>42</v>
      </c>
    </row>
    <row r="625" spans="1:28">
      <c r="A625" s="9">
        <v>618</v>
      </c>
      <c r="B625" s="9" t="s">
        <v>908</v>
      </c>
      <c r="C625" s="9" t="s">
        <v>843</v>
      </c>
      <c r="D625" s="9" t="s">
        <v>652</v>
      </c>
      <c r="E625" s="9" t="s">
        <v>33</v>
      </c>
      <c r="F625" s="7" t="s">
        <v>34</v>
      </c>
      <c r="G625" s="7" t="s">
        <v>51</v>
      </c>
      <c r="H625" s="7" t="s">
        <v>51</v>
      </c>
      <c r="I625" s="9">
        <v>188</v>
      </c>
      <c r="J625" s="9" t="s">
        <v>909</v>
      </c>
      <c r="K625" s="9" t="s">
        <v>38</v>
      </c>
      <c r="L625" s="11">
        <v>2</v>
      </c>
      <c r="M625" s="14">
        <v>8500.0</v>
      </c>
      <c r="N625" s="14"/>
      <c r="O625" s="16">
        <f>IF(M625&gt;0, N625/M625, 0)</f>
        <v>0</v>
      </c>
      <c r="P625" s="14">
        <f>M625-N625</f>
        <v>8500</v>
      </c>
      <c r="Q625" s="14">
        <f>L625*M625</f>
        <v>17000</v>
      </c>
      <c r="R625" s="14">
        <f>L625*N625</f>
        <v>0</v>
      </c>
      <c r="S625" s="14">
        <f>L625*P625</f>
        <v>17000</v>
      </c>
      <c r="T625" s="14"/>
      <c r="U625" s="14">
        <f>L625*T625</f>
        <v>0</v>
      </c>
      <c r="V625" s="14">
        <f>S625-U625</f>
        <v>17000</v>
      </c>
      <c r="W625" s="16">
        <f>IF(S625&gt;0, V625/S625, 0)</f>
        <v>1</v>
      </c>
      <c r="X625" s="7" t="s">
        <v>39</v>
      </c>
      <c r="Y625" s="9" t="s">
        <v>40</v>
      </c>
      <c r="Z625" s="9" t="s">
        <v>41</v>
      </c>
      <c r="AA625" s="9" t="s">
        <v>42</v>
      </c>
      <c r="AB625" s="7" t="s">
        <v>42</v>
      </c>
    </row>
    <row r="626" spans="1:28">
      <c r="A626" s="8">
        <v>619</v>
      </c>
      <c r="B626" s="8" t="s">
        <v>910</v>
      </c>
      <c r="C626" s="8" t="s">
        <v>843</v>
      </c>
      <c r="D626" s="8" t="s">
        <v>652</v>
      </c>
      <c r="E626" s="8" t="s">
        <v>33</v>
      </c>
      <c r="F626" s="6" t="s">
        <v>50</v>
      </c>
      <c r="G626" s="6" t="s">
        <v>51</v>
      </c>
      <c r="H626" s="6" t="s">
        <v>51</v>
      </c>
      <c r="I626" s="8">
        <v>152</v>
      </c>
      <c r="J626" s="8" t="s">
        <v>402</v>
      </c>
      <c r="K626" s="8" t="s">
        <v>53</v>
      </c>
      <c r="L626" s="10">
        <v>2</v>
      </c>
      <c r="M626" s="13">
        <v>8000.0</v>
      </c>
      <c r="N626" s="13"/>
      <c r="O626" s="15">
        <f>IF(M626&gt;0, N626/M626, 0)</f>
        <v>0</v>
      </c>
      <c r="P626" s="13">
        <f>M626-N626</f>
        <v>8000</v>
      </c>
      <c r="Q626" s="13">
        <f>L626*M626</f>
        <v>16000</v>
      </c>
      <c r="R626" s="13">
        <f>L626*N626</f>
        <v>0</v>
      </c>
      <c r="S626" s="13">
        <f>L626*P626</f>
        <v>16000</v>
      </c>
      <c r="T626" s="13"/>
      <c r="U626" s="13">
        <f>L626*T626</f>
        <v>0</v>
      </c>
      <c r="V626" s="13">
        <f>S626-U626</f>
        <v>16000</v>
      </c>
      <c r="W626" s="15">
        <f>IF(S626&gt;0, V626/S626, 0)</f>
        <v>1</v>
      </c>
      <c r="X626" s="6" t="s">
        <v>39</v>
      </c>
      <c r="Y626" s="8" t="s">
        <v>40</v>
      </c>
      <c r="Z626" s="8" t="s">
        <v>41</v>
      </c>
      <c r="AA626" s="8" t="s">
        <v>42</v>
      </c>
      <c r="AB626" s="6" t="s">
        <v>42</v>
      </c>
    </row>
    <row r="627" spans="1:28">
      <c r="A627" s="9">
        <v>620</v>
      </c>
      <c r="B627" s="9" t="s">
        <v>911</v>
      </c>
      <c r="C627" s="9" t="s">
        <v>843</v>
      </c>
      <c r="D627" s="9" t="s">
        <v>652</v>
      </c>
      <c r="E627" s="9" t="s">
        <v>33</v>
      </c>
      <c r="F627" s="7" t="s">
        <v>50</v>
      </c>
      <c r="G627" s="7" t="s">
        <v>51</v>
      </c>
      <c r="H627" s="7" t="s">
        <v>51</v>
      </c>
      <c r="I627" s="9">
        <v>140</v>
      </c>
      <c r="J627" s="9" t="s">
        <v>279</v>
      </c>
      <c r="K627" s="9" t="s">
        <v>53</v>
      </c>
      <c r="L627" s="11">
        <v>2</v>
      </c>
      <c r="M627" s="14">
        <v>8000.0</v>
      </c>
      <c r="N627" s="14"/>
      <c r="O627" s="16">
        <f>IF(M627&gt;0, N627/M627, 0)</f>
        <v>0</v>
      </c>
      <c r="P627" s="14">
        <f>M627-N627</f>
        <v>8000</v>
      </c>
      <c r="Q627" s="14">
        <f>L627*M627</f>
        <v>16000</v>
      </c>
      <c r="R627" s="14">
        <f>L627*N627</f>
        <v>0</v>
      </c>
      <c r="S627" s="14">
        <f>L627*P627</f>
        <v>16000</v>
      </c>
      <c r="T627" s="14"/>
      <c r="U627" s="14">
        <f>L627*T627</f>
        <v>0</v>
      </c>
      <c r="V627" s="14">
        <f>S627-U627</f>
        <v>16000</v>
      </c>
      <c r="W627" s="16">
        <f>IF(S627&gt;0, V627/S627, 0)</f>
        <v>1</v>
      </c>
      <c r="X627" s="7" t="s">
        <v>39</v>
      </c>
      <c r="Y627" s="9" t="s">
        <v>40</v>
      </c>
      <c r="Z627" s="9" t="s">
        <v>41</v>
      </c>
      <c r="AA627" s="9" t="s">
        <v>42</v>
      </c>
      <c r="AB627" s="7" t="s">
        <v>42</v>
      </c>
    </row>
    <row r="628" spans="1:28">
      <c r="A628" s="8">
        <v>621</v>
      </c>
      <c r="B628" s="8" t="s">
        <v>912</v>
      </c>
      <c r="C628" s="8" t="s">
        <v>843</v>
      </c>
      <c r="D628" s="8" t="s">
        <v>652</v>
      </c>
      <c r="E628" s="8" t="s">
        <v>33</v>
      </c>
      <c r="F628" s="6" t="s">
        <v>50</v>
      </c>
      <c r="G628" s="6" t="s">
        <v>35</v>
      </c>
      <c r="H628" s="6" t="s">
        <v>73</v>
      </c>
      <c r="I628" s="8">
        <v>152</v>
      </c>
      <c r="J628" s="8" t="s">
        <v>605</v>
      </c>
      <c r="K628" s="8" t="s">
        <v>53</v>
      </c>
      <c r="L628" s="10">
        <v>1</v>
      </c>
      <c r="M628" s="13">
        <v>8000.0</v>
      </c>
      <c r="N628" s="13"/>
      <c r="O628" s="15">
        <f>IF(M628&gt;0, N628/M628, 0)</f>
        <v>0</v>
      </c>
      <c r="P628" s="13">
        <f>M628-N628</f>
        <v>8000</v>
      </c>
      <c r="Q628" s="13">
        <f>L628*M628</f>
        <v>8000</v>
      </c>
      <c r="R628" s="13">
        <f>L628*N628</f>
        <v>0</v>
      </c>
      <c r="S628" s="13">
        <f>L628*P628</f>
        <v>8000</v>
      </c>
      <c r="T628" s="13"/>
      <c r="U628" s="13">
        <f>L628*T628</f>
        <v>0</v>
      </c>
      <c r="V628" s="13">
        <f>S628-U628</f>
        <v>8000</v>
      </c>
      <c r="W628" s="15">
        <f>IF(S628&gt;0, V628/S628, 0)</f>
        <v>1</v>
      </c>
      <c r="X628" s="6" t="s">
        <v>39</v>
      </c>
      <c r="Y628" s="8" t="s">
        <v>40</v>
      </c>
      <c r="Z628" s="8" t="s">
        <v>41</v>
      </c>
      <c r="AA628" s="8" t="s">
        <v>42</v>
      </c>
      <c r="AB628" s="6" t="s">
        <v>42</v>
      </c>
    </row>
    <row r="629" spans="1:28">
      <c r="A629" s="9">
        <v>622</v>
      </c>
      <c r="B629" s="9" t="s">
        <v>913</v>
      </c>
      <c r="C629" s="9" t="s">
        <v>843</v>
      </c>
      <c r="D629" s="9" t="s">
        <v>652</v>
      </c>
      <c r="E629" s="9" t="s">
        <v>33</v>
      </c>
      <c r="F629" s="7" t="s">
        <v>50</v>
      </c>
      <c r="G629" s="7" t="s">
        <v>35</v>
      </c>
      <c r="H629" s="7" t="s">
        <v>73</v>
      </c>
      <c r="I629" s="9">
        <v>140</v>
      </c>
      <c r="J629" s="9" t="s">
        <v>570</v>
      </c>
      <c r="K629" s="9" t="s">
        <v>53</v>
      </c>
      <c r="L629" s="11">
        <v>1</v>
      </c>
      <c r="M629" s="14">
        <v>8000.0</v>
      </c>
      <c r="N629" s="14"/>
      <c r="O629" s="16">
        <f>IF(M629&gt;0, N629/M629, 0)</f>
        <v>0</v>
      </c>
      <c r="P629" s="14">
        <f>M629-N629</f>
        <v>8000</v>
      </c>
      <c r="Q629" s="14">
        <f>L629*M629</f>
        <v>8000</v>
      </c>
      <c r="R629" s="14">
        <f>L629*N629</f>
        <v>0</v>
      </c>
      <c r="S629" s="14">
        <f>L629*P629</f>
        <v>8000</v>
      </c>
      <c r="T629" s="14"/>
      <c r="U629" s="14">
        <f>L629*T629</f>
        <v>0</v>
      </c>
      <c r="V629" s="14">
        <f>S629-U629</f>
        <v>8000</v>
      </c>
      <c r="W629" s="16">
        <f>IF(S629&gt;0, V629/S629, 0)</f>
        <v>1</v>
      </c>
      <c r="X629" s="7" t="s">
        <v>39</v>
      </c>
      <c r="Y629" s="9" t="s">
        <v>40</v>
      </c>
      <c r="Z629" s="9" t="s">
        <v>41</v>
      </c>
      <c r="AA629" s="9" t="s">
        <v>42</v>
      </c>
      <c r="AB629" s="7" t="s">
        <v>42</v>
      </c>
    </row>
    <row r="630" spans="1:28">
      <c r="A630" s="8">
        <v>623</v>
      </c>
      <c r="B630" s="8" t="s">
        <v>914</v>
      </c>
      <c r="C630" s="8" t="s">
        <v>843</v>
      </c>
      <c r="D630" s="8" t="s">
        <v>652</v>
      </c>
      <c r="E630" s="8" t="s">
        <v>33</v>
      </c>
      <c r="F630" s="6" t="s">
        <v>50</v>
      </c>
      <c r="G630" s="6" t="s">
        <v>35</v>
      </c>
      <c r="H630" s="6" t="s">
        <v>36</v>
      </c>
      <c r="I630" s="8">
        <v>158</v>
      </c>
      <c r="J630" s="8" t="s">
        <v>130</v>
      </c>
      <c r="K630" s="8" t="s">
        <v>53</v>
      </c>
      <c r="L630" s="10">
        <v>2</v>
      </c>
      <c r="M630" s="13">
        <v>7000.0</v>
      </c>
      <c r="N630" s="13"/>
      <c r="O630" s="15">
        <f>IF(M630&gt;0, N630/M630, 0)</f>
        <v>0</v>
      </c>
      <c r="P630" s="13">
        <f>M630-N630</f>
        <v>7000</v>
      </c>
      <c r="Q630" s="13">
        <f>L630*M630</f>
        <v>14000</v>
      </c>
      <c r="R630" s="13">
        <f>L630*N630</f>
        <v>0</v>
      </c>
      <c r="S630" s="13">
        <f>L630*P630</f>
        <v>14000</v>
      </c>
      <c r="T630" s="13"/>
      <c r="U630" s="13">
        <f>L630*T630</f>
        <v>0</v>
      </c>
      <c r="V630" s="13">
        <f>S630-U630</f>
        <v>14000</v>
      </c>
      <c r="W630" s="15">
        <f>IF(S630&gt;0, V630/S630, 0)</f>
        <v>1</v>
      </c>
      <c r="X630" s="6" t="s">
        <v>39</v>
      </c>
      <c r="Y630" s="8" t="s">
        <v>40</v>
      </c>
      <c r="Z630" s="8" t="s">
        <v>41</v>
      </c>
      <c r="AA630" s="8" t="s">
        <v>42</v>
      </c>
      <c r="AB630" s="6" t="s">
        <v>42</v>
      </c>
    </row>
    <row r="631" spans="1:28">
      <c r="A631" s="9">
        <v>624</v>
      </c>
      <c r="B631" s="9" t="s">
        <v>915</v>
      </c>
      <c r="C631" s="9" t="s">
        <v>843</v>
      </c>
      <c r="D631" s="9" t="s">
        <v>652</v>
      </c>
      <c r="E631" s="9" t="s">
        <v>33</v>
      </c>
      <c r="F631" s="7" t="s">
        <v>50</v>
      </c>
      <c r="G631" s="7" t="s">
        <v>35</v>
      </c>
      <c r="H631" s="7" t="s">
        <v>36</v>
      </c>
      <c r="I631" s="9">
        <v>146</v>
      </c>
      <c r="J631" s="9" t="s">
        <v>257</v>
      </c>
      <c r="K631" s="9" t="s">
        <v>53</v>
      </c>
      <c r="L631" s="11">
        <v>2</v>
      </c>
      <c r="M631" s="14">
        <v>7000.0</v>
      </c>
      <c r="N631" s="14"/>
      <c r="O631" s="16">
        <f>IF(M631&gt;0, N631/M631, 0)</f>
        <v>0</v>
      </c>
      <c r="P631" s="14">
        <f>M631-N631</f>
        <v>7000</v>
      </c>
      <c r="Q631" s="14">
        <f>L631*M631</f>
        <v>14000</v>
      </c>
      <c r="R631" s="14">
        <f>L631*N631</f>
        <v>0</v>
      </c>
      <c r="S631" s="14">
        <f>L631*P631</f>
        <v>14000</v>
      </c>
      <c r="T631" s="14"/>
      <c r="U631" s="14">
        <f>L631*T631</f>
        <v>0</v>
      </c>
      <c r="V631" s="14">
        <f>S631-U631</f>
        <v>14000</v>
      </c>
      <c r="W631" s="16">
        <f>IF(S631&gt;0, V631/S631, 0)</f>
        <v>1</v>
      </c>
      <c r="X631" s="7" t="s">
        <v>39</v>
      </c>
      <c r="Y631" s="9" t="s">
        <v>40</v>
      </c>
      <c r="Z631" s="9" t="s">
        <v>41</v>
      </c>
      <c r="AA631" s="9" t="s">
        <v>42</v>
      </c>
      <c r="AB631" s="7" t="s">
        <v>42</v>
      </c>
    </row>
    <row r="632" spans="1:28">
      <c r="A632" s="8">
        <v>625</v>
      </c>
      <c r="B632" s="8" t="s">
        <v>916</v>
      </c>
      <c r="C632" s="8" t="s">
        <v>843</v>
      </c>
      <c r="D632" s="8" t="s">
        <v>652</v>
      </c>
      <c r="E632" s="8" t="s">
        <v>33</v>
      </c>
      <c r="F632" s="6" t="s">
        <v>34</v>
      </c>
      <c r="G632" s="6" t="s">
        <v>69</v>
      </c>
      <c r="H632" s="6" t="s">
        <v>69</v>
      </c>
      <c r="I632" s="8">
        <v>188</v>
      </c>
      <c r="J632" s="8" t="s">
        <v>917</v>
      </c>
      <c r="K632" s="8" t="s">
        <v>38</v>
      </c>
      <c r="L632" s="10">
        <v>1</v>
      </c>
      <c r="M632" s="13">
        <v>16500.0</v>
      </c>
      <c r="N632" s="13"/>
      <c r="O632" s="15">
        <f>IF(M632&gt;0, N632/M632, 0)</f>
        <v>0</v>
      </c>
      <c r="P632" s="13">
        <f>M632-N632</f>
        <v>16500</v>
      </c>
      <c r="Q632" s="13">
        <f>L632*M632</f>
        <v>16500</v>
      </c>
      <c r="R632" s="13">
        <f>L632*N632</f>
        <v>0</v>
      </c>
      <c r="S632" s="13">
        <f>L632*P632</f>
        <v>16500</v>
      </c>
      <c r="T632" s="13"/>
      <c r="U632" s="13">
        <f>L632*T632</f>
        <v>0</v>
      </c>
      <c r="V632" s="13">
        <f>S632-U632</f>
        <v>16500</v>
      </c>
      <c r="W632" s="15">
        <f>IF(S632&gt;0, V632/S632, 0)</f>
        <v>1</v>
      </c>
      <c r="X632" s="6" t="s">
        <v>39</v>
      </c>
      <c r="Y632" s="8" t="s">
        <v>40</v>
      </c>
      <c r="Z632" s="8" t="s">
        <v>41</v>
      </c>
      <c r="AA632" s="8" t="s">
        <v>42</v>
      </c>
      <c r="AB632" s="6" t="s">
        <v>42</v>
      </c>
    </row>
    <row r="633" spans="1:28">
      <c r="A633" s="9">
        <v>626</v>
      </c>
      <c r="B633" s="9" t="s">
        <v>918</v>
      </c>
      <c r="C633" s="9" t="s">
        <v>843</v>
      </c>
      <c r="D633" s="9" t="s">
        <v>652</v>
      </c>
      <c r="E633" s="9" t="s">
        <v>33</v>
      </c>
      <c r="F633" s="7" t="s">
        <v>50</v>
      </c>
      <c r="G633" s="7" t="s">
        <v>69</v>
      </c>
      <c r="H633" s="7" t="s">
        <v>69</v>
      </c>
      <c r="I633" s="9">
        <v>152</v>
      </c>
      <c r="J633" s="9" t="s">
        <v>350</v>
      </c>
      <c r="K633" s="9" t="s">
        <v>38</v>
      </c>
      <c r="L633" s="11">
        <v>1</v>
      </c>
      <c r="M633" s="14">
        <v>16000.0</v>
      </c>
      <c r="N633" s="14"/>
      <c r="O633" s="16">
        <f>IF(M633&gt;0, N633/M633, 0)</f>
        <v>0</v>
      </c>
      <c r="P633" s="14">
        <f>M633-N633</f>
        <v>16000</v>
      </c>
      <c r="Q633" s="14">
        <f>L633*M633</f>
        <v>16000</v>
      </c>
      <c r="R633" s="14">
        <f>L633*N633</f>
        <v>0</v>
      </c>
      <c r="S633" s="14">
        <f>L633*P633</f>
        <v>16000</v>
      </c>
      <c r="T633" s="14"/>
      <c r="U633" s="14">
        <f>L633*T633</f>
        <v>0</v>
      </c>
      <c r="V633" s="14">
        <f>S633-U633</f>
        <v>16000</v>
      </c>
      <c r="W633" s="16">
        <f>IF(S633&gt;0, V633/S633, 0)</f>
        <v>1</v>
      </c>
      <c r="X633" s="7" t="s">
        <v>39</v>
      </c>
      <c r="Y633" s="9" t="s">
        <v>40</v>
      </c>
      <c r="Z633" s="9" t="s">
        <v>41</v>
      </c>
      <c r="AA633" s="9" t="s">
        <v>42</v>
      </c>
      <c r="AB633" s="7" t="s">
        <v>42</v>
      </c>
    </row>
    <row r="634" spans="1:28">
      <c r="A634" s="8">
        <v>627</v>
      </c>
      <c r="B634" s="8" t="s">
        <v>919</v>
      </c>
      <c r="C634" s="8" t="s">
        <v>843</v>
      </c>
      <c r="D634" s="8" t="s">
        <v>652</v>
      </c>
      <c r="E634" s="8" t="s">
        <v>33</v>
      </c>
      <c r="F634" s="6" t="s">
        <v>50</v>
      </c>
      <c r="G634" s="6" t="s">
        <v>69</v>
      </c>
      <c r="H634" s="6" t="s">
        <v>69</v>
      </c>
      <c r="I634" s="8">
        <v>140</v>
      </c>
      <c r="J634" s="8" t="s">
        <v>225</v>
      </c>
      <c r="K634" s="8" t="s">
        <v>38</v>
      </c>
      <c r="L634" s="10">
        <v>1</v>
      </c>
      <c r="M634" s="13">
        <v>16000.0</v>
      </c>
      <c r="N634" s="13"/>
      <c r="O634" s="15">
        <f>IF(M634&gt;0, N634/M634, 0)</f>
        <v>0</v>
      </c>
      <c r="P634" s="13">
        <f>M634-N634</f>
        <v>16000</v>
      </c>
      <c r="Q634" s="13">
        <f>L634*M634</f>
        <v>16000</v>
      </c>
      <c r="R634" s="13">
        <f>L634*N634</f>
        <v>0</v>
      </c>
      <c r="S634" s="13">
        <f>L634*P634</f>
        <v>16000</v>
      </c>
      <c r="T634" s="13"/>
      <c r="U634" s="13">
        <f>L634*T634</f>
        <v>0</v>
      </c>
      <c r="V634" s="13">
        <f>S634-U634</f>
        <v>16000</v>
      </c>
      <c r="W634" s="15">
        <f>IF(S634&gt;0, V634/S634, 0)</f>
        <v>1</v>
      </c>
      <c r="X634" s="6" t="s">
        <v>39</v>
      </c>
      <c r="Y634" s="8" t="s">
        <v>40</v>
      </c>
      <c r="Z634" s="8" t="s">
        <v>41</v>
      </c>
      <c r="AA634" s="8" t="s">
        <v>42</v>
      </c>
      <c r="AB634" s="6" t="s">
        <v>42</v>
      </c>
    </row>
    <row r="635" spans="1:28">
      <c r="A635" s="9">
        <v>628</v>
      </c>
      <c r="B635" s="9" t="s">
        <v>920</v>
      </c>
      <c r="C635" s="9" t="s">
        <v>843</v>
      </c>
      <c r="D635" s="9" t="s">
        <v>652</v>
      </c>
      <c r="E635" s="9" t="s">
        <v>33</v>
      </c>
      <c r="F635" s="7" t="s">
        <v>34</v>
      </c>
      <c r="G635" s="7" t="s">
        <v>45</v>
      </c>
      <c r="H635" s="7" t="s">
        <v>46</v>
      </c>
      <c r="I635" s="9">
        <v>188</v>
      </c>
      <c r="J635" s="9" t="s">
        <v>512</v>
      </c>
      <c r="K635" s="9" t="s">
        <v>38</v>
      </c>
      <c r="L635" s="11">
        <v>1</v>
      </c>
      <c r="M635" s="14">
        <v>18000.0</v>
      </c>
      <c r="N635" s="14"/>
      <c r="O635" s="16">
        <f>IF(M635&gt;0, N635/M635, 0)</f>
        <v>0</v>
      </c>
      <c r="P635" s="14">
        <f>M635-N635</f>
        <v>18000</v>
      </c>
      <c r="Q635" s="14">
        <f>L635*M635</f>
        <v>18000</v>
      </c>
      <c r="R635" s="14">
        <f>L635*N635</f>
        <v>0</v>
      </c>
      <c r="S635" s="14">
        <f>L635*P635</f>
        <v>18000</v>
      </c>
      <c r="T635" s="14"/>
      <c r="U635" s="14">
        <f>L635*T635</f>
        <v>0</v>
      </c>
      <c r="V635" s="14">
        <f>S635-U635</f>
        <v>18000</v>
      </c>
      <c r="W635" s="16">
        <f>IF(S635&gt;0, V635/S635, 0)</f>
        <v>1</v>
      </c>
      <c r="X635" s="7" t="s">
        <v>39</v>
      </c>
      <c r="Y635" s="9" t="s">
        <v>40</v>
      </c>
      <c r="Z635" s="9" t="s">
        <v>41</v>
      </c>
      <c r="AA635" s="9" t="s">
        <v>42</v>
      </c>
      <c r="AB635" s="7" t="s">
        <v>42</v>
      </c>
    </row>
    <row r="636" spans="1:28">
      <c r="A636" s="8">
        <v>629</v>
      </c>
      <c r="B636" s="8" t="s">
        <v>921</v>
      </c>
      <c r="C636" s="8" t="s">
        <v>843</v>
      </c>
      <c r="D636" s="8" t="s">
        <v>652</v>
      </c>
      <c r="E636" s="8" t="s">
        <v>33</v>
      </c>
      <c r="F636" s="6" t="s">
        <v>50</v>
      </c>
      <c r="G636" s="6" t="s">
        <v>45</v>
      </c>
      <c r="H636" s="6" t="s">
        <v>46</v>
      </c>
      <c r="I636" s="8">
        <v>152</v>
      </c>
      <c r="J636" s="8" t="s">
        <v>411</v>
      </c>
      <c r="K636" s="8" t="s">
        <v>38</v>
      </c>
      <c r="L636" s="10">
        <v>1</v>
      </c>
      <c r="M636" s="13">
        <v>18000.0</v>
      </c>
      <c r="N636" s="13"/>
      <c r="O636" s="15">
        <f>IF(M636&gt;0, N636/M636, 0)</f>
        <v>0</v>
      </c>
      <c r="P636" s="13">
        <f>M636-N636</f>
        <v>18000</v>
      </c>
      <c r="Q636" s="13">
        <f>L636*M636</f>
        <v>18000</v>
      </c>
      <c r="R636" s="13">
        <f>L636*N636</f>
        <v>0</v>
      </c>
      <c r="S636" s="13">
        <f>L636*P636</f>
        <v>18000</v>
      </c>
      <c r="T636" s="13"/>
      <c r="U636" s="13">
        <f>L636*T636</f>
        <v>0</v>
      </c>
      <c r="V636" s="13">
        <f>S636-U636</f>
        <v>18000</v>
      </c>
      <c r="W636" s="15">
        <f>IF(S636&gt;0, V636/S636, 0)</f>
        <v>1</v>
      </c>
      <c r="X636" s="6" t="s">
        <v>39</v>
      </c>
      <c r="Y636" s="8" t="s">
        <v>40</v>
      </c>
      <c r="Z636" s="8" t="s">
        <v>41</v>
      </c>
      <c r="AA636" s="8" t="s">
        <v>42</v>
      </c>
      <c r="AB636" s="6" t="s">
        <v>42</v>
      </c>
    </row>
    <row r="637" spans="1:28">
      <c r="A637" s="9">
        <v>630</v>
      </c>
      <c r="B637" s="9" t="s">
        <v>922</v>
      </c>
      <c r="C637" s="9" t="s">
        <v>843</v>
      </c>
      <c r="D637" s="9" t="s">
        <v>652</v>
      </c>
      <c r="E637" s="9" t="s">
        <v>33</v>
      </c>
      <c r="F637" s="7" t="s">
        <v>50</v>
      </c>
      <c r="G637" s="7" t="s">
        <v>45</v>
      </c>
      <c r="H637" s="7" t="s">
        <v>46</v>
      </c>
      <c r="I637" s="9">
        <v>140</v>
      </c>
      <c r="J637" s="9" t="s">
        <v>414</v>
      </c>
      <c r="K637" s="9" t="s">
        <v>38</v>
      </c>
      <c r="L637" s="11">
        <v>1</v>
      </c>
      <c r="M637" s="14">
        <v>18000.0</v>
      </c>
      <c r="N637" s="14"/>
      <c r="O637" s="16">
        <f>IF(M637&gt;0, N637/M637, 0)</f>
        <v>0</v>
      </c>
      <c r="P637" s="14">
        <f>M637-N637</f>
        <v>18000</v>
      </c>
      <c r="Q637" s="14">
        <f>L637*M637</f>
        <v>18000</v>
      </c>
      <c r="R637" s="14">
        <f>L637*N637</f>
        <v>0</v>
      </c>
      <c r="S637" s="14">
        <f>L637*P637</f>
        <v>18000</v>
      </c>
      <c r="T637" s="14"/>
      <c r="U637" s="14">
        <f>L637*T637</f>
        <v>0</v>
      </c>
      <c r="V637" s="14">
        <f>S637-U637</f>
        <v>18000</v>
      </c>
      <c r="W637" s="16">
        <f>IF(S637&gt;0, V637/S637, 0)</f>
        <v>1</v>
      </c>
      <c r="X637" s="7" t="s">
        <v>39</v>
      </c>
      <c r="Y637" s="9" t="s">
        <v>40</v>
      </c>
      <c r="Z637" s="9" t="s">
        <v>41</v>
      </c>
      <c r="AA637" s="9" t="s">
        <v>42</v>
      </c>
      <c r="AB637" s="7" t="s">
        <v>42</v>
      </c>
    </row>
    <row r="638" spans="1:28">
      <c r="A638" s="8">
        <v>631</v>
      </c>
      <c r="B638" s="8" t="s">
        <v>923</v>
      </c>
      <c r="C638" s="8" t="s">
        <v>843</v>
      </c>
      <c r="D638" s="8" t="s">
        <v>652</v>
      </c>
      <c r="E638" s="8" t="s">
        <v>33</v>
      </c>
      <c r="F638" s="6" t="s">
        <v>50</v>
      </c>
      <c r="G638" s="6" t="s">
        <v>69</v>
      </c>
      <c r="H638" s="6" t="s">
        <v>69</v>
      </c>
      <c r="I638" s="8">
        <v>140</v>
      </c>
      <c r="J638" s="8" t="s">
        <v>225</v>
      </c>
      <c r="K638" s="8" t="s">
        <v>38</v>
      </c>
      <c r="L638" s="10">
        <v>1</v>
      </c>
      <c r="M638" s="13">
        <v>16000.0</v>
      </c>
      <c r="N638" s="13"/>
      <c r="O638" s="15">
        <f>IF(M638&gt;0, N638/M638, 0)</f>
        <v>0</v>
      </c>
      <c r="P638" s="13">
        <f>M638-N638</f>
        <v>16000</v>
      </c>
      <c r="Q638" s="13">
        <f>L638*M638</f>
        <v>16000</v>
      </c>
      <c r="R638" s="13">
        <f>L638*N638</f>
        <v>0</v>
      </c>
      <c r="S638" s="13">
        <f>L638*P638</f>
        <v>16000</v>
      </c>
      <c r="T638" s="13"/>
      <c r="U638" s="13">
        <f>L638*T638</f>
        <v>0</v>
      </c>
      <c r="V638" s="13">
        <f>S638-U638</f>
        <v>16000</v>
      </c>
      <c r="W638" s="15">
        <f>IF(S638&gt;0, V638/S638, 0)</f>
        <v>1</v>
      </c>
      <c r="X638" s="6" t="s">
        <v>39</v>
      </c>
      <c r="Y638" s="8" t="s">
        <v>40</v>
      </c>
      <c r="Z638" s="8" t="s">
        <v>41</v>
      </c>
      <c r="AA638" s="8" t="s">
        <v>42</v>
      </c>
      <c r="AB638" s="6" t="s">
        <v>42</v>
      </c>
    </row>
    <row r="639" spans="1:28">
      <c r="A639" s="9">
        <v>632</v>
      </c>
      <c r="B639" s="9" t="s">
        <v>924</v>
      </c>
      <c r="C639" s="9" t="s">
        <v>843</v>
      </c>
      <c r="D639" s="9" t="s">
        <v>652</v>
      </c>
      <c r="E639" s="9" t="s">
        <v>33</v>
      </c>
      <c r="F639" s="7" t="s">
        <v>50</v>
      </c>
      <c r="G639" s="7" t="s">
        <v>51</v>
      </c>
      <c r="H639" s="7" t="s">
        <v>51</v>
      </c>
      <c r="I639" s="9">
        <v>134</v>
      </c>
      <c r="J639" s="9" t="s">
        <v>175</v>
      </c>
      <c r="K639" s="9" t="s">
        <v>53</v>
      </c>
      <c r="L639" s="11">
        <v>1</v>
      </c>
      <c r="M639" s="14">
        <v>8000.0</v>
      </c>
      <c r="N639" s="14"/>
      <c r="O639" s="16">
        <f>IF(M639&gt;0, N639/M639, 0)</f>
        <v>0</v>
      </c>
      <c r="P639" s="14">
        <f>M639-N639</f>
        <v>8000</v>
      </c>
      <c r="Q639" s="14">
        <f>L639*M639</f>
        <v>8000</v>
      </c>
      <c r="R639" s="14">
        <f>L639*N639</f>
        <v>0</v>
      </c>
      <c r="S639" s="14">
        <f>L639*P639</f>
        <v>8000</v>
      </c>
      <c r="T639" s="14"/>
      <c r="U639" s="14">
        <f>L639*T639</f>
        <v>0</v>
      </c>
      <c r="V639" s="14">
        <f>S639-U639</f>
        <v>8000</v>
      </c>
      <c r="W639" s="16">
        <f>IF(S639&gt;0, V639/S639, 0)</f>
        <v>1</v>
      </c>
      <c r="X639" s="7" t="s">
        <v>39</v>
      </c>
      <c r="Y639" s="9" t="s">
        <v>40</v>
      </c>
      <c r="Z639" s="9" t="s">
        <v>41</v>
      </c>
      <c r="AA639" s="9" t="s">
        <v>42</v>
      </c>
      <c r="AB639" s="7" t="s">
        <v>42</v>
      </c>
    </row>
    <row r="640" spans="1:28">
      <c r="A640" s="8">
        <v>633</v>
      </c>
      <c r="B640" s="8" t="s">
        <v>925</v>
      </c>
      <c r="C640" s="8" t="s">
        <v>843</v>
      </c>
      <c r="D640" s="8" t="s">
        <v>652</v>
      </c>
      <c r="E640" s="8" t="s">
        <v>33</v>
      </c>
      <c r="F640" s="6" t="s">
        <v>50</v>
      </c>
      <c r="G640" s="6" t="s">
        <v>51</v>
      </c>
      <c r="H640" s="6" t="s">
        <v>51</v>
      </c>
      <c r="I640" s="8">
        <v>140</v>
      </c>
      <c r="J640" s="8" t="s">
        <v>279</v>
      </c>
      <c r="K640" s="8" t="s">
        <v>53</v>
      </c>
      <c r="L640" s="10">
        <v>1</v>
      </c>
      <c r="M640" s="13">
        <v>8000.0</v>
      </c>
      <c r="N640" s="13"/>
      <c r="O640" s="15">
        <f>IF(M640&gt;0, N640/M640, 0)</f>
        <v>0</v>
      </c>
      <c r="P640" s="13">
        <f>M640-N640</f>
        <v>8000</v>
      </c>
      <c r="Q640" s="13">
        <f>L640*M640</f>
        <v>8000</v>
      </c>
      <c r="R640" s="13">
        <f>L640*N640</f>
        <v>0</v>
      </c>
      <c r="S640" s="13">
        <f>L640*P640</f>
        <v>8000</v>
      </c>
      <c r="T640" s="13"/>
      <c r="U640" s="13">
        <f>L640*T640</f>
        <v>0</v>
      </c>
      <c r="V640" s="13">
        <f>S640-U640</f>
        <v>8000</v>
      </c>
      <c r="W640" s="15">
        <f>IF(S640&gt;0, V640/S640, 0)</f>
        <v>1</v>
      </c>
      <c r="X640" s="6" t="s">
        <v>39</v>
      </c>
      <c r="Y640" s="8" t="s">
        <v>40</v>
      </c>
      <c r="Z640" s="8" t="s">
        <v>41</v>
      </c>
      <c r="AA640" s="8" t="s">
        <v>42</v>
      </c>
      <c r="AB640" s="6" t="s">
        <v>42</v>
      </c>
    </row>
    <row r="641" spans="1:28">
      <c r="A641" s="9">
        <v>634</v>
      </c>
      <c r="B641" s="9" t="s">
        <v>926</v>
      </c>
      <c r="C641" s="9" t="s">
        <v>843</v>
      </c>
      <c r="D641" s="9" t="s">
        <v>652</v>
      </c>
      <c r="E641" s="9" t="s">
        <v>33</v>
      </c>
      <c r="F641" s="7" t="s">
        <v>50</v>
      </c>
      <c r="G641" s="7" t="s">
        <v>35</v>
      </c>
      <c r="H641" s="7" t="s">
        <v>73</v>
      </c>
      <c r="I641" s="9">
        <v>140</v>
      </c>
      <c r="J641" s="9" t="s">
        <v>570</v>
      </c>
      <c r="K641" s="9" t="s">
        <v>53</v>
      </c>
      <c r="L641" s="11">
        <v>1</v>
      </c>
      <c r="M641" s="14">
        <v>8000.0</v>
      </c>
      <c r="N641" s="14"/>
      <c r="O641" s="16">
        <f>IF(M641&gt;0, N641/M641, 0)</f>
        <v>0</v>
      </c>
      <c r="P641" s="14">
        <f>M641-N641</f>
        <v>8000</v>
      </c>
      <c r="Q641" s="14">
        <f>L641*M641</f>
        <v>8000</v>
      </c>
      <c r="R641" s="14">
        <f>L641*N641</f>
        <v>0</v>
      </c>
      <c r="S641" s="14">
        <f>L641*P641</f>
        <v>8000</v>
      </c>
      <c r="T641" s="14"/>
      <c r="U641" s="14">
        <f>L641*T641</f>
        <v>0</v>
      </c>
      <c r="V641" s="14">
        <f>S641-U641</f>
        <v>8000</v>
      </c>
      <c r="W641" s="16">
        <f>IF(S641&gt;0, V641/S641, 0)</f>
        <v>1</v>
      </c>
      <c r="X641" s="7" t="s">
        <v>39</v>
      </c>
      <c r="Y641" s="9" t="s">
        <v>40</v>
      </c>
      <c r="Z641" s="9" t="s">
        <v>41</v>
      </c>
      <c r="AA641" s="9" t="s">
        <v>42</v>
      </c>
      <c r="AB641" s="7" t="s">
        <v>42</v>
      </c>
    </row>
    <row r="642" spans="1:28">
      <c r="A642" s="8">
        <v>635</v>
      </c>
      <c r="B642" s="8" t="s">
        <v>927</v>
      </c>
      <c r="C642" s="8" t="s">
        <v>843</v>
      </c>
      <c r="D642" s="8" t="s">
        <v>652</v>
      </c>
      <c r="E642" s="8" t="s">
        <v>33</v>
      </c>
      <c r="F642" s="6" t="s">
        <v>50</v>
      </c>
      <c r="G642" s="6" t="s">
        <v>35</v>
      </c>
      <c r="H642" s="6" t="s">
        <v>36</v>
      </c>
      <c r="I642" s="8">
        <v>140</v>
      </c>
      <c r="J642" s="8" t="s">
        <v>223</v>
      </c>
      <c r="K642" s="8" t="s">
        <v>53</v>
      </c>
      <c r="L642" s="10">
        <v>2</v>
      </c>
      <c r="M642" s="13">
        <v>7000.0</v>
      </c>
      <c r="N642" s="13"/>
      <c r="O642" s="15">
        <f>IF(M642&gt;0, N642/M642, 0)</f>
        <v>0</v>
      </c>
      <c r="P642" s="13">
        <f>M642-N642</f>
        <v>7000</v>
      </c>
      <c r="Q642" s="13">
        <f>L642*M642</f>
        <v>14000</v>
      </c>
      <c r="R642" s="13">
        <f>L642*N642</f>
        <v>0</v>
      </c>
      <c r="S642" s="13">
        <f>L642*P642</f>
        <v>14000</v>
      </c>
      <c r="T642" s="13"/>
      <c r="U642" s="13">
        <f>L642*T642</f>
        <v>0</v>
      </c>
      <c r="V642" s="13">
        <f>S642-U642</f>
        <v>14000</v>
      </c>
      <c r="W642" s="15">
        <f>IF(S642&gt;0, V642/S642, 0)</f>
        <v>1</v>
      </c>
      <c r="X642" s="6" t="s">
        <v>39</v>
      </c>
      <c r="Y642" s="8" t="s">
        <v>40</v>
      </c>
      <c r="Z642" s="8" t="s">
        <v>41</v>
      </c>
      <c r="AA642" s="8" t="s">
        <v>42</v>
      </c>
      <c r="AB642" s="6" t="s">
        <v>42</v>
      </c>
    </row>
    <row r="643" spans="1:28">
      <c r="A643" s="9">
        <v>636</v>
      </c>
      <c r="B643" s="9" t="s">
        <v>928</v>
      </c>
      <c r="C643" s="9" t="s">
        <v>843</v>
      </c>
      <c r="D643" s="9" t="s">
        <v>652</v>
      </c>
      <c r="E643" s="9" t="s">
        <v>68</v>
      </c>
      <c r="F643" s="7" t="s">
        <v>50</v>
      </c>
      <c r="G643" s="7" t="s">
        <v>63</v>
      </c>
      <c r="H643" s="7" t="s">
        <v>148</v>
      </c>
      <c r="I643" s="9">
        <v>146</v>
      </c>
      <c r="J643" s="9" t="s">
        <v>167</v>
      </c>
      <c r="K643" s="9" t="s">
        <v>38</v>
      </c>
      <c r="L643" s="11">
        <v>2</v>
      </c>
      <c r="M643" s="14">
        <v>10000.0</v>
      </c>
      <c r="N643" s="14"/>
      <c r="O643" s="16">
        <f>IF(M643&gt;0, N643/M643, 0)</f>
        <v>0</v>
      </c>
      <c r="P643" s="14">
        <f>M643-N643</f>
        <v>10000</v>
      </c>
      <c r="Q643" s="14">
        <f>L643*M643</f>
        <v>20000</v>
      </c>
      <c r="R643" s="14">
        <f>L643*N643</f>
        <v>0</v>
      </c>
      <c r="S643" s="14">
        <f>L643*P643</f>
        <v>20000</v>
      </c>
      <c r="T643" s="14"/>
      <c r="U643" s="14">
        <f>L643*T643</f>
        <v>0</v>
      </c>
      <c r="V643" s="14">
        <f>S643-U643</f>
        <v>20000</v>
      </c>
      <c r="W643" s="16">
        <f>IF(S643&gt;0, V643/S643, 0)</f>
        <v>1</v>
      </c>
      <c r="X643" s="7" t="s">
        <v>39</v>
      </c>
      <c r="Y643" s="9" t="s">
        <v>40</v>
      </c>
      <c r="Z643" s="9" t="s">
        <v>71</v>
      </c>
      <c r="AA643" s="9" t="s">
        <v>42</v>
      </c>
      <c r="AB643" s="7" t="s">
        <v>42</v>
      </c>
    </row>
    <row r="644" spans="1:28">
      <c r="A644" s="8">
        <v>637</v>
      </c>
      <c r="B644" s="8" t="s">
        <v>929</v>
      </c>
      <c r="C644" s="8" t="s">
        <v>843</v>
      </c>
      <c r="D644" s="8" t="s">
        <v>652</v>
      </c>
      <c r="E644" s="8" t="s">
        <v>68</v>
      </c>
      <c r="F644" s="6" t="s">
        <v>50</v>
      </c>
      <c r="G644" s="6" t="s">
        <v>63</v>
      </c>
      <c r="H644" s="6" t="s">
        <v>148</v>
      </c>
      <c r="I644" s="8">
        <v>158</v>
      </c>
      <c r="J644" s="8" t="s">
        <v>434</v>
      </c>
      <c r="K644" s="8" t="s">
        <v>38</v>
      </c>
      <c r="L644" s="10">
        <v>1</v>
      </c>
      <c r="M644" s="13">
        <v>10000.0</v>
      </c>
      <c r="N644" s="13"/>
      <c r="O644" s="15">
        <f>IF(M644&gt;0, N644/M644, 0)</f>
        <v>0</v>
      </c>
      <c r="P644" s="13">
        <f>M644-N644</f>
        <v>10000</v>
      </c>
      <c r="Q644" s="13">
        <f>L644*M644</f>
        <v>10000</v>
      </c>
      <c r="R644" s="13">
        <f>L644*N644</f>
        <v>0</v>
      </c>
      <c r="S644" s="13">
        <f>L644*P644</f>
        <v>10000</v>
      </c>
      <c r="T644" s="13"/>
      <c r="U644" s="13">
        <f>L644*T644</f>
        <v>0</v>
      </c>
      <c r="V644" s="13">
        <f>S644-U644</f>
        <v>10000</v>
      </c>
      <c r="W644" s="15">
        <f>IF(S644&gt;0, V644/S644, 0)</f>
        <v>1</v>
      </c>
      <c r="X644" s="6" t="s">
        <v>39</v>
      </c>
      <c r="Y644" s="8" t="s">
        <v>40</v>
      </c>
      <c r="Z644" s="8" t="s">
        <v>71</v>
      </c>
      <c r="AA644" s="8" t="s">
        <v>42</v>
      </c>
      <c r="AB644" s="6" t="s">
        <v>42</v>
      </c>
    </row>
    <row r="645" spans="1:28">
      <c r="A645" s="9">
        <v>638</v>
      </c>
      <c r="B645" s="9" t="s">
        <v>930</v>
      </c>
      <c r="C645" s="9" t="s">
        <v>843</v>
      </c>
      <c r="D645" s="9" t="s">
        <v>652</v>
      </c>
      <c r="E645" s="9" t="s">
        <v>33</v>
      </c>
      <c r="F645" s="7" t="s">
        <v>50</v>
      </c>
      <c r="G645" s="7" t="s">
        <v>51</v>
      </c>
      <c r="H645" s="7" t="s">
        <v>51</v>
      </c>
      <c r="I645" s="9">
        <v>146</v>
      </c>
      <c r="J645" s="9" t="s">
        <v>254</v>
      </c>
      <c r="K645" s="9" t="s">
        <v>53</v>
      </c>
      <c r="L645" s="11">
        <v>2</v>
      </c>
      <c r="M645" s="14">
        <v>8000.0</v>
      </c>
      <c r="N645" s="14"/>
      <c r="O645" s="16">
        <f>IF(M645&gt;0, N645/M645, 0)</f>
        <v>0</v>
      </c>
      <c r="P645" s="14">
        <f>M645-N645</f>
        <v>8000</v>
      </c>
      <c r="Q645" s="14">
        <f>L645*M645</f>
        <v>16000</v>
      </c>
      <c r="R645" s="14">
        <f>L645*N645</f>
        <v>0</v>
      </c>
      <c r="S645" s="14">
        <f>L645*P645</f>
        <v>16000</v>
      </c>
      <c r="T645" s="14"/>
      <c r="U645" s="14">
        <f>L645*T645</f>
        <v>0</v>
      </c>
      <c r="V645" s="14">
        <f>S645-U645</f>
        <v>16000</v>
      </c>
      <c r="W645" s="16">
        <f>IF(S645&gt;0, V645/S645, 0)</f>
        <v>1</v>
      </c>
      <c r="X645" s="7" t="s">
        <v>39</v>
      </c>
      <c r="Y645" s="9" t="s">
        <v>40</v>
      </c>
      <c r="Z645" s="9" t="s">
        <v>41</v>
      </c>
      <c r="AA645" s="9" t="s">
        <v>42</v>
      </c>
      <c r="AB645" s="7" t="s">
        <v>42</v>
      </c>
    </row>
    <row r="646" spans="1:28">
      <c r="A646" s="8">
        <v>639</v>
      </c>
      <c r="B646" s="8" t="s">
        <v>931</v>
      </c>
      <c r="C646" s="8" t="s">
        <v>843</v>
      </c>
      <c r="D646" s="8" t="s">
        <v>652</v>
      </c>
      <c r="E646" s="8" t="s">
        <v>33</v>
      </c>
      <c r="F646" s="6" t="s">
        <v>34</v>
      </c>
      <c r="G646" s="6" t="s">
        <v>51</v>
      </c>
      <c r="H646" s="6" t="s">
        <v>51</v>
      </c>
      <c r="I646" s="8">
        <v>158</v>
      </c>
      <c r="J646" s="8" t="s">
        <v>122</v>
      </c>
      <c r="K646" s="8" t="s">
        <v>38</v>
      </c>
      <c r="L646" s="10">
        <v>1</v>
      </c>
      <c r="M646" s="13">
        <v>8500.0</v>
      </c>
      <c r="N646" s="13"/>
      <c r="O646" s="15">
        <f>IF(M646&gt;0, N646/M646, 0)</f>
        <v>0</v>
      </c>
      <c r="P646" s="13">
        <f>M646-N646</f>
        <v>8500</v>
      </c>
      <c r="Q646" s="13">
        <f>L646*M646</f>
        <v>8500</v>
      </c>
      <c r="R646" s="13">
        <f>L646*N646</f>
        <v>0</v>
      </c>
      <c r="S646" s="13">
        <f>L646*P646</f>
        <v>8500</v>
      </c>
      <c r="T646" s="13"/>
      <c r="U646" s="13">
        <f>L646*T646</f>
        <v>0</v>
      </c>
      <c r="V646" s="13">
        <f>S646-U646</f>
        <v>8500</v>
      </c>
      <c r="W646" s="15">
        <f>IF(S646&gt;0, V646/S646, 0)</f>
        <v>1</v>
      </c>
      <c r="X646" s="6" t="s">
        <v>39</v>
      </c>
      <c r="Y646" s="8" t="s">
        <v>40</v>
      </c>
      <c r="Z646" s="8" t="s">
        <v>41</v>
      </c>
      <c r="AA646" s="8" t="s">
        <v>42</v>
      </c>
      <c r="AB646" s="6" t="s">
        <v>42</v>
      </c>
    </row>
    <row r="647" spans="1:28">
      <c r="A647" s="9">
        <v>640</v>
      </c>
      <c r="B647" s="9" t="s">
        <v>932</v>
      </c>
      <c r="C647" s="9" t="s">
        <v>843</v>
      </c>
      <c r="D647" s="9" t="s">
        <v>652</v>
      </c>
      <c r="E647" s="9" t="s">
        <v>33</v>
      </c>
      <c r="F647" s="7" t="s">
        <v>50</v>
      </c>
      <c r="G647" s="7" t="s">
        <v>69</v>
      </c>
      <c r="H647" s="7" t="s">
        <v>69</v>
      </c>
      <c r="I647" s="9">
        <v>146</v>
      </c>
      <c r="J647" s="9" t="s">
        <v>382</v>
      </c>
      <c r="K647" s="9" t="s">
        <v>38</v>
      </c>
      <c r="L647" s="11">
        <v>2</v>
      </c>
      <c r="M647" s="14">
        <v>16000.0</v>
      </c>
      <c r="N647" s="14"/>
      <c r="O647" s="16">
        <f>IF(M647&gt;0, N647/M647, 0)</f>
        <v>0</v>
      </c>
      <c r="P647" s="14">
        <f>M647-N647</f>
        <v>16000</v>
      </c>
      <c r="Q647" s="14">
        <f>L647*M647</f>
        <v>32000</v>
      </c>
      <c r="R647" s="14">
        <f>L647*N647</f>
        <v>0</v>
      </c>
      <c r="S647" s="14">
        <f>L647*P647</f>
        <v>32000</v>
      </c>
      <c r="T647" s="14"/>
      <c r="U647" s="14">
        <f>L647*T647</f>
        <v>0</v>
      </c>
      <c r="V647" s="14">
        <f>S647-U647</f>
        <v>32000</v>
      </c>
      <c r="W647" s="16">
        <f>IF(S647&gt;0, V647/S647, 0)</f>
        <v>1</v>
      </c>
      <c r="X647" s="7" t="s">
        <v>39</v>
      </c>
      <c r="Y647" s="9" t="s">
        <v>40</v>
      </c>
      <c r="Z647" s="9" t="s">
        <v>41</v>
      </c>
      <c r="AA647" s="9" t="s">
        <v>42</v>
      </c>
      <c r="AB647" s="7" t="s">
        <v>42</v>
      </c>
    </row>
    <row r="648" spans="1:28">
      <c r="A648" s="8">
        <v>641</v>
      </c>
      <c r="B648" s="8" t="s">
        <v>933</v>
      </c>
      <c r="C648" s="8" t="s">
        <v>843</v>
      </c>
      <c r="D648" s="8" t="s">
        <v>652</v>
      </c>
      <c r="E648" s="8" t="s">
        <v>33</v>
      </c>
      <c r="F648" s="6" t="s">
        <v>34</v>
      </c>
      <c r="G648" s="6" t="s">
        <v>45</v>
      </c>
      <c r="H648" s="6" t="s">
        <v>46</v>
      </c>
      <c r="I648" s="8">
        <v>164</v>
      </c>
      <c r="J648" s="8" t="s">
        <v>318</v>
      </c>
      <c r="K648" s="8" t="s">
        <v>38</v>
      </c>
      <c r="L648" s="10">
        <v>1</v>
      </c>
      <c r="M648" s="13">
        <v>18000.0</v>
      </c>
      <c r="N648" s="13"/>
      <c r="O648" s="15">
        <f>IF(M648&gt;0, N648/M648, 0)</f>
        <v>0</v>
      </c>
      <c r="P648" s="13">
        <f>M648-N648</f>
        <v>18000</v>
      </c>
      <c r="Q648" s="13">
        <f>L648*M648</f>
        <v>18000</v>
      </c>
      <c r="R648" s="13">
        <f>L648*N648</f>
        <v>0</v>
      </c>
      <c r="S648" s="13">
        <f>L648*P648</f>
        <v>18000</v>
      </c>
      <c r="T648" s="13"/>
      <c r="U648" s="13">
        <f>L648*T648</f>
        <v>0</v>
      </c>
      <c r="V648" s="13">
        <f>S648-U648</f>
        <v>18000</v>
      </c>
      <c r="W648" s="15">
        <f>IF(S648&gt;0, V648/S648, 0)</f>
        <v>1</v>
      </c>
      <c r="X648" s="6" t="s">
        <v>39</v>
      </c>
      <c r="Y648" s="8" t="s">
        <v>40</v>
      </c>
      <c r="Z648" s="8" t="s">
        <v>41</v>
      </c>
      <c r="AA648" s="8" t="s">
        <v>42</v>
      </c>
      <c r="AB648" s="6" t="s">
        <v>42</v>
      </c>
    </row>
    <row r="649" spans="1:28">
      <c r="A649" s="9">
        <v>642</v>
      </c>
      <c r="B649" s="9" t="s">
        <v>934</v>
      </c>
      <c r="C649" s="9" t="s">
        <v>843</v>
      </c>
      <c r="D649" s="9" t="s">
        <v>652</v>
      </c>
      <c r="E649" s="9" t="s">
        <v>33</v>
      </c>
      <c r="F649" s="7" t="s">
        <v>34</v>
      </c>
      <c r="G649" s="7" t="s">
        <v>45</v>
      </c>
      <c r="H649" s="7" t="s">
        <v>46</v>
      </c>
      <c r="I649" s="9">
        <v>176</v>
      </c>
      <c r="J649" s="9" t="s">
        <v>424</v>
      </c>
      <c r="K649" s="9" t="s">
        <v>38</v>
      </c>
      <c r="L649" s="11">
        <v>1</v>
      </c>
      <c r="M649" s="14">
        <v>18000.0</v>
      </c>
      <c r="N649" s="14"/>
      <c r="O649" s="16">
        <f>IF(M649&gt;0, N649/M649, 0)</f>
        <v>0</v>
      </c>
      <c r="P649" s="14">
        <f>M649-N649</f>
        <v>18000</v>
      </c>
      <c r="Q649" s="14">
        <f>L649*M649</f>
        <v>18000</v>
      </c>
      <c r="R649" s="14">
        <f>L649*N649</f>
        <v>0</v>
      </c>
      <c r="S649" s="14">
        <f>L649*P649</f>
        <v>18000</v>
      </c>
      <c r="T649" s="14"/>
      <c r="U649" s="14">
        <f>L649*T649</f>
        <v>0</v>
      </c>
      <c r="V649" s="14">
        <f>S649-U649</f>
        <v>18000</v>
      </c>
      <c r="W649" s="16">
        <f>IF(S649&gt;0, V649/S649, 0)</f>
        <v>1</v>
      </c>
      <c r="X649" s="7" t="s">
        <v>39</v>
      </c>
      <c r="Y649" s="9" t="s">
        <v>40</v>
      </c>
      <c r="Z649" s="9" t="s">
        <v>41</v>
      </c>
      <c r="AA649" s="9" t="s">
        <v>42</v>
      </c>
      <c r="AB649" s="7" t="s">
        <v>42</v>
      </c>
    </row>
    <row r="650" spans="1:28">
      <c r="A650" s="8">
        <v>643</v>
      </c>
      <c r="B650" s="8" t="s">
        <v>935</v>
      </c>
      <c r="C650" s="8" t="s">
        <v>843</v>
      </c>
      <c r="D650" s="8" t="s">
        <v>652</v>
      </c>
      <c r="E650" s="8" t="s">
        <v>33</v>
      </c>
      <c r="F650" s="6" t="s">
        <v>34</v>
      </c>
      <c r="G650" s="6" t="s">
        <v>63</v>
      </c>
      <c r="H650" s="6" t="s">
        <v>148</v>
      </c>
      <c r="I650" s="8">
        <v>176</v>
      </c>
      <c r="J650" s="8" t="s">
        <v>233</v>
      </c>
      <c r="K650" s="8" t="s">
        <v>38</v>
      </c>
      <c r="L650" s="10">
        <v>1</v>
      </c>
      <c r="M650" s="13">
        <v>9500.0</v>
      </c>
      <c r="N650" s="13"/>
      <c r="O650" s="15">
        <f>IF(M650&gt;0, N650/M650, 0)</f>
        <v>0</v>
      </c>
      <c r="P650" s="13">
        <f>M650-N650</f>
        <v>9500</v>
      </c>
      <c r="Q650" s="13">
        <f>L650*M650</f>
        <v>9500</v>
      </c>
      <c r="R650" s="13">
        <f>L650*N650</f>
        <v>0</v>
      </c>
      <c r="S650" s="13">
        <f>L650*P650</f>
        <v>9500</v>
      </c>
      <c r="T650" s="13"/>
      <c r="U650" s="13">
        <f>L650*T650</f>
        <v>0</v>
      </c>
      <c r="V650" s="13">
        <f>S650-U650</f>
        <v>9500</v>
      </c>
      <c r="W650" s="15">
        <f>IF(S650&gt;0, V650/S650, 0)</f>
        <v>1</v>
      </c>
      <c r="X650" s="6" t="s">
        <v>39</v>
      </c>
      <c r="Y650" s="8" t="s">
        <v>40</v>
      </c>
      <c r="Z650" s="8" t="s">
        <v>41</v>
      </c>
      <c r="AA650" s="8" t="s">
        <v>42</v>
      </c>
      <c r="AB650" s="6" t="s">
        <v>42</v>
      </c>
    </row>
    <row r="651" spans="1:28">
      <c r="A651" s="9">
        <v>644</v>
      </c>
      <c r="B651" s="9" t="s">
        <v>936</v>
      </c>
      <c r="C651" s="9" t="s">
        <v>843</v>
      </c>
      <c r="D651" s="9" t="s">
        <v>652</v>
      </c>
      <c r="E651" s="9" t="s">
        <v>33</v>
      </c>
      <c r="F651" s="7" t="s">
        <v>34</v>
      </c>
      <c r="G651" s="7" t="s">
        <v>56</v>
      </c>
      <c r="H651" s="7" t="s">
        <v>56</v>
      </c>
      <c r="I651" s="9">
        <v>176</v>
      </c>
      <c r="J651" s="9" t="s">
        <v>665</v>
      </c>
      <c r="K651" s="9" t="s">
        <v>38</v>
      </c>
      <c r="L651" s="11">
        <v>1</v>
      </c>
      <c r="M651" s="14">
        <v>7500.0</v>
      </c>
      <c r="N651" s="14"/>
      <c r="O651" s="16">
        <f>IF(M651&gt;0, N651/M651, 0)</f>
        <v>0</v>
      </c>
      <c r="P651" s="14">
        <f>M651-N651</f>
        <v>7500</v>
      </c>
      <c r="Q651" s="14">
        <f>L651*M651</f>
        <v>7500</v>
      </c>
      <c r="R651" s="14">
        <f>L651*N651</f>
        <v>0</v>
      </c>
      <c r="S651" s="14">
        <f>L651*P651</f>
        <v>7500</v>
      </c>
      <c r="T651" s="14"/>
      <c r="U651" s="14">
        <f>L651*T651</f>
        <v>0</v>
      </c>
      <c r="V651" s="14">
        <f>S651-U651</f>
        <v>7500</v>
      </c>
      <c r="W651" s="16">
        <f>IF(S651&gt;0, V651/S651, 0)</f>
        <v>1</v>
      </c>
      <c r="X651" s="7" t="s">
        <v>39</v>
      </c>
      <c r="Y651" s="9" t="s">
        <v>40</v>
      </c>
      <c r="Z651" s="9" t="s">
        <v>41</v>
      </c>
      <c r="AA651" s="9" t="s">
        <v>42</v>
      </c>
      <c r="AB651" s="7" t="s">
        <v>42</v>
      </c>
    </row>
    <row r="652" spans="1:28">
      <c r="A652" s="8">
        <v>645</v>
      </c>
      <c r="B652" s="8" t="s">
        <v>937</v>
      </c>
      <c r="C652" s="8" t="s">
        <v>843</v>
      </c>
      <c r="D652" s="8" t="s">
        <v>652</v>
      </c>
      <c r="E652" s="8" t="s">
        <v>33</v>
      </c>
      <c r="F652" s="6" t="s">
        <v>34</v>
      </c>
      <c r="G652" s="6" t="s">
        <v>51</v>
      </c>
      <c r="H652" s="6" t="s">
        <v>51</v>
      </c>
      <c r="I652" s="8">
        <v>176</v>
      </c>
      <c r="J652" s="8" t="s">
        <v>418</v>
      </c>
      <c r="K652" s="8" t="s">
        <v>38</v>
      </c>
      <c r="L652" s="10">
        <v>1</v>
      </c>
      <c r="M652" s="13">
        <v>8500.0</v>
      </c>
      <c r="N652" s="13"/>
      <c r="O652" s="15">
        <f>IF(M652&gt;0, N652/M652, 0)</f>
        <v>0</v>
      </c>
      <c r="P652" s="13">
        <f>M652-N652</f>
        <v>8500</v>
      </c>
      <c r="Q652" s="13">
        <f>L652*M652</f>
        <v>8500</v>
      </c>
      <c r="R652" s="13">
        <f>L652*N652</f>
        <v>0</v>
      </c>
      <c r="S652" s="13">
        <f>L652*P652</f>
        <v>8500</v>
      </c>
      <c r="T652" s="13"/>
      <c r="U652" s="13">
        <f>L652*T652</f>
        <v>0</v>
      </c>
      <c r="V652" s="13">
        <f>S652-U652</f>
        <v>8500</v>
      </c>
      <c r="W652" s="15">
        <f>IF(S652&gt;0, V652/S652, 0)</f>
        <v>1</v>
      </c>
      <c r="X652" s="6" t="s">
        <v>39</v>
      </c>
      <c r="Y652" s="8" t="s">
        <v>40</v>
      </c>
      <c r="Z652" s="8" t="s">
        <v>41</v>
      </c>
      <c r="AA652" s="8" t="s">
        <v>42</v>
      </c>
      <c r="AB652" s="6" t="s">
        <v>42</v>
      </c>
    </row>
    <row r="653" spans="1:28">
      <c r="A653" s="9">
        <v>646</v>
      </c>
      <c r="B653" s="9" t="s">
        <v>938</v>
      </c>
      <c r="C653" s="9" t="s">
        <v>843</v>
      </c>
      <c r="D653" s="9" t="s">
        <v>652</v>
      </c>
      <c r="E653" s="9" t="s">
        <v>33</v>
      </c>
      <c r="F653" s="7" t="s">
        <v>34</v>
      </c>
      <c r="G653" s="7" t="s">
        <v>35</v>
      </c>
      <c r="H653" s="7" t="s">
        <v>73</v>
      </c>
      <c r="I653" s="9">
        <v>176</v>
      </c>
      <c r="J653" s="9" t="s">
        <v>420</v>
      </c>
      <c r="K653" s="9" t="s">
        <v>38</v>
      </c>
      <c r="L653" s="11">
        <v>1</v>
      </c>
      <c r="M653" s="14">
        <v>9000.0</v>
      </c>
      <c r="N653" s="14"/>
      <c r="O653" s="16">
        <f>IF(M653&gt;0, N653/M653, 0)</f>
        <v>0</v>
      </c>
      <c r="P653" s="14">
        <f>M653-N653</f>
        <v>9000</v>
      </c>
      <c r="Q653" s="14">
        <f>L653*M653</f>
        <v>9000</v>
      </c>
      <c r="R653" s="14">
        <f>L653*N653</f>
        <v>0</v>
      </c>
      <c r="S653" s="14">
        <f>L653*P653</f>
        <v>9000</v>
      </c>
      <c r="T653" s="14"/>
      <c r="U653" s="14">
        <f>L653*T653</f>
        <v>0</v>
      </c>
      <c r="V653" s="14">
        <f>S653-U653</f>
        <v>9000</v>
      </c>
      <c r="W653" s="16">
        <f>IF(S653&gt;0, V653/S653, 0)</f>
        <v>1</v>
      </c>
      <c r="X653" s="7" t="s">
        <v>39</v>
      </c>
      <c r="Y653" s="9" t="s">
        <v>40</v>
      </c>
      <c r="Z653" s="9" t="s">
        <v>41</v>
      </c>
      <c r="AA653" s="9" t="s">
        <v>42</v>
      </c>
      <c r="AB653" s="7" t="s">
        <v>42</v>
      </c>
    </row>
    <row r="654" spans="1:28">
      <c r="A654" s="8">
        <v>647</v>
      </c>
      <c r="B654" s="8" t="s">
        <v>939</v>
      </c>
      <c r="C654" s="8" t="s">
        <v>843</v>
      </c>
      <c r="D654" s="8" t="s">
        <v>652</v>
      </c>
      <c r="E654" s="8" t="s">
        <v>33</v>
      </c>
      <c r="F654" s="6" t="s">
        <v>34</v>
      </c>
      <c r="G654" s="6" t="s">
        <v>35</v>
      </c>
      <c r="H654" s="6" t="s">
        <v>36</v>
      </c>
      <c r="I654" s="8">
        <v>176</v>
      </c>
      <c r="J654" s="8" t="s">
        <v>352</v>
      </c>
      <c r="K654" s="8" t="s">
        <v>38</v>
      </c>
      <c r="L654" s="10">
        <v>1</v>
      </c>
      <c r="M654" s="13">
        <v>8000.0</v>
      </c>
      <c r="N654" s="13"/>
      <c r="O654" s="15">
        <f>IF(M654&gt;0, N654/M654, 0)</f>
        <v>0</v>
      </c>
      <c r="P654" s="13">
        <f>M654-N654</f>
        <v>8000</v>
      </c>
      <c r="Q654" s="13">
        <f>L654*M654</f>
        <v>8000</v>
      </c>
      <c r="R654" s="13">
        <f>L654*N654</f>
        <v>0</v>
      </c>
      <c r="S654" s="13">
        <f>L654*P654</f>
        <v>8000</v>
      </c>
      <c r="T654" s="13"/>
      <c r="U654" s="13">
        <f>L654*T654</f>
        <v>0</v>
      </c>
      <c r="V654" s="13">
        <f>S654-U654</f>
        <v>8000</v>
      </c>
      <c r="W654" s="15">
        <f>IF(S654&gt;0, V654/S654, 0)</f>
        <v>1</v>
      </c>
      <c r="X654" s="6" t="s">
        <v>39</v>
      </c>
      <c r="Y654" s="8" t="s">
        <v>40</v>
      </c>
      <c r="Z654" s="8" t="s">
        <v>41</v>
      </c>
      <c r="AA654" s="8" t="s">
        <v>42</v>
      </c>
      <c r="AB654" s="6" t="s">
        <v>42</v>
      </c>
    </row>
    <row r="655" spans="1:28">
      <c r="A655" s="9">
        <v>648</v>
      </c>
      <c r="B655" s="9" t="s">
        <v>940</v>
      </c>
      <c r="C655" s="9" t="s">
        <v>843</v>
      </c>
      <c r="D655" s="9" t="s">
        <v>652</v>
      </c>
      <c r="E655" s="9" t="s">
        <v>68</v>
      </c>
      <c r="F655" s="7" t="s">
        <v>34</v>
      </c>
      <c r="G655" s="7" t="s">
        <v>35</v>
      </c>
      <c r="H655" s="7" t="s">
        <v>36</v>
      </c>
      <c r="I655" s="9">
        <v>164</v>
      </c>
      <c r="J655" s="9" t="s">
        <v>77</v>
      </c>
      <c r="K655" s="9" t="s">
        <v>38</v>
      </c>
      <c r="L655" s="11">
        <v>4</v>
      </c>
      <c r="M655" s="14">
        <v>10000.0</v>
      </c>
      <c r="N655" s="14"/>
      <c r="O655" s="16">
        <f>IF(M655&gt;0, N655/M655, 0)</f>
        <v>0</v>
      </c>
      <c r="P655" s="14">
        <f>M655-N655</f>
        <v>10000</v>
      </c>
      <c r="Q655" s="14">
        <f>L655*M655</f>
        <v>40000</v>
      </c>
      <c r="R655" s="14">
        <f>L655*N655</f>
        <v>0</v>
      </c>
      <c r="S655" s="14">
        <f>L655*P655</f>
        <v>40000</v>
      </c>
      <c r="T655" s="14"/>
      <c r="U655" s="14">
        <f>L655*T655</f>
        <v>0</v>
      </c>
      <c r="V655" s="14">
        <f>S655-U655</f>
        <v>40000</v>
      </c>
      <c r="W655" s="16">
        <f>IF(S655&gt;0, V655/S655, 0)</f>
        <v>1</v>
      </c>
      <c r="X655" s="7" t="s">
        <v>39</v>
      </c>
      <c r="Y655" s="9" t="s">
        <v>40</v>
      </c>
      <c r="Z655" s="9" t="s">
        <v>71</v>
      </c>
      <c r="AA655" s="9" t="s">
        <v>42</v>
      </c>
      <c r="AB655" s="7" t="s">
        <v>42</v>
      </c>
    </row>
    <row r="656" spans="1:28">
      <c r="A656" s="8">
        <v>649</v>
      </c>
      <c r="B656" s="8" t="s">
        <v>941</v>
      </c>
      <c r="C656" s="8" t="s">
        <v>843</v>
      </c>
      <c r="D656" s="8" t="s">
        <v>652</v>
      </c>
      <c r="E656" s="8" t="s">
        <v>68</v>
      </c>
      <c r="F656" s="6" t="s">
        <v>34</v>
      </c>
      <c r="G656" s="6" t="s">
        <v>69</v>
      </c>
      <c r="H656" s="6" t="s">
        <v>69</v>
      </c>
      <c r="I656" s="8">
        <v>164</v>
      </c>
      <c r="J656" s="8" t="s">
        <v>70</v>
      </c>
      <c r="K656" s="8" t="s">
        <v>38</v>
      </c>
      <c r="L656" s="10">
        <v>1</v>
      </c>
      <c r="M656" s="13">
        <v>18000.0</v>
      </c>
      <c r="N656" s="13"/>
      <c r="O656" s="15">
        <f>IF(M656&gt;0, N656/M656, 0)</f>
        <v>0</v>
      </c>
      <c r="P656" s="13">
        <f>M656-N656</f>
        <v>18000</v>
      </c>
      <c r="Q656" s="13">
        <f>L656*M656</f>
        <v>18000</v>
      </c>
      <c r="R656" s="13">
        <f>L656*N656</f>
        <v>0</v>
      </c>
      <c r="S656" s="13">
        <f>L656*P656</f>
        <v>18000</v>
      </c>
      <c r="T656" s="13"/>
      <c r="U656" s="13">
        <f>L656*T656</f>
        <v>0</v>
      </c>
      <c r="V656" s="13">
        <f>S656-U656</f>
        <v>18000</v>
      </c>
      <c r="W656" s="15">
        <f>IF(S656&gt;0, V656/S656, 0)</f>
        <v>1</v>
      </c>
      <c r="X656" s="6" t="s">
        <v>39</v>
      </c>
      <c r="Y656" s="8" t="s">
        <v>40</v>
      </c>
      <c r="Z656" s="8" t="s">
        <v>71</v>
      </c>
      <c r="AA656" s="8" t="s">
        <v>42</v>
      </c>
      <c r="AB656" s="6" t="s">
        <v>42</v>
      </c>
    </row>
    <row r="657" spans="1:28">
      <c r="A657" s="9">
        <v>650</v>
      </c>
      <c r="B657" s="9" t="s">
        <v>942</v>
      </c>
      <c r="C657" s="9" t="s">
        <v>843</v>
      </c>
      <c r="D657" s="9" t="s">
        <v>652</v>
      </c>
      <c r="E657" s="9" t="s">
        <v>33</v>
      </c>
      <c r="F657" s="7" t="s">
        <v>34</v>
      </c>
      <c r="G657" s="7" t="s">
        <v>35</v>
      </c>
      <c r="H657" s="7" t="s">
        <v>36</v>
      </c>
      <c r="I657" s="9">
        <v>170</v>
      </c>
      <c r="J657" s="9" t="s">
        <v>142</v>
      </c>
      <c r="K657" s="9" t="s">
        <v>38</v>
      </c>
      <c r="L657" s="11">
        <v>1</v>
      </c>
      <c r="M657" s="14">
        <v>8000.0</v>
      </c>
      <c r="N657" s="14"/>
      <c r="O657" s="16">
        <f>IF(M657&gt;0, N657/M657, 0)</f>
        <v>0</v>
      </c>
      <c r="P657" s="14">
        <f>M657-N657</f>
        <v>8000</v>
      </c>
      <c r="Q657" s="14">
        <f>L657*M657</f>
        <v>8000</v>
      </c>
      <c r="R657" s="14">
        <f>L657*N657</f>
        <v>0</v>
      </c>
      <c r="S657" s="14">
        <f>L657*P657</f>
        <v>8000</v>
      </c>
      <c r="T657" s="14"/>
      <c r="U657" s="14">
        <f>L657*T657</f>
        <v>0</v>
      </c>
      <c r="V657" s="14">
        <f>S657-U657</f>
        <v>8000</v>
      </c>
      <c r="W657" s="16">
        <f>IF(S657&gt;0, V657/S657, 0)</f>
        <v>1</v>
      </c>
      <c r="X657" s="7" t="s">
        <v>39</v>
      </c>
      <c r="Y657" s="9" t="s">
        <v>40</v>
      </c>
      <c r="Z657" s="9" t="s">
        <v>41</v>
      </c>
      <c r="AA657" s="9" t="s">
        <v>42</v>
      </c>
      <c r="AB657" s="7" t="s">
        <v>42</v>
      </c>
    </row>
    <row r="658" spans="1:28">
      <c r="A658" s="8">
        <v>651</v>
      </c>
      <c r="B658" s="8" t="s">
        <v>943</v>
      </c>
      <c r="C658" s="8" t="s">
        <v>843</v>
      </c>
      <c r="D658" s="8" t="s">
        <v>652</v>
      </c>
      <c r="E658" s="8" t="s">
        <v>33</v>
      </c>
      <c r="F658" s="6" t="s">
        <v>34</v>
      </c>
      <c r="G658" s="6" t="s">
        <v>45</v>
      </c>
      <c r="H658" s="6" t="s">
        <v>46</v>
      </c>
      <c r="I658" s="8">
        <v>164</v>
      </c>
      <c r="J658" s="8" t="s">
        <v>318</v>
      </c>
      <c r="K658" s="8" t="s">
        <v>38</v>
      </c>
      <c r="L658" s="10">
        <v>1</v>
      </c>
      <c r="M658" s="13">
        <v>18000.0</v>
      </c>
      <c r="N658" s="13"/>
      <c r="O658" s="15">
        <f>IF(M658&gt;0, N658/M658, 0)</f>
        <v>0</v>
      </c>
      <c r="P658" s="13">
        <f>M658-N658</f>
        <v>18000</v>
      </c>
      <c r="Q658" s="13">
        <f>L658*M658</f>
        <v>18000</v>
      </c>
      <c r="R658" s="13">
        <f>L658*N658</f>
        <v>0</v>
      </c>
      <c r="S658" s="13">
        <f>L658*P658</f>
        <v>18000</v>
      </c>
      <c r="T658" s="13"/>
      <c r="U658" s="13">
        <f>L658*T658</f>
        <v>0</v>
      </c>
      <c r="V658" s="13">
        <f>S658-U658</f>
        <v>18000</v>
      </c>
      <c r="W658" s="15">
        <f>IF(S658&gt;0, V658/S658, 0)</f>
        <v>1</v>
      </c>
      <c r="X658" s="6" t="s">
        <v>39</v>
      </c>
      <c r="Y658" s="8" t="s">
        <v>40</v>
      </c>
      <c r="Z658" s="8" t="s">
        <v>41</v>
      </c>
      <c r="AA658" s="8" t="s">
        <v>42</v>
      </c>
      <c r="AB658" s="6" t="s">
        <v>42</v>
      </c>
    </row>
    <row r="659" spans="1:28">
      <c r="A659" s="9">
        <v>652</v>
      </c>
      <c r="B659" s="9" t="s">
        <v>944</v>
      </c>
      <c r="C659" s="9" t="s">
        <v>843</v>
      </c>
      <c r="D659" s="9" t="s">
        <v>652</v>
      </c>
      <c r="E659" s="9" t="s">
        <v>68</v>
      </c>
      <c r="F659" s="7" t="s">
        <v>50</v>
      </c>
      <c r="G659" s="7" t="s">
        <v>56</v>
      </c>
      <c r="H659" s="7" t="s">
        <v>56</v>
      </c>
      <c r="I659" s="9">
        <v>146</v>
      </c>
      <c r="J659" s="9" t="s">
        <v>751</v>
      </c>
      <c r="K659" s="9" t="s">
        <v>38</v>
      </c>
      <c r="L659" s="11">
        <v>1</v>
      </c>
      <c r="M659" s="14">
        <v>8000.0</v>
      </c>
      <c r="N659" s="14"/>
      <c r="O659" s="16">
        <f>IF(M659&gt;0, N659/M659, 0)</f>
        <v>0</v>
      </c>
      <c r="P659" s="14">
        <f>M659-N659</f>
        <v>8000</v>
      </c>
      <c r="Q659" s="14">
        <f>L659*M659</f>
        <v>8000</v>
      </c>
      <c r="R659" s="14">
        <f>L659*N659</f>
        <v>0</v>
      </c>
      <c r="S659" s="14">
        <f>L659*P659</f>
        <v>8000</v>
      </c>
      <c r="T659" s="14"/>
      <c r="U659" s="14">
        <f>L659*T659</f>
        <v>0</v>
      </c>
      <c r="V659" s="14">
        <f>S659-U659</f>
        <v>8000</v>
      </c>
      <c r="W659" s="16">
        <f>IF(S659&gt;0, V659/S659, 0)</f>
        <v>1</v>
      </c>
      <c r="X659" s="7" t="s">
        <v>39</v>
      </c>
      <c r="Y659" s="9" t="s">
        <v>40</v>
      </c>
      <c r="Z659" s="9" t="s">
        <v>71</v>
      </c>
      <c r="AA659" s="9" t="s">
        <v>42</v>
      </c>
      <c r="AB659" s="7" t="s">
        <v>42</v>
      </c>
    </row>
    <row r="660" spans="1:28">
      <c r="A660" s="8">
        <v>653</v>
      </c>
      <c r="B660" s="8" t="s">
        <v>945</v>
      </c>
      <c r="C660" s="8" t="s">
        <v>843</v>
      </c>
      <c r="D660" s="8" t="s">
        <v>652</v>
      </c>
      <c r="E660" s="8" t="s">
        <v>68</v>
      </c>
      <c r="F660" s="6" t="s">
        <v>50</v>
      </c>
      <c r="G660" s="6" t="s">
        <v>56</v>
      </c>
      <c r="H660" s="6" t="s">
        <v>56</v>
      </c>
      <c r="I660" s="8">
        <v>122</v>
      </c>
      <c r="J660" s="8" t="s">
        <v>113</v>
      </c>
      <c r="K660" s="8" t="s">
        <v>38</v>
      </c>
      <c r="L660" s="10">
        <v>1</v>
      </c>
      <c r="M660" s="13">
        <v>8000.0</v>
      </c>
      <c r="N660" s="13"/>
      <c r="O660" s="15">
        <f>IF(M660&gt;0, N660/M660, 0)</f>
        <v>0</v>
      </c>
      <c r="P660" s="13">
        <f>M660-N660</f>
        <v>8000</v>
      </c>
      <c r="Q660" s="13">
        <f>L660*M660</f>
        <v>8000</v>
      </c>
      <c r="R660" s="13">
        <f>L660*N660</f>
        <v>0</v>
      </c>
      <c r="S660" s="13">
        <f>L660*P660</f>
        <v>8000</v>
      </c>
      <c r="T660" s="13"/>
      <c r="U660" s="13">
        <f>L660*T660</f>
        <v>0</v>
      </c>
      <c r="V660" s="13">
        <f>S660-U660</f>
        <v>8000</v>
      </c>
      <c r="W660" s="15">
        <f>IF(S660&gt;0, V660/S660, 0)</f>
        <v>1</v>
      </c>
      <c r="X660" s="6" t="s">
        <v>39</v>
      </c>
      <c r="Y660" s="8" t="s">
        <v>40</v>
      </c>
      <c r="Z660" s="8" t="s">
        <v>71</v>
      </c>
      <c r="AA660" s="8" t="s">
        <v>42</v>
      </c>
      <c r="AB660" s="6" t="s">
        <v>42</v>
      </c>
    </row>
    <row r="661" spans="1:28">
      <c r="A661" s="9">
        <v>654</v>
      </c>
      <c r="B661" s="9" t="s">
        <v>946</v>
      </c>
      <c r="C661" s="9" t="s">
        <v>843</v>
      </c>
      <c r="D661" s="9" t="s">
        <v>652</v>
      </c>
      <c r="E661" s="9" t="s">
        <v>68</v>
      </c>
      <c r="F661" s="7" t="s">
        <v>50</v>
      </c>
      <c r="G661" s="7" t="s">
        <v>63</v>
      </c>
      <c r="H661" s="7" t="s">
        <v>148</v>
      </c>
      <c r="I661" s="9">
        <v>146</v>
      </c>
      <c r="J661" s="9" t="s">
        <v>167</v>
      </c>
      <c r="K661" s="9" t="s">
        <v>38</v>
      </c>
      <c r="L661" s="11">
        <v>1</v>
      </c>
      <c r="M661" s="14">
        <v>10000.0</v>
      </c>
      <c r="N661" s="14"/>
      <c r="O661" s="16">
        <f>IF(M661&gt;0, N661/M661, 0)</f>
        <v>0</v>
      </c>
      <c r="P661" s="14">
        <f>M661-N661</f>
        <v>10000</v>
      </c>
      <c r="Q661" s="14">
        <f>L661*M661</f>
        <v>10000</v>
      </c>
      <c r="R661" s="14">
        <f>L661*N661</f>
        <v>0</v>
      </c>
      <c r="S661" s="14">
        <f>L661*P661</f>
        <v>10000</v>
      </c>
      <c r="T661" s="14"/>
      <c r="U661" s="14">
        <f>L661*T661</f>
        <v>0</v>
      </c>
      <c r="V661" s="14">
        <f>S661-U661</f>
        <v>10000</v>
      </c>
      <c r="W661" s="16">
        <f>IF(S661&gt;0, V661/S661, 0)</f>
        <v>1</v>
      </c>
      <c r="X661" s="7" t="s">
        <v>39</v>
      </c>
      <c r="Y661" s="9" t="s">
        <v>40</v>
      </c>
      <c r="Z661" s="9" t="s">
        <v>71</v>
      </c>
      <c r="AA661" s="9" t="s">
        <v>42</v>
      </c>
      <c r="AB661" s="7" t="s">
        <v>42</v>
      </c>
    </row>
    <row r="662" spans="1:28">
      <c r="A662" s="8">
        <v>655</v>
      </c>
      <c r="B662" s="8" t="s">
        <v>947</v>
      </c>
      <c r="C662" s="8" t="s">
        <v>843</v>
      </c>
      <c r="D662" s="8" t="s">
        <v>652</v>
      </c>
      <c r="E662" s="8" t="s">
        <v>33</v>
      </c>
      <c r="F662" s="6" t="s">
        <v>50</v>
      </c>
      <c r="G662" s="6" t="s">
        <v>63</v>
      </c>
      <c r="H662" s="6" t="s">
        <v>148</v>
      </c>
      <c r="I662" s="8">
        <v>122</v>
      </c>
      <c r="J662" s="8" t="s">
        <v>241</v>
      </c>
      <c r="K662" s="8" t="s">
        <v>38</v>
      </c>
      <c r="L662" s="10">
        <v>1</v>
      </c>
      <c r="M662" s="13">
        <v>9000.0</v>
      </c>
      <c r="N662" s="13"/>
      <c r="O662" s="15">
        <f>IF(M662&gt;0, N662/M662, 0)</f>
        <v>0</v>
      </c>
      <c r="P662" s="13">
        <f>M662-N662</f>
        <v>9000</v>
      </c>
      <c r="Q662" s="13">
        <f>L662*M662</f>
        <v>9000</v>
      </c>
      <c r="R662" s="13">
        <f>L662*N662</f>
        <v>0</v>
      </c>
      <c r="S662" s="13">
        <f>L662*P662</f>
        <v>9000</v>
      </c>
      <c r="T662" s="13"/>
      <c r="U662" s="13">
        <f>L662*T662</f>
        <v>0</v>
      </c>
      <c r="V662" s="13">
        <f>S662-U662</f>
        <v>9000</v>
      </c>
      <c r="W662" s="15">
        <f>IF(S662&gt;0, V662/S662, 0)</f>
        <v>1</v>
      </c>
      <c r="X662" s="6" t="s">
        <v>39</v>
      </c>
      <c r="Y662" s="8" t="s">
        <v>40</v>
      </c>
      <c r="Z662" s="8" t="s">
        <v>41</v>
      </c>
      <c r="AA662" s="8" t="s">
        <v>42</v>
      </c>
      <c r="AB662" s="6" t="s">
        <v>42</v>
      </c>
    </row>
    <row r="663" spans="1:28">
      <c r="A663" s="9">
        <v>656</v>
      </c>
      <c r="B663" s="9" t="s">
        <v>948</v>
      </c>
      <c r="C663" s="9" t="s">
        <v>843</v>
      </c>
      <c r="D663" s="9" t="s">
        <v>652</v>
      </c>
      <c r="E663" s="9" t="s">
        <v>33</v>
      </c>
      <c r="F663" s="7" t="s">
        <v>50</v>
      </c>
      <c r="G663" s="7" t="s">
        <v>35</v>
      </c>
      <c r="H663" s="7" t="s">
        <v>73</v>
      </c>
      <c r="I663" s="9">
        <v>146</v>
      </c>
      <c r="J663" s="9" t="s">
        <v>340</v>
      </c>
      <c r="K663" s="9" t="s">
        <v>53</v>
      </c>
      <c r="L663" s="11">
        <v>1</v>
      </c>
      <c r="M663" s="14">
        <v>8000.0</v>
      </c>
      <c r="N663" s="14"/>
      <c r="O663" s="16">
        <f>IF(M663&gt;0, N663/M663, 0)</f>
        <v>0</v>
      </c>
      <c r="P663" s="14">
        <f>M663-N663</f>
        <v>8000</v>
      </c>
      <c r="Q663" s="14">
        <f>L663*M663</f>
        <v>8000</v>
      </c>
      <c r="R663" s="14">
        <f>L663*N663</f>
        <v>0</v>
      </c>
      <c r="S663" s="14">
        <f>L663*P663</f>
        <v>8000</v>
      </c>
      <c r="T663" s="14"/>
      <c r="U663" s="14">
        <f>L663*T663</f>
        <v>0</v>
      </c>
      <c r="V663" s="14">
        <f>S663-U663</f>
        <v>8000</v>
      </c>
      <c r="W663" s="16">
        <f>IF(S663&gt;0, V663/S663, 0)</f>
        <v>1</v>
      </c>
      <c r="X663" s="7" t="s">
        <v>39</v>
      </c>
      <c r="Y663" s="9" t="s">
        <v>40</v>
      </c>
      <c r="Z663" s="9" t="s">
        <v>41</v>
      </c>
      <c r="AA663" s="9" t="s">
        <v>42</v>
      </c>
      <c r="AB663" s="7" t="s">
        <v>42</v>
      </c>
    </row>
    <row r="664" spans="1:28">
      <c r="A664" s="8">
        <v>657</v>
      </c>
      <c r="B664" s="8" t="s">
        <v>949</v>
      </c>
      <c r="C664" s="8" t="s">
        <v>843</v>
      </c>
      <c r="D664" s="8" t="s">
        <v>652</v>
      </c>
      <c r="E664" s="8" t="s">
        <v>33</v>
      </c>
      <c r="F664" s="6" t="s">
        <v>50</v>
      </c>
      <c r="G664" s="6" t="s">
        <v>35</v>
      </c>
      <c r="H664" s="6" t="s">
        <v>73</v>
      </c>
      <c r="I664" s="8">
        <v>128</v>
      </c>
      <c r="J664" s="8" t="s">
        <v>185</v>
      </c>
      <c r="K664" s="8" t="s">
        <v>53</v>
      </c>
      <c r="L664" s="10">
        <v>1</v>
      </c>
      <c r="M664" s="13">
        <v>8000.0</v>
      </c>
      <c r="N664" s="13"/>
      <c r="O664" s="15">
        <f>IF(M664&gt;0, N664/M664, 0)</f>
        <v>0</v>
      </c>
      <c r="P664" s="13">
        <f>M664-N664</f>
        <v>8000</v>
      </c>
      <c r="Q664" s="13">
        <f>L664*M664</f>
        <v>8000</v>
      </c>
      <c r="R664" s="13">
        <f>L664*N664</f>
        <v>0</v>
      </c>
      <c r="S664" s="13">
        <f>L664*P664</f>
        <v>8000</v>
      </c>
      <c r="T664" s="13"/>
      <c r="U664" s="13">
        <f>L664*T664</f>
        <v>0</v>
      </c>
      <c r="V664" s="13">
        <f>S664-U664</f>
        <v>8000</v>
      </c>
      <c r="W664" s="15">
        <f>IF(S664&gt;0, V664/S664, 0)</f>
        <v>1</v>
      </c>
      <c r="X664" s="6" t="s">
        <v>39</v>
      </c>
      <c r="Y664" s="8" t="s">
        <v>40</v>
      </c>
      <c r="Z664" s="8" t="s">
        <v>41</v>
      </c>
      <c r="AA664" s="8" t="s">
        <v>42</v>
      </c>
      <c r="AB664" s="6" t="s">
        <v>42</v>
      </c>
    </row>
    <row r="665" spans="1:28">
      <c r="A665" s="9">
        <v>658</v>
      </c>
      <c r="B665" s="9" t="s">
        <v>950</v>
      </c>
      <c r="C665" s="9" t="s">
        <v>843</v>
      </c>
      <c r="D665" s="9" t="s">
        <v>652</v>
      </c>
      <c r="E665" s="9" t="s">
        <v>33</v>
      </c>
      <c r="F665" s="7" t="s">
        <v>50</v>
      </c>
      <c r="G665" s="7" t="s">
        <v>35</v>
      </c>
      <c r="H665" s="7" t="s">
        <v>36</v>
      </c>
      <c r="I665" s="9">
        <v>152</v>
      </c>
      <c r="J665" s="9" t="s">
        <v>151</v>
      </c>
      <c r="K665" s="9" t="s">
        <v>53</v>
      </c>
      <c r="L665" s="11">
        <v>2</v>
      </c>
      <c r="M665" s="14">
        <v>7000.0</v>
      </c>
      <c r="N665" s="14"/>
      <c r="O665" s="16">
        <f>IF(M665&gt;0, N665/M665, 0)</f>
        <v>0</v>
      </c>
      <c r="P665" s="14">
        <f>M665-N665</f>
        <v>7000</v>
      </c>
      <c r="Q665" s="14">
        <f>L665*M665</f>
        <v>14000</v>
      </c>
      <c r="R665" s="14">
        <f>L665*N665</f>
        <v>0</v>
      </c>
      <c r="S665" s="14">
        <f>L665*P665</f>
        <v>14000</v>
      </c>
      <c r="T665" s="14"/>
      <c r="U665" s="14">
        <f>L665*T665</f>
        <v>0</v>
      </c>
      <c r="V665" s="14">
        <f>S665-U665</f>
        <v>14000</v>
      </c>
      <c r="W665" s="16">
        <f>IF(S665&gt;0, V665/S665, 0)</f>
        <v>1</v>
      </c>
      <c r="X665" s="7" t="s">
        <v>39</v>
      </c>
      <c r="Y665" s="9" t="s">
        <v>40</v>
      </c>
      <c r="Z665" s="9" t="s">
        <v>41</v>
      </c>
      <c r="AA665" s="9" t="s">
        <v>42</v>
      </c>
      <c r="AB665" s="7" t="s">
        <v>42</v>
      </c>
    </row>
    <row r="666" spans="1:28">
      <c r="A666" s="8">
        <v>659</v>
      </c>
      <c r="B666" s="8" t="s">
        <v>951</v>
      </c>
      <c r="C666" s="8" t="s">
        <v>843</v>
      </c>
      <c r="D666" s="8" t="s">
        <v>652</v>
      </c>
      <c r="E666" s="8" t="s">
        <v>33</v>
      </c>
      <c r="F666" s="6" t="s">
        <v>50</v>
      </c>
      <c r="G666" s="6" t="s">
        <v>35</v>
      </c>
      <c r="H666" s="6" t="s">
        <v>36</v>
      </c>
      <c r="I666" s="8">
        <v>134</v>
      </c>
      <c r="J666" s="8" t="s">
        <v>177</v>
      </c>
      <c r="K666" s="8" t="s">
        <v>53</v>
      </c>
      <c r="L666" s="10">
        <v>2</v>
      </c>
      <c r="M666" s="13">
        <v>7000.0</v>
      </c>
      <c r="N666" s="13"/>
      <c r="O666" s="15">
        <f>IF(M666&gt;0, N666/M666, 0)</f>
        <v>0</v>
      </c>
      <c r="P666" s="13">
        <f>M666-N666</f>
        <v>7000</v>
      </c>
      <c r="Q666" s="13">
        <f>L666*M666</f>
        <v>14000</v>
      </c>
      <c r="R666" s="13">
        <f>L666*N666</f>
        <v>0</v>
      </c>
      <c r="S666" s="13">
        <f>L666*P666</f>
        <v>14000</v>
      </c>
      <c r="T666" s="13"/>
      <c r="U666" s="13">
        <f>L666*T666</f>
        <v>0</v>
      </c>
      <c r="V666" s="13">
        <f>S666-U666</f>
        <v>14000</v>
      </c>
      <c r="W666" s="15">
        <f>IF(S666&gt;0, V666/S666, 0)</f>
        <v>1</v>
      </c>
      <c r="X666" s="6" t="s">
        <v>39</v>
      </c>
      <c r="Y666" s="8" t="s">
        <v>40</v>
      </c>
      <c r="Z666" s="8" t="s">
        <v>41</v>
      </c>
      <c r="AA666" s="8" t="s">
        <v>42</v>
      </c>
      <c r="AB666" s="6" t="s">
        <v>42</v>
      </c>
    </row>
    <row r="667" spans="1:28">
      <c r="A667" s="9">
        <v>660</v>
      </c>
      <c r="B667" s="9" t="s">
        <v>952</v>
      </c>
      <c r="C667" s="9" t="s">
        <v>953</v>
      </c>
      <c r="D667" s="9" t="s">
        <v>652</v>
      </c>
      <c r="E667" s="9" t="s">
        <v>33</v>
      </c>
      <c r="F667" s="7" t="s">
        <v>50</v>
      </c>
      <c r="G667" s="7" t="s">
        <v>51</v>
      </c>
      <c r="H667" s="7" t="s">
        <v>51</v>
      </c>
      <c r="I667" s="9">
        <v>128</v>
      </c>
      <c r="J667" s="9" t="s">
        <v>390</v>
      </c>
      <c r="K667" s="9" t="s">
        <v>53</v>
      </c>
      <c r="L667" s="11">
        <v>1</v>
      </c>
      <c r="M667" s="14">
        <v>8000.0</v>
      </c>
      <c r="N667" s="14"/>
      <c r="O667" s="16">
        <f>IF(M667&gt;0, N667/M667, 0)</f>
        <v>0</v>
      </c>
      <c r="P667" s="14">
        <f>M667-N667</f>
        <v>8000</v>
      </c>
      <c r="Q667" s="14">
        <f>L667*M667</f>
        <v>8000</v>
      </c>
      <c r="R667" s="14">
        <f>L667*N667</f>
        <v>0</v>
      </c>
      <c r="S667" s="14">
        <f>L667*P667</f>
        <v>8000</v>
      </c>
      <c r="T667" s="14"/>
      <c r="U667" s="14">
        <f>L667*T667</f>
        <v>0</v>
      </c>
      <c r="V667" s="14">
        <f>S667-U667</f>
        <v>8000</v>
      </c>
      <c r="W667" s="16">
        <f>IF(S667&gt;0, V667/S667, 0)</f>
        <v>1</v>
      </c>
      <c r="X667" s="7" t="s">
        <v>39</v>
      </c>
      <c r="Y667" s="9" t="s">
        <v>40</v>
      </c>
      <c r="Z667" s="9" t="s">
        <v>41</v>
      </c>
      <c r="AA667" s="9" t="s">
        <v>42</v>
      </c>
      <c r="AB667" s="7" t="s">
        <v>42</v>
      </c>
    </row>
    <row r="668" spans="1:28">
      <c r="A668" s="8">
        <v>661</v>
      </c>
      <c r="B668" s="8" t="s">
        <v>954</v>
      </c>
      <c r="C668" s="8" t="s">
        <v>953</v>
      </c>
      <c r="D668" s="8" t="s">
        <v>652</v>
      </c>
      <c r="E668" s="8" t="s">
        <v>33</v>
      </c>
      <c r="F668" s="6" t="s">
        <v>50</v>
      </c>
      <c r="G668" s="6" t="s">
        <v>51</v>
      </c>
      <c r="H668" s="6" t="s">
        <v>51</v>
      </c>
      <c r="I668" s="8">
        <v>146</v>
      </c>
      <c r="J668" s="8" t="s">
        <v>254</v>
      </c>
      <c r="K668" s="8" t="s">
        <v>53</v>
      </c>
      <c r="L668" s="10">
        <v>1</v>
      </c>
      <c r="M668" s="13">
        <v>8000.0</v>
      </c>
      <c r="N668" s="13"/>
      <c r="O668" s="15">
        <f>IF(M668&gt;0, N668/M668, 0)</f>
        <v>0</v>
      </c>
      <c r="P668" s="13">
        <f>M668-N668</f>
        <v>8000</v>
      </c>
      <c r="Q668" s="13">
        <f>L668*M668</f>
        <v>8000</v>
      </c>
      <c r="R668" s="13">
        <f>L668*N668</f>
        <v>0</v>
      </c>
      <c r="S668" s="13">
        <f>L668*P668</f>
        <v>8000</v>
      </c>
      <c r="T668" s="13"/>
      <c r="U668" s="13">
        <f>L668*T668</f>
        <v>0</v>
      </c>
      <c r="V668" s="13">
        <f>S668-U668</f>
        <v>8000</v>
      </c>
      <c r="W668" s="15">
        <f>IF(S668&gt;0, V668/S668, 0)</f>
        <v>1</v>
      </c>
      <c r="X668" s="6" t="s">
        <v>39</v>
      </c>
      <c r="Y668" s="8" t="s">
        <v>40</v>
      </c>
      <c r="Z668" s="8" t="s">
        <v>41</v>
      </c>
      <c r="AA668" s="8" t="s">
        <v>42</v>
      </c>
      <c r="AB668" s="6" t="s">
        <v>42</v>
      </c>
    </row>
    <row r="669" spans="1:28">
      <c r="A669" s="9">
        <v>662</v>
      </c>
      <c r="B669" s="9" t="s">
        <v>955</v>
      </c>
      <c r="C669" s="9" t="s">
        <v>953</v>
      </c>
      <c r="D669" s="9" t="s">
        <v>652</v>
      </c>
      <c r="E669" s="9" t="s">
        <v>33</v>
      </c>
      <c r="F669" s="7" t="s">
        <v>50</v>
      </c>
      <c r="G669" s="7" t="s">
        <v>35</v>
      </c>
      <c r="H669" s="7" t="s">
        <v>36</v>
      </c>
      <c r="I669" s="9">
        <v>122</v>
      </c>
      <c r="J669" s="9" t="s">
        <v>105</v>
      </c>
      <c r="K669" s="9" t="s">
        <v>53</v>
      </c>
      <c r="L669" s="11">
        <v>1</v>
      </c>
      <c r="M669" s="14">
        <v>7000.0</v>
      </c>
      <c r="N669" s="14"/>
      <c r="O669" s="16">
        <f>IF(M669&gt;0, N669/M669, 0)</f>
        <v>0</v>
      </c>
      <c r="P669" s="14">
        <f>M669-N669</f>
        <v>7000</v>
      </c>
      <c r="Q669" s="14">
        <f>L669*M669</f>
        <v>7000</v>
      </c>
      <c r="R669" s="14">
        <f>L669*N669</f>
        <v>0</v>
      </c>
      <c r="S669" s="14">
        <f>L669*P669</f>
        <v>7000</v>
      </c>
      <c r="T669" s="14"/>
      <c r="U669" s="14">
        <f>L669*T669</f>
        <v>0</v>
      </c>
      <c r="V669" s="14">
        <f>S669-U669</f>
        <v>7000</v>
      </c>
      <c r="W669" s="16">
        <f>IF(S669&gt;0, V669/S669, 0)</f>
        <v>1</v>
      </c>
      <c r="X669" s="7" t="s">
        <v>39</v>
      </c>
      <c r="Y669" s="9" t="s">
        <v>40</v>
      </c>
      <c r="Z669" s="9" t="s">
        <v>41</v>
      </c>
      <c r="AA669" s="9" t="s">
        <v>42</v>
      </c>
      <c r="AB669" s="7" t="s">
        <v>42</v>
      </c>
    </row>
    <row r="670" spans="1:28">
      <c r="A670" s="8">
        <v>663</v>
      </c>
      <c r="B670" s="8" t="s">
        <v>956</v>
      </c>
      <c r="C670" s="8" t="s">
        <v>953</v>
      </c>
      <c r="D670" s="8" t="s">
        <v>652</v>
      </c>
      <c r="E670" s="8" t="s">
        <v>33</v>
      </c>
      <c r="F670" s="6" t="s">
        <v>50</v>
      </c>
      <c r="G670" s="6" t="s">
        <v>56</v>
      </c>
      <c r="H670" s="6" t="s">
        <v>56</v>
      </c>
      <c r="I670" s="8">
        <v>110</v>
      </c>
      <c r="J670" s="8" t="s">
        <v>957</v>
      </c>
      <c r="K670" s="8" t="s">
        <v>38</v>
      </c>
      <c r="L670" s="10">
        <v>1</v>
      </c>
      <c r="M670" s="13">
        <v>7000.0</v>
      </c>
      <c r="N670" s="13"/>
      <c r="O670" s="15">
        <f>IF(M670&gt;0, N670/M670, 0)</f>
        <v>0</v>
      </c>
      <c r="P670" s="13">
        <f>M670-N670</f>
        <v>7000</v>
      </c>
      <c r="Q670" s="13">
        <f>L670*M670</f>
        <v>7000</v>
      </c>
      <c r="R670" s="13">
        <f>L670*N670</f>
        <v>0</v>
      </c>
      <c r="S670" s="13">
        <f>L670*P670</f>
        <v>7000</v>
      </c>
      <c r="T670" s="13"/>
      <c r="U670" s="13">
        <f>L670*T670</f>
        <v>0</v>
      </c>
      <c r="V670" s="13">
        <f>S670-U670</f>
        <v>7000</v>
      </c>
      <c r="W670" s="15">
        <f>IF(S670&gt;0, V670/S670, 0)</f>
        <v>1</v>
      </c>
      <c r="X670" s="6" t="s">
        <v>39</v>
      </c>
      <c r="Y670" s="8" t="s">
        <v>40</v>
      </c>
      <c r="Z670" s="8" t="s">
        <v>41</v>
      </c>
      <c r="AA670" s="8" t="s">
        <v>42</v>
      </c>
      <c r="AB670" s="6" t="s">
        <v>42</v>
      </c>
    </row>
    <row r="671" spans="1:28">
      <c r="A671" s="9">
        <v>664</v>
      </c>
      <c r="B671" s="9" t="s">
        <v>958</v>
      </c>
      <c r="C671" s="9" t="s">
        <v>953</v>
      </c>
      <c r="D671" s="9" t="s">
        <v>652</v>
      </c>
      <c r="E671" s="9" t="s">
        <v>33</v>
      </c>
      <c r="F671" s="7" t="s">
        <v>50</v>
      </c>
      <c r="G671" s="7" t="s">
        <v>51</v>
      </c>
      <c r="H671" s="7" t="s">
        <v>51</v>
      </c>
      <c r="I671" s="9">
        <v>128</v>
      </c>
      <c r="J671" s="9" t="s">
        <v>390</v>
      </c>
      <c r="K671" s="9" t="s">
        <v>53</v>
      </c>
      <c r="L671" s="11">
        <v>1</v>
      </c>
      <c r="M671" s="14">
        <v>8000.0</v>
      </c>
      <c r="N671" s="14"/>
      <c r="O671" s="16">
        <f>IF(M671&gt;0, N671/M671, 0)</f>
        <v>0</v>
      </c>
      <c r="P671" s="14">
        <f>M671-N671</f>
        <v>8000</v>
      </c>
      <c r="Q671" s="14">
        <f>L671*M671</f>
        <v>8000</v>
      </c>
      <c r="R671" s="14">
        <f>L671*N671</f>
        <v>0</v>
      </c>
      <c r="S671" s="14">
        <f>L671*P671</f>
        <v>8000</v>
      </c>
      <c r="T671" s="14"/>
      <c r="U671" s="14">
        <f>L671*T671</f>
        <v>0</v>
      </c>
      <c r="V671" s="14">
        <f>S671-U671</f>
        <v>8000</v>
      </c>
      <c r="W671" s="16">
        <f>IF(S671&gt;0, V671/S671, 0)</f>
        <v>1</v>
      </c>
      <c r="X671" s="7" t="s">
        <v>39</v>
      </c>
      <c r="Y671" s="9" t="s">
        <v>40</v>
      </c>
      <c r="Z671" s="9" t="s">
        <v>41</v>
      </c>
      <c r="AA671" s="9" t="s">
        <v>42</v>
      </c>
      <c r="AB671" s="7" t="s">
        <v>42</v>
      </c>
    </row>
    <row r="672" spans="1:28">
      <c r="A672" s="8">
        <v>665</v>
      </c>
      <c r="B672" s="8" t="s">
        <v>959</v>
      </c>
      <c r="C672" s="8" t="s">
        <v>953</v>
      </c>
      <c r="D672" s="8" t="s">
        <v>652</v>
      </c>
      <c r="E672" s="8" t="s">
        <v>33</v>
      </c>
      <c r="F672" s="6" t="s">
        <v>50</v>
      </c>
      <c r="G672" s="6" t="s">
        <v>35</v>
      </c>
      <c r="H672" s="6" t="s">
        <v>73</v>
      </c>
      <c r="I672" s="8">
        <v>128</v>
      </c>
      <c r="J672" s="8" t="s">
        <v>185</v>
      </c>
      <c r="K672" s="8" t="s">
        <v>53</v>
      </c>
      <c r="L672" s="10">
        <v>2</v>
      </c>
      <c r="M672" s="13">
        <v>8000.0</v>
      </c>
      <c r="N672" s="13"/>
      <c r="O672" s="15">
        <f>IF(M672&gt;0, N672/M672, 0)</f>
        <v>0</v>
      </c>
      <c r="P672" s="13">
        <f>M672-N672</f>
        <v>8000</v>
      </c>
      <c r="Q672" s="13">
        <f>L672*M672</f>
        <v>16000</v>
      </c>
      <c r="R672" s="13">
        <f>L672*N672</f>
        <v>0</v>
      </c>
      <c r="S672" s="13">
        <f>L672*P672</f>
        <v>16000</v>
      </c>
      <c r="T672" s="13"/>
      <c r="U672" s="13">
        <f>L672*T672</f>
        <v>0</v>
      </c>
      <c r="V672" s="13">
        <f>S672-U672</f>
        <v>16000</v>
      </c>
      <c r="W672" s="15">
        <f>IF(S672&gt;0, V672/S672, 0)</f>
        <v>1</v>
      </c>
      <c r="X672" s="6" t="s">
        <v>39</v>
      </c>
      <c r="Y672" s="8" t="s">
        <v>40</v>
      </c>
      <c r="Z672" s="8" t="s">
        <v>41</v>
      </c>
      <c r="AA672" s="8" t="s">
        <v>42</v>
      </c>
      <c r="AB672" s="6" t="s">
        <v>42</v>
      </c>
    </row>
    <row r="673" spans="1:28">
      <c r="A673" s="9">
        <v>666</v>
      </c>
      <c r="B673" s="9" t="s">
        <v>960</v>
      </c>
      <c r="C673" s="9" t="s">
        <v>953</v>
      </c>
      <c r="D673" s="9" t="s">
        <v>652</v>
      </c>
      <c r="E673" s="9" t="s">
        <v>33</v>
      </c>
      <c r="F673" s="7" t="s">
        <v>50</v>
      </c>
      <c r="G673" s="7" t="s">
        <v>45</v>
      </c>
      <c r="H673" s="7" t="s">
        <v>46</v>
      </c>
      <c r="I673" s="9">
        <v>128</v>
      </c>
      <c r="J673" s="9" t="s">
        <v>183</v>
      </c>
      <c r="K673" s="9" t="s">
        <v>38</v>
      </c>
      <c r="L673" s="11">
        <v>1</v>
      </c>
      <c r="M673" s="14">
        <v>18000.0</v>
      </c>
      <c r="N673" s="14"/>
      <c r="O673" s="16">
        <f>IF(M673&gt;0, N673/M673, 0)</f>
        <v>0</v>
      </c>
      <c r="P673" s="14">
        <f>M673-N673</f>
        <v>18000</v>
      </c>
      <c r="Q673" s="14">
        <f>L673*M673</f>
        <v>18000</v>
      </c>
      <c r="R673" s="14">
        <f>L673*N673</f>
        <v>0</v>
      </c>
      <c r="S673" s="14">
        <f>L673*P673</f>
        <v>18000</v>
      </c>
      <c r="T673" s="14"/>
      <c r="U673" s="14">
        <f>L673*T673</f>
        <v>0</v>
      </c>
      <c r="V673" s="14">
        <f>S673-U673</f>
        <v>18000</v>
      </c>
      <c r="W673" s="16">
        <f>IF(S673&gt;0, V673/S673, 0)</f>
        <v>1</v>
      </c>
      <c r="X673" s="7" t="s">
        <v>39</v>
      </c>
      <c r="Y673" s="9" t="s">
        <v>40</v>
      </c>
      <c r="Z673" s="9" t="s">
        <v>41</v>
      </c>
      <c r="AA673" s="9" t="s">
        <v>42</v>
      </c>
      <c r="AB673" s="7" t="s">
        <v>42</v>
      </c>
    </row>
    <row r="674" spans="1:28">
      <c r="A674" s="8">
        <v>667</v>
      </c>
      <c r="B674" s="8" t="s">
        <v>961</v>
      </c>
      <c r="C674" s="8" t="s">
        <v>953</v>
      </c>
      <c r="D674" s="8" t="s">
        <v>652</v>
      </c>
      <c r="E674" s="8" t="s">
        <v>68</v>
      </c>
      <c r="F674" s="6" t="s">
        <v>34</v>
      </c>
      <c r="G674" s="6" t="s">
        <v>35</v>
      </c>
      <c r="H674" s="6" t="s">
        <v>36</v>
      </c>
      <c r="I674" s="8">
        <v>188</v>
      </c>
      <c r="J674" s="8" t="s">
        <v>368</v>
      </c>
      <c r="K674" s="8" t="s">
        <v>38</v>
      </c>
      <c r="L674" s="10">
        <v>1</v>
      </c>
      <c r="M674" s="13">
        <v>10000.0</v>
      </c>
      <c r="N674" s="13"/>
      <c r="O674" s="15">
        <f>IF(M674&gt;0, N674/M674, 0)</f>
        <v>0</v>
      </c>
      <c r="P674" s="13">
        <f>M674-N674</f>
        <v>10000</v>
      </c>
      <c r="Q674" s="13">
        <f>L674*M674</f>
        <v>10000</v>
      </c>
      <c r="R674" s="13">
        <f>L674*N674</f>
        <v>0</v>
      </c>
      <c r="S674" s="13">
        <f>L674*P674</f>
        <v>10000</v>
      </c>
      <c r="T674" s="13"/>
      <c r="U674" s="13">
        <f>L674*T674</f>
        <v>0</v>
      </c>
      <c r="V674" s="13">
        <f>S674-U674</f>
        <v>10000</v>
      </c>
      <c r="W674" s="15">
        <f>IF(S674&gt;0, V674/S674, 0)</f>
        <v>1</v>
      </c>
      <c r="X674" s="6" t="s">
        <v>39</v>
      </c>
      <c r="Y674" s="8" t="s">
        <v>40</v>
      </c>
      <c r="Z674" s="8" t="s">
        <v>71</v>
      </c>
      <c r="AA674" s="8" t="s">
        <v>42</v>
      </c>
      <c r="AB674" s="6" t="s">
        <v>42</v>
      </c>
    </row>
    <row r="675" spans="1:28">
      <c r="A675" s="9">
        <v>668</v>
      </c>
      <c r="B675" s="9" t="s">
        <v>962</v>
      </c>
      <c r="C675" s="9" t="s">
        <v>953</v>
      </c>
      <c r="D675" s="9" t="s">
        <v>652</v>
      </c>
      <c r="E675" s="9" t="s">
        <v>68</v>
      </c>
      <c r="F675" s="7" t="s">
        <v>50</v>
      </c>
      <c r="G675" s="7" t="s">
        <v>35</v>
      </c>
      <c r="H675" s="7" t="s">
        <v>36</v>
      </c>
      <c r="I675" s="9">
        <v>134</v>
      </c>
      <c r="J675" s="9" t="s">
        <v>177</v>
      </c>
      <c r="K675" s="9" t="s">
        <v>53</v>
      </c>
      <c r="L675" s="11">
        <v>1</v>
      </c>
      <c r="M675" s="14">
        <v>9000.0</v>
      </c>
      <c r="N675" s="14"/>
      <c r="O675" s="16">
        <f>IF(M675&gt;0, N675/M675, 0)</f>
        <v>0</v>
      </c>
      <c r="P675" s="14">
        <f>M675-N675</f>
        <v>9000</v>
      </c>
      <c r="Q675" s="14">
        <f>L675*M675</f>
        <v>9000</v>
      </c>
      <c r="R675" s="14">
        <f>L675*N675</f>
        <v>0</v>
      </c>
      <c r="S675" s="14">
        <f>L675*P675</f>
        <v>9000</v>
      </c>
      <c r="T675" s="14"/>
      <c r="U675" s="14">
        <f>L675*T675</f>
        <v>0</v>
      </c>
      <c r="V675" s="14">
        <f>S675-U675</f>
        <v>9000</v>
      </c>
      <c r="W675" s="16">
        <f>IF(S675&gt;0, V675/S675, 0)</f>
        <v>1</v>
      </c>
      <c r="X675" s="7" t="s">
        <v>39</v>
      </c>
      <c r="Y675" s="9" t="s">
        <v>40</v>
      </c>
      <c r="Z675" s="9" t="s">
        <v>71</v>
      </c>
      <c r="AA675" s="9" t="s">
        <v>42</v>
      </c>
      <c r="AB675" s="7" t="s">
        <v>42</v>
      </c>
    </row>
    <row r="676" spans="1:28">
      <c r="A676" s="8">
        <v>669</v>
      </c>
      <c r="B676" s="8" t="s">
        <v>963</v>
      </c>
      <c r="C676" s="8" t="s">
        <v>953</v>
      </c>
      <c r="D676" s="8" t="s">
        <v>652</v>
      </c>
      <c r="E676" s="8" t="s">
        <v>33</v>
      </c>
      <c r="F676" s="6" t="s">
        <v>34</v>
      </c>
      <c r="G676" s="6" t="s">
        <v>63</v>
      </c>
      <c r="H676" s="6" t="s">
        <v>148</v>
      </c>
      <c r="I676" s="8">
        <v>188</v>
      </c>
      <c r="J676" s="8" t="s">
        <v>169</v>
      </c>
      <c r="K676" s="8" t="s">
        <v>38</v>
      </c>
      <c r="L676" s="10">
        <v>1</v>
      </c>
      <c r="M676" s="13">
        <v>9500.0</v>
      </c>
      <c r="N676" s="13"/>
      <c r="O676" s="15">
        <f>IF(M676&gt;0, N676/M676, 0)</f>
        <v>0</v>
      </c>
      <c r="P676" s="13">
        <f>M676-N676</f>
        <v>9500</v>
      </c>
      <c r="Q676" s="13">
        <f>L676*M676</f>
        <v>9500</v>
      </c>
      <c r="R676" s="13">
        <f>L676*N676</f>
        <v>0</v>
      </c>
      <c r="S676" s="13">
        <f>L676*P676</f>
        <v>9500</v>
      </c>
      <c r="T676" s="13"/>
      <c r="U676" s="13">
        <f>L676*T676</f>
        <v>0</v>
      </c>
      <c r="V676" s="13">
        <f>S676-U676</f>
        <v>9500</v>
      </c>
      <c r="W676" s="15">
        <f>IF(S676&gt;0, V676/S676, 0)</f>
        <v>1</v>
      </c>
      <c r="X676" s="6" t="s">
        <v>39</v>
      </c>
      <c r="Y676" s="8" t="s">
        <v>40</v>
      </c>
      <c r="Z676" s="8" t="s">
        <v>41</v>
      </c>
      <c r="AA676" s="8" t="s">
        <v>42</v>
      </c>
      <c r="AB676" s="6" t="s">
        <v>42</v>
      </c>
    </row>
    <row r="677" spans="1:28">
      <c r="A677" s="9">
        <v>670</v>
      </c>
      <c r="B677" s="9" t="s">
        <v>964</v>
      </c>
      <c r="C677" s="9" t="s">
        <v>953</v>
      </c>
      <c r="D677" s="9" t="s">
        <v>652</v>
      </c>
      <c r="E677" s="9" t="s">
        <v>33</v>
      </c>
      <c r="F677" s="7" t="s">
        <v>50</v>
      </c>
      <c r="G677" s="7" t="s">
        <v>69</v>
      </c>
      <c r="H677" s="7" t="s">
        <v>69</v>
      </c>
      <c r="I677" s="9">
        <v>128</v>
      </c>
      <c r="J677" s="9" t="s">
        <v>110</v>
      </c>
      <c r="K677" s="9" t="s">
        <v>38</v>
      </c>
      <c r="L677" s="11">
        <v>1</v>
      </c>
      <c r="M677" s="14">
        <v>16000.0</v>
      </c>
      <c r="N677" s="14"/>
      <c r="O677" s="16">
        <f>IF(M677&gt;0, N677/M677, 0)</f>
        <v>0</v>
      </c>
      <c r="P677" s="14">
        <f>M677-N677</f>
        <v>16000</v>
      </c>
      <c r="Q677" s="14">
        <f>L677*M677</f>
        <v>16000</v>
      </c>
      <c r="R677" s="14">
        <f>L677*N677</f>
        <v>0</v>
      </c>
      <c r="S677" s="14">
        <f>L677*P677</f>
        <v>16000</v>
      </c>
      <c r="T677" s="14"/>
      <c r="U677" s="14">
        <f>L677*T677</f>
        <v>0</v>
      </c>
      <c r="V677" s="14">
        <f>S677-U677</f>
        <v>16000</v>
      </c>
      <c r="W677" s="16">
        <f>IF(S677&gt;0, V677/S677, 0)</f>
        <v>1</v>
      </c>
      <c r="X677" s="7" t="s">
        <v>39</v>
      </c>
      <c r="Y677" s="9" t="s">
        <v>40</v>
      </c>
      <c r="Z677" s="9" t="s">
        <v>41</v>
      </c>
      <c r="AA677" s="9" t="s">
        <v>42</v>
      </c>
      <c r="AB677" s="7" t="s">
        <v>42</v>
      </c>
    </row>
    <row r="678" spans="1:28">
      <c r="A678" s="8">
        <v>671</v>
      </c>
      <c r="B678" s="8" t="s">
        <v>965</v>
      </c>
      <c r="C678" s="8" t="s">
        <v>953</v>
      </c>
      <c r="D678" s="8" t="s">
        <v>652</v>
      </c>
      <c r="E678" s="8" t="s">
        <v>33</v>
      </c>
      <c r="F678" s="6" t="s">
        <v>50</v>
      </c>
      <c r="G678" s="6" t="s">
        <v>56</v>
      </c>
      <c r="H678" s="6" t="s">
        <v>56</v>
      </c>
      <c r="I678" s="8">
        <v>110</v>
      </c>
      <c r="J678" s="8" t="s">
        <v>957</v>
      </c>
      <c r="K678" s="8" t="s">
        <v>38</v>
      </c>
      <c r="L678" s="10">
        <v>1</v>
      </c>
      <c r="M678" s="13">
        <v>7000.0</v>
      </c>
      <c r="N678" s="13"/>
      <c r="O678" s="15">
        <f>IF(M678&gt;0, N678/M678, 0)</f>
        <v>0</v>
      </c>
      <c r="P678" s="13">
        <f>M678-N678</f>
        <v>7000</v>
      </c>
      <c r="Q678" s="13">
        <f>L678*M678</f>
        <v>7000</v>
      </c>
      <c r="R678" s="13">
        <f>L678*N678</f>
        <v>0</v>
      </c>
      <c r="S678" s="13">
        <f>L678*P678</f>
        <v>7000</v>
      </c>
      <c r="T678" s="13"/>
      <c r="U678" s="13">
        <f>L678*T678</f>
        <v>0</v>
      </c>
      <c r="V678" s="13">
        <f>S678-U678</f>
        <v>7000</v>
      </c>
      <c r="W678" s="15">
        <f>IF(S678&gt;0, V678/S678, 0)</f>
        <v>1</v>
      </c>
      <c r="X678" s="6" t="s">
        <v>39</v>
      </c>
      <c r="Y678" s="8" t="s">
        <v>40</v>
      </c>
      <c r="Z678" s="8" t="s">
        <v>41</v>
      </c>
      <c r="AA678" s="8" t="s">
        <v>42</v>
      </c>
      <c r="AB678" s="6" t="s">
        <v>42</v>
      </c>
    </row>
    <row r="679" spans="1:28">
      <c r="A679" s="9">
        <v>672</v>
      </c>
      <c r="B679" s="9" t="s">
        <v>966</v>
      </c>
      <c r="C679" s="9" t="s">
        <v>953</v>
      </c>
      <c r="D679" s="9" t="s">
        <v>652</v>
      </c>
      <c r="E679" s="9" t="s">
        <v>33</v>
      </c>
      <c r="F679" s="7" t="s">
        <v>50</v>
      </c>
      <c r="G679" s="7" t="s">
        <v>35</v>
      </c>
      <c r="H679" s="7" t="s">
        <v>73</v>
      </c>
      <c r="I679" s="9">
        <v>122</v>
      </c>
      <c r="J679" s="9" t="s">
        <v>102</v>
      </c>
      <c r="K679" s="9" t="s">
        <v>53</v>
      </c>
      <c r="L679" s="11">
        <v>1</v>
      </c>
      <c r="M679" s="14">
        <v>8000.0</v>
      </c>
      <c r="N679" s="14"/>
      <c r="O679" s="16">
        <f>IF(M679&gt;0, N679/M679, 0)</f>
        <v>0</v>
      </c>
      <c r="P679" s="14">
        <f>M679-N679</f>
        <v>8000</v>
      </c>
      <c r="Q679" s="14">
        <f>L679*M679</f>
        <v>8000</v>
      </c>
      <c r="R679" s="14">
        <f>L679*N679</f>
        <v>0</v>
      </c>
      <c r="S679" s="14">
        <f>L679*P679</f>
        <v>8000</v>
      </c>
      <c r="T679" s="14"/>
      <c r="U679" s="14">
        <f>L679*T679</f>
        <v>0</v>
      </c>
      <c r="V679" s="14">
        <f>S679-U679</f>
        <v>8000</v>
      </c>
      <c r="W679" s="16">
        <f>IF(S679&gt;0, V679/S679, 0)</f>
        <v>1</v>
      </c>
      <c r="X679" s="7" t="s">
        <v>39</v>
      </c>
      <c r="Y679" s="9" t="s">
        <v>40</v>
      </c>
      <c r="Z679" s="9" t="s">
        <v>41</v>
      </c>
      <c r="AA679" s="9" t="s">
        <v>42</v>
      </c>
      <c r="AB679" s="7" t="s">
        <v>42</v>
      </c>
    </row>
    <row r="680" spans="1:28">
      <c r="A680" s="8">
        <v>673</v>
      </c>
      <c r="B680" s="8" t="s">
        <v>967</v>
      </c>
      <c r="C680" s="8" t="s">
        <v>953</v>
      </c>
      <c r="D680" s="8" t="s">
        <v>652</v>
      </c>
      <c r="E680" s="8" t="s">
        <v>33</v>
      </c>
      <c r="F680" s="6" t="s">
        <v>50</v>
      </c>
      <c r="G680" s="6" t="s">
        <v>51</v>
      </c>
      <c r="H680" s="6" t="s">
        <v>51</v>
      </c>
      <c r="I680" s="8">
        <v>122</v>
      </c>
      <c r="J680" s="8" t="s">
        <v>82</v>
      </c>
      <c r="K680" s="8" t="s">
        <v>53</v>
      </c>
      <c r="L680" s="10">
        <v>1</v>
      </c>
      <c r="M680" s="13">
        <v>8000.0</v>
      </c>
      <c r="N680" s="13"/>
      <c r="O680" s="15">
        <f>IF(M680&gt;0, N680/M680, 0)</f>
        <v>0</v>
      </c>
      <c r="P680" s="13">
        <f>M680-N680</f>
        <v>8000</v>
      </c>
      <c r="Q680" s="13">
        <f>L680*M680</f>
        <v>8000</v>
      </c>
      <c r="R680" s="13">
        <f>L680*N680</f>
        <v>0</v>
      </c>
      <c r="S680" s="13">
        <f>L680*P680</f>
        <v>8000</v>
      </c>
      <c r="T680" s="13"/>
      <c r="U680" s="13">
        <f>L680*T680</f>
        <v>0</v>
      </c>
      <c r="V680" s="13">
        <f>S680-U680</f>
        <v>8000</v>
      </c>
      <c r="W680" s="15">
        <f>IF(S680&gt;0, V680/S680, 0)</f>
        <v>1</v>
      </c>
      <c r="X680" s="6" t="s">
        <v>39</v>
      </c>
      <c r="Y680" s="8" t="s">
        <v>40</v>
      </c>
      <c r="Z680" s="8" t="s">
        <v>41</v>
      </c>
      <c r="AA680" s="8" t="s">
        <v>42</v>
      </c>
      <c r="AB680" s="6" t="s">
        <v>42</v>
      </c>
    </row>
    <row r="681" spans="1:28">
      <c r="A681" s="9">
        <v>674</v>
      </c>
      <c r="B681" s="9" t="s">
        <v>968</v>
      </c>
      <c r="C681" s="9" t="s">
        <v>953</v>
      </c>
      <c r="D681" s="9" t="s">
        <v>652</v>
      </c>
      <c r="E681" s="9" t="s">
        <v>33</v>
      </c>
      <c r="F681" s="7" t="s">
        <v>50</v>
      </c>
      <c r="G681" s="7" t="s">
        <v>35</v>
      </c>
      <c r="H681" s="7" t="s">
        <v>36</v>
      </c>
      <c r="I681" s="9">
        <v>134</v>
      </c>
      <c r="J681" s="9" t="s">
        <v>177</v>
      </c>
      <c r="K681" s="9" t="s">
        <v>53</v>
      </c>
      <c r="L681" s="11">
        <v>1</v>
      </c>
      <c r="M681" s="14">
        <v>7000.0</v>
      </c>
      <c r="N681" s="14"/>
      <c r="O681" s="16">
        <f>IF(M681&gt;0, N681/M681, 0)</f>
        <v>0</v>
      </c>
      <c r="P681" s="14">
        <f>M681-N681</f>
        <v>7000</v>
      </c>
      <c r="Q681" s="14">
        <f>L681*M681</f>
        <v>7000</v>
      </c>
      <c r="R681" s="14">
        <f>L681*N681</f>
        <v>0</v>
      </c>
      <c r="S681" s="14">
        <f>L681*P681</f>
        <v>7000</v>
      </c>
      <c r="T681" s="14"/>
      <c r="U681" s="14">
        <f>L681*T681</f>
        <v>0</v>
      </c>
      <c r="V681" s="14">
        <f>S681-U681</f>
        <v>7000</v>
      </c>
      <c r="W681" s="16">
        <f>IF(S681&gt;0, V681/S681, 0)</f>
        <v>1</v>
      </c>
      <c r="X681" s="7" t="s">
        <v>39</v>
      </c>
      <c r="Y681" s="9" t="s">
        <v>40</v>
      </c>
      <c r="Z681" s="9" t="s">
        <v>41</v>
      </c>
      <c r="AA681" s="9" t="s">
        <v>42</v>
      </c>
      <c r="AB681" s="7" t="s">
        <v>42</v>
      </c>
    </row>
    <row r="682" spans="1:28">
      <c r="A682" s="8">
        <v>675</v>
      </c>
      <c r="B682" s="8" t="s">
        <v>969</v>
      </c>
      <c r="C682" s="8" t="s">
        <v>953</v>
      </c>
      <c r="D682" s="8" t="s">
        <v>652</v>
      </c>
      <c r="E682" s="8" t="s">
        <v>33</v>
      </c>
      <c r="F682" s="6" t="s">
        <v>50</v>
      </c>
      <c r="G682" s="6" t="s">
        <v>69</v>
      </c>
      <c r="H682" s="6" t="s">
        <v>69</v>
      </c>
      <c r="I682" s="8">
        <v>116</v>
      </c>
      <c r="J682" s="8" t="s">
        <v>87</v>
      </c>
      <c r="K682" s="8" t="s">
        <v>38</v>
      </c>
      <c r="L682" s="10">
        <v>1</v>
      </c>
      <c r="M682" s="13">
        <v>16000.0</v>
      </c>
      <c r="N682" s="13"/>
      <c r="O682" s="15">
        <f>IF(M682&gt;0, N682/M682, 0)</f>
        <v>0</v>
      </c>
      <c r="P682" s="13">
        <f>M682-N682</f>
        <v>16000</v>
      </c>
      <c r="Q682" s="13">
        <f>L682*M682</f>
        <v>16000</v>
      </c>
      <c r="R682" s="13">
        <f>L682*N682</f>
        <v>0</v>
      </c>
      <c r="S682" s="13">
        <f>L682*P682</f>
        <v>16000</v>
      </c>
      <c r="T682" s="13"/>
      <c r="U682" s="13">
        <f>L682*T682</f>
        <v>0</v>
      </c>
      <c r="V682" s="13">
        <f>S682-U682</f>
        <v>16000</v>
      </c>
      <c r="W682" s="15">
        <f>IF(S682&gt;0, V682/S682, 0)</f>
        <v>1</v>
      </c>
      <c r="X682" s="6" t="s">
        <v>39</v>
      </c>
      <c r="Y682" s="8" t="s">
        <v>40</v>
      </c>
      <c r="Z682" s="8" t="s">
        <v>41</v>
      </c>
      <c r="AA682" s="8" t="s">
        <v>42</v>
      </c>
      <c r="AB682" s="6" t="s">
        <v>42</v>
      </c>
    </row>
    <row r="683" spans="1:28">
      <c r="A683" s="9">
        <v>676</v>
      </c>
      <c r="B683" s="9" t="s">
        <v>970</v>
      </c>
      <c r="C683" s="9" t="s">
        <v>953</v>
      </c>
      <c r="D683" s="9" t="s">
        <v>652</v>
      </c>
      <c r="E683" s="9" t="s">
        <v>33</v>
      </c>
      <c r="F683" s="7" t="s">
        <v>50</v>
      </c>
      <c r="G683" s="7" t="s">
        <v>69</v>
      </c>
      <c r="H683" s="7" t="s">
        <v>69</v>
      </c>
      <c r="I683" s="9">
        <v>152</v>
      </c>
      <c r="J683" s="9" t="s">
        <v>350</v>
      </c>
      <c r="K683" s="9" t="s">
        <v>38</v>
      </c>
      <c r="L683" s="11">
        <v>2</v>
      </c>
      <c r="M683" s="14">
        <v>16000.0</v>
      </c>
      <c r="N683" s="14"/>
      <c r="O683" s="16">
        <f>IF(M683&gt;0, N683/M683, 0)</f>
        <v>0</v>
      </c>
      <c r="P683" s="14">
        <f>M683-N683</f>
        <v>16000</v>
      </c>
      <c r="Q683" s="14">
        <f>L683*M683</f>
        <v>32000</v>
      </c>
      <c r="R683" s="14">
        <f>L683*N683</f>
        <v>0</v>
      </c>
      <c r="S683" s="14">
        <f>L683*P683</f>
        <v>32000</v>
      </c>
      <c r="T683" s="14"/>
      <c r="U683" s="14">
        <f>L683*T683</f>
        <v>0</v>
      </c>
      <c r="V683" s="14">
        <f>S683-U683</f>
        <v>32000</v>
      </c>
      <c r="W683" s="16">
        <f>IF(S683&gt;0, V683/S683, 0)</f>
        <v>1</v>
      </c>
      <c r="X683" s="7" t="s">
        <v>39</v>
      </c>
      <c r="Y683" s="9" t="s">
        <v>40</v>
      </c>
      <c r="Z683" s="9" t="s">
        <v>41</v>
      </c>
      <c r="AA683" s="9" t="s">
        <v>42</v>
      </c>
      <c r="AB683" s="7" t="s">
        <v>42</v>
      </c>
    </row>
    <row r="684" spans="1:28">
      <c r="A684" s="8">
        <v>677</v>
      </c>
      <c r="B684" s="8" t="s">
        <v>971</v>
      </c>
      <c r="C684" s="8" t="s">
        <v>953</v>
      </c>
      <c r="D684" s="8" t="s">
        <v>652</v>
      </c>
      <c r="E684" s="8" t="s">
        <v>33</v>
      </c>
      <c r="F684" s="6" t="s">
        <v>50</v>
      </c>
      <c r="G684" s="6" t="s">
        <v>51</v>
      </c>
      <c r="H684" s="6" t="s">
        <v>51</v>
      </c>
      <c r="I684" s="8">
        <v>152</v>
      </c>
      <c r="J684" s="8" t="s">
        <v>402</v>
      </c>
      <c r="K684" s="8" t="s">
        <v>53</v>
      </c>
      <c r="L684" s="10">
        <v>1</v>
      </c>
      <c r="M684" s="13">
        <v>8000.0</v>
      </c>
      <c r="N684" s="13"/>
      <c r="O684" s="15">
        <f>IF(M684&gt;0, N684/M684, 0)</f>
        <v>0</v>
      </c>
      <c r="P684" s="13">
        <f>M684-N684</f>
        <v>8000</v>
      </c>
      <c r="Q684" s="13">
        <f>L684*M684</f>
        <v>8000</v>
      </c>
      <c r="R684" s="13">
        <f>L684*N684</f>
        <v>0</v>
      </c>
      <c r="S684" s="13">
        <f>L684*P684</f>
        <v>8000</v>
      </c>
      <c r="T684" s="13"/>
      <c r="U684" s="13">
        <f>L684*T684</f>
        <v>0</v>
      </c>
      <c r="V684" s="13">
        <f>S684-U684</f>
        <v>8000</v>
      </c>
      <c r="W684" s="15">
        <f>IF(S684&gt;0, V684/S684, 0)</f>
        <v>1</v>
      </c>
      <c r="X684" s="6" t="s">
        <v>39</v>
      </c>
      <c r="Y684" s="8" t="s">
        <v>40</v>
      </c>
      <c r="Z684" s="8" t="s">
        <v>41</v>
      </c>
      <c r="AA684" s="8" t="s">
        <v>42</v>
      </c>
      <c r="AB684" s="6" t="s">
        <v>42</v>
      </c>
    </row>
    <row r="685" spans="1:28">
      <c r="A685" s="9">
        <v>678</v>
      </c>
      <c r="B685" s="9" t="s">
        <v>972</v>
      </c>
      <c r="C685" s="9" t="s">
        <v>953</v>
      </c>
      <c r="D685" s="9" t="s">
        <v>652</v>
      </c>
      <c r="E685" s="9" t="s">
        <v>33</v>
      </c>
      <c r="F685" s="7" t="s">
        <v>50</v>
      </c>
      <c r="G685" s="7" t="s">
        <v>35</v>
      </c>
      <c r="H685" s="7" t="s">
        <v>36</v>
      </c>
      <c r="I685" s="9">
        <v>152</v>
      </c>
      <c r="J685" s="9" t="s">
        <v>151</v>
      </c>
      <c r="K685" s="9" t="s">
        <v>53</v>
      </c>
      <c r="L685" s="11">
        <v>1</v>
      </c>
      <c r="M685" s="14">
        <v>7000.0</v>
      </c>
      <c r="N685" s="14"/>
      <c r="O685" s="16">
        <f>IF(M685&gt;0, N685/M685, 0)</f>
        <v>0</v>
      </c>
      <c r="P685" s="14">
        <f>M685-N685</f>
        <v>7000</v>
      </c>
      <c r="Q685" s="14">
        <f>L685*M685</f>
        <v>7000</v>
      </c>
      <c r="R685" s="14">
        <f>L685*N685</f>
        <v>0</v>
      </c>
      <c r="S685" s="14">
        <f>L685*P685</f>
        <v>7000</v>
      </c>
      <c r="T685" s="14"/>
      <c r="U685" s="14">
        <f>L685*T685</f>
        <v>0</v>
      </c>
      <c r="V685" s="14">
        <f>S685-U685</f>
        <v>7000</v>
      </c>
      <c r="W685" s="16">
        <f>IF(S685&gt;0, V685/S685, 0)</f>
        <v>1</v>
      </c>
      <c r="X685" s="7" t="s">
        <v>39</v>
      </c>
      <c r="Y685" s="9" t="s">
        <v>40</v>
      </c>
      <c r="Z685" s="9" t="s">
        <v>41</v>
      </c>
      <c r="AA685" s="9" t="s">
        <v>42</v>
      </c>
      <c r="AB685" s="7" t="s">
        <v>42</v>
      </c>
    </row>
    <row r="686" spans="1:28">
      <c r="A686" s="8">
        <v>679</v>
      </c>
      <c r="B686" s="8" t="s">
        <v>973</v>
      </c>
      <c r="C686" s="8" t="s">
        <v>953</v>
      </c>
      <c r="D686" s="8" t="s">
        <v>652</v>
      </c>
      <c r="E686" s="8" t="s">
        <v>68</v>
      </c>
      <c r="F686" s="6" t="s">
        <v>34</v>
      </c>
      <c r="G686" s="6" t="s">
        <v>35</v>
      </c>
      <c r="H686" s="6" t="s">
        <v>36</v>
      </c>
      <c r="I686" s="8">
        <v>152</v>
      </c>
      <c r="J686" s="8" t="s">
        <v>726</v>
      </c>
      <c r="K686" s="8" t="s">
        <v>38</v>
      </c>
      <c r="L686" s="10">
        <v>2</v>
      </c>
      <c r="M686" s="13">
        <v>10000.0</v>
      </c>
      <c r="N686" s="13"/>
      <c r="O686" s="15">
        <f>IF(M686&gt;0, N686/M686, 0)</f>
        <v>0</v>
      </c>
      <c r="P686" s="13">
        <f>M686-N686</f>
        <v>10000</v>
      </c>
      <c r="Q686" s="13">
        <f>L686*M686</f>
        <v>20000</v>
      </c>
      <c r="R686" s="13">
        <f>L686*N686</f>
        <v>0</v>
      </c>
      <c r="S686" s="13">
        <f>L686*P686</f>
        <v>20000</v>
      </c>
      <c r="T686" s="13"/>
      <c r="U686" s="13">
        <f>L686*T686</f>
        <v>0</v>
      </c>
      <c r="V686" s="13">
        <f>S686-U686</f>
        <v>20000</v>
      </c>
      <c r="W686" s="15">
        <f>IF(S686&gt;0, V686/S686, 0)</f>
        <v>1</v>
      </c>
      <c r="X686" s="6" t="s">
        <v>39</v>
      </c>
      <c r="Y686" s="8" t="s">
        <v>40</v>
      </c>
      <c r="Z686" s="8" t="s">
        <v>71</v>
      </c>
      <c r="AA686" s="8" t="s">
        <v>42</v>
      </c>
      <c r="AB686" s="6" t="s">
        <v>42</v>
      </c>
    </row>
    <row r="687" spans="1:28">
      <c r="A687" s="9">
        <v>680</v>
      </c>
      <c r="B687" s="9" t="s">
        <v>974</v>
      </c>
      <c r="C687" s="9" t="s">
        <v>953</v>
      </c>
      <c r="D687" s="9" t="s">
        <v>652</v>
      </c>
      <c r="E687" s="9" t="s">
        <v>33</v>
      </c>
      <c r="F687" s="7" t="s">
        <v>34</v>
      </c>
      <c r="G687" s="7" t="s">
        <v>45</v>
      </c>
      <c r="H687" s="7" t="s">
        <v>46</v>
      </c>
      <c r="I687" s="9">
        <v>158</v>
      </c>
      <c r="J687" s="9" t="s">
        <v>47</v>
      </c>
      <c r="K687" s="9" t="s">
        <v>38</v>
      </c>
      <c r="L687" s="11">
        <v>1</v>
      </c>
      <c r="M687" s="14">
        <v>18000.0</v>
      </c>
      <c r="N687" s="14"/>
      <c r="O687" s="16">
        <f>IF(M687&gt;0, N687/M687, 0)</f>
        <v>0</v>
      </c>
      <c r="P687" s="14">
        <f>M687-N687</f>
        <v>18000</v>
      </c>
      <c r="Q687" s="14">
        <f>L687*M687</f>
        <v>18000</v>
      </c>
      <c r="R687" s="14">
        <f>L687*N687</f>
        <v>0</v>
      </c>
      <c r="S687" s="14">
        <f>L687*P687</f>
        <v>18000</v>
      </c>
      <c r="T687" s="14"/>
      <c r="U687" s="14">
        <f>L687*T687</f>
        <v>0</v>
      </c>
      <c r="V687" s="14">
        <f>S687-U687</f>
        <v>18000</v>
      </c>
      <c r="W687" s="16">
        <f>IF(S687&gt;0, V687/S687, 0)</f>
        <v>1</v>
      </c>
      <c r="X687" s="7" t="s">
        <v>39</v>
      </c>
      <c r="Y687" s="9" t="s">
        <v>40</v>
      </c>
      <c r="Z687" s="9" t="s">
        <v>41</v>
      </c>
      <c r="AA687" s="9" t="s">
        <v>42</v>
      </c>
      <c r="AB687" s="7" t="s">
        <v>42</v>
      </c>
    </row>
    <row r="688" spans="1:28">
      <c r="A688" s="8">
        <v>681</v>
      </c>
      <c r="B688" s="8" t="s">
        <v>975</v>
      </c>
      <c r="C688" s="8" t="s">
        <v>953</v>
      </c>
      <c r="D688" s="8" t="s">
        <v>652</v>
      </c>
      <c r="E688" s="8" t="s">
        <v>33</v>
      </c>
      <c r="F688" s="6" t="s">
        <v>34</v>
      </c>
      <c r="G688" s="6" t="s">
        <v>35</v>
      </c>
      <c r="H688" s="6" t="s">
        <v>36</v>
      </c>
      <c r="I688" s="8">
        <v>170</v>
      </c>
      <c r="J688" s="8" t="s">
        <v>142</v>
      </c>
      <c r="K688" s="8" t="s">
        <v>38</v>
      </c>
      <c r="L688" s="10">
        <v>1</v>
      </c>
      <c r="M688" s="13">
        <v>8000.0</v>
      </c>
      <c r="N688" s="13"/>
      <c r="O688" s="15">
        <f>IF(M688&gt;0, N688/M688, 0)</f>
        <v>0</v>
      </c>
      <c r="P688" s="13">
        <f>M688-N688</f>
        <v>8000</v>
      </c>
      <c r="Q688" s="13">
        <f>L688*M688</f>
        <v>8000</v>
      </c>
      <c r="R688" s="13">
        <f>L688*N688</f>
        <v>0</v>
      </c>
      <c r="S688" s="13">
        <f>L688*P688</f>
        <v>8000</v>
      </c>
      <c r="T688" s="13"/>
      <c r="U688" s="13">
        <f>L688*T688</f>
        <v>0</v>
      </c>
      <c r="V688" s="13">
        <f>S688-U688</f>
        <v>8000</v>
      </c>
      <c r="W688" s="15">
        <f>IF(S688&gt;0, V688/S688, 0)</f>
        <v>1</v>
      </c>
      <c r="X688" s="6" t="s">
        <v>39</v>
      </c>
      <c r="Y688" s="8" t="s">
        <v>40</v>
      </c>
      <c r="Z688" s="8" t="s">
        <v>41</v>
      </c>
      <c r="AA688" s="8" t="s">
        <v>42</v>
      </c>
      <c r="AB688" s="6" t="s">
        <v>42</v>
      </c>
    </row>
    <row r="689" spans="1:28">
      <c r="A689" s="9">
        <v>682</v>
      </c>
      <c r="B689" s="9" t="s">
        <v>976</v>
      </c>
      <c r="C689" s="9" t="s">
        <v>953</v>
      </c>
      <c r="D689" s="9" t="s">
        <v>652</v>
      </c>
      <c r="E689" s="9" t="s">
        <v>68</v>
      </c>
      <c r="F689" s="7" t="s">
        <v>50</v>
      </c>
      <c r="G689" s="7" t="s">
        <v>63</v>
      </c>
      <c r="H689" s="7" t="s">
        <v>148</v>
      </c>
      <c r="I689" s="9">
        <v>140</v>
      </c>
      <c r="J689" s="9" t="s">
        <v>221</v>
      </c>
      <c r="K689" s="9" t="s">
        <v>38</v>
      </c>
      <c r="L689" s="11">
        <v>1</v>
      </c>
      <c r="M689" s="14">
        <v>10000.0</v>
      </c>
      <c r="N689" s="14"/>
      <c r="O689" s="16">
        <f>IF(M689&gt;0, N689/M689, 0)</f>
        <v>0</v>
      </c>
      <c r="P689" s="14">
        <f>M689-N689</f>
        <v>10000</v>
      </c>
      <c r="Q689" s="14">
        <f>L689*M689</f>
        <v>10000</v>
      </c>
      <c r="R689" s="14">
        <f>L689*N689</f>
        <v>0</v>
      </c>
      <c r="S689" s="14">
        <f>L689*P689</f>
        <v>10000</v>
      </c>
      <c r="T689" s="14"/>
      <c r="U689" s="14">
        <f>L689*T689</f>
        <v>0</v>
      </c>
      <c r="V689" s="14">
        <f>S689-U689</f>
        <v>10000</v>
      </c>
      <c r="W689" s="16">
        <f>IF(S689&gt;0, V689/S689, 0)</f>
        <v>1</v>
      </c>
      <c r="X689" s="7" t="s">
        <v>39</v>
      </c>
      <c r="Y689" s="9" t="s">
        <v>40</v>
      </c>
      <c r="Z689" s="9" t="s">
        <v>71</v>
      </c>
      <c r="AA689" s="9" t="s">
        <v>42</v>
      </c>
      <c r="AB689" s="7" t="s">
        <v>42</v>
      </c>
    </row>
    <row r="690" spans="1:28">
      <c r="A690" s="8">
        <v>683</v>
      </c>
      <c r="B690" s="8" t="s">
        <v>977</v>
      </c>
      <c r="C690" s="8" t="s">
        <v>953</v>
      </c>
      <c r="D690" s="8" t="s">
        <v>652</v>
      </c>
      <c r="E690" s="8" t="s">
        <v>68</v>
      </c>
      <c r="F690" s="6" t="s">
        <v>50</v>
      </c>
      <c r="G690" s="6" t="s">
        <v>56</v>
      </c>
      <c r="H690" s="6" t="s">
        <v>56</v>
      </c>
      <c r="I690" s="8">
        <v>140</v>
      </c>
      <c r="J690" s="8" t="s">
        <v>597</v>
      </c>
      <c r="K690" s="8" t="s">
        <v>38</v>
      </c>
      <c r="L690" s="10">
        <v>1</v>
      </c>
      <c r="M690" s="13">
        <v>8000.0</v>
      </c>
      <c r="N690" s="13"/>
      <c r="O690" s="15">
        <f>IF(M690&gt;0, N690/M690, 0)</f>
        <v>0</v>
      </c>
      <c r="P690" s="13">
        <f>M690-N690</f>
        <v>8000</v>
      </c>
      <c r="Q690" s="13">
        <f>L690*M690</f>
        <v>8000</v>
      </c>
      <c r="R690" s="13">
        <f>L690*N690</f>
        <v>0</v>
      </c>
      <c r="S690" s="13">
        <f>L690*P690</f>
        <v>8000</v>
      </c>
      <c r="T690" s="13"/>
      <c r="U690" s="13">
        <f>L690*T690</f>
        <v>0</v>
      </c>
      <c r="V690" s="13">
        <f>S690-U690</f>
        <v>8000</v>
      </c>
      <c r="W690" s="15">
        <f>IF(S690&gt;0, V690/S690, 0)</f>
        <v>1</v>
      </c>
      <c r="X690" s="6" t="s">
        <v>39</v>
      </c>
      <c r="Y690" s="8" t="s">
        <v>40</v>
      </c>
      <c r="Z690" s="8" t="s">
        <v>71</v>
      </c>
      <c r="AA690" s="8" t="s">
        <v>42</v>
      </c>
      <c r="AB690" s="6" t="s">
        <v>42</v>
      </c>
    </row>
    <row r="691" spans="1:28">
      <c r="A691" s="9">
        <v>684</v>
      </c>
      <c r="B691" s="9" t="s">
        <v>978</v>
      </c>
      <c r="C691" s="9" t="s">
        <v>953</v>
      </c>
      <c r="D691" s="9" t="s">
        <v>652</v>
      </c>
      <c r="E691" s="9" t="s">
        <v>33</v>
      </c>
      <c r="F691" s="7" t="s">
        <v>50</v>
      </c>
      <c r="G691" s="7" t="s">
        <v>51</v>
      </c>
      <c r="H691" s="7" t="s">
        <v>51</v>
      </c>
      <c r="I691" s="9">
        <v>146</v>
      </c>
      <c r="J691" s="9" t="s">
        <v>254</v>
      </c>
      <c r="K691" s="9" t="s">
        <v>53</v>
      </c>
      <c r="L691" s="11">
        <v>1</v>
      </c>
      <c r="M691" s="14">
        <v>8000.0</v>
      </c>
      <c r="N691" s="14"/>
      <c r="O691" s="16">
        <f>IF(M691&gt;0, N691/M691, 0)</f>
        <v>0</v>
      </c>
      <c r="P691" s="14">
        <f>M691-N691</f>
        <v>8000</v>
      </c>
      <c r="Q691" s="14">
        <f>L691*M691</f>
        <v>8000</v>
      </c>
      <c r="R691" s="14">
        <f>L691*N691</f>
        <v>0</v>
      </c>
      <c r="S691" s="14">
        <f>L691*P691</f>
        <v>8000</v>
      </c>
      <c r="T691" s="14"/>
      <c r="U691" s="14">
        <f>L691*T691</f>
        <v>0</v>
      </c>
      <c r="V691" s="14">
        <f>S691-U691</f>
        <v>8000</v>
      </c>
      <c r="W691" s="16">
        <f>IF(S691&gt;0, V691/S691, 0)</f>
        <v>1</v>
      </c>
      <c r="X691" s="7" t="s">
        <v>39</v>
      </c>
      <c r="Y691" s="9" t="s">
        <v>40</v>
      </c>
      <c r="Z691" s="9" t="s">
        <v>41</v>
      </c>
      <c r="AA691" s="9" t="s">
        <v>42</v>
      </c>
      <c r="AB691" s="7" t="s">
        <v>42</v>
      </c>
    </row>
    <row r="692" spans="1:28">
      <c r="A692" s="8">
        <v>685</v>
      </c>
      <c r="B692" s="8" t="s">
        <v>979</v>
      </c>
      <c r="C692" s="8" t="s">
        <v>953</v>
      </c>
      <c r="D692" s="8" t="s">
        <v>652</v>
      </c>
      <c r="E692" s="8" t="s">
        <v>33</v>
      </c>
      <c r="F692" s="6" t="s">
        <v>50</v>
      </c>
      <c r="G692" s="6" t="s">
        <v>35</v>
      </c>
      <c r="H692" s="6" t="s">
        <v>36</v>
      </c>
      <c r="I692" s="8">
        <v>146</v>
      </c>
      <c r="J692" s="8" t="s">
        <v>257</v>
      </c>
      <c r="K692" s="8" t="s">
        <v>53</v>
      </c>
      <c r="L692" s="10">
        <v>2</v>
      </c>
      <c r="M692" s="13">
        <v>7000.0</v>
      </c>
      <c r="N692" s="13"/>
      <c r="O692" s="15">
        <f>IF(M692&gt;0, N692/M692, 0)</f>
        <v>0</v>
      </c>
      <c r="P692" s="13">
        <f>M692-N692</f>
        <v>7000</v>
      </c>
      <c r="Q692" s="13">
        <f>L692*M692</f>
        <v>14000</v>
      </c>
      <c r="R692" s="13">
        <f>L692*N692</f>
        <v>0</v>
      </c>
      <c r="S692" s="13">
        <f>L692*P692</f>
        <v>14000</v>
      </c>
      <c r="T692" s="13"/>
      <c r="U692" s="13">
        <f>L692*T692</f>
        <v>0</v>
      </c>
      <c r="V692" s="13">
        <f>S692-U692</f>
        <v>14000</v>
      </c>
      <c r="W692" s="15">
        <f>IF(S692&gt;0, V692/S692, 0)</f>
        <v>1</v>
      </c>
      <c r="X692" s="6" t="s">
        <v>39</v>
      </c>
      <c r="Y692" s="8" t="s">
        <v>40</v>
      </c>
      <c r="Z692" s="8" t="s">
        <v>41</v>
      </c>
      <c r="AA692" s="8" t="s">
        <v>42</v>
      </c>
      <c r="AB692" s="6" t="s">
        <v>42</v>
      </c>
    </row>
    <row r="693" spans="1:28">
      <c r="A693" s="9">
        <v>686</v>
      </c>
      <c r="B693" s="9" t="s">
        <v>980</v>
      </c>
      <c r="C693" s="9" t="s">
        <v>953</v>
      </c>
      <c r="D693" s="9" t="s">
        <v>652</v>
      </c>
      <c r="E693" s="9" t="s">
        <v>33</v>
      </c>
      <c r="F693" s="7" t="s">
        <v>50</v>
      </c>
      <c r="G693" s="7" t="s">
        <v>69</v>
      </c>
      <c r="H693" s="7" t="s">
        <v>69</v>
      </c>
      <c r="I693" s="9">
        <v>140</v>
      </c>
      <c r="J693" s="9" t="s">
        <v>225</v>
      </c>
      <c r="K693" s="9" t="s">
        <v>38</v>
      </c>
      <c r="L693" s="11">
        <v>1</v>
      </c>
      <c r="M693" s="14">
        <v>16000.0</v>
      </c>
      <c r="N693" s="14"/>
      <c r="O693" s="16">
        <f>IF(M693&gt;0, N693/M693, 0)</f>
        <v>0</v>
      </c>
      <c r="P693" s="14">
        <f>M693-N693</f>
        <v>16000</v>
      </c>
      <c r="Q693" s="14">
        <f>L693*M693</f>
        <v>16000</v>
      </c>
      <c r="R693" s="14">
        <f>L693*N693</f>
        <v>0</v>
      </c>
      <c r="S693" s="14">
        <f>L693*P693</f>
        <v>16000</v>
      </c>
      <c r="T693" s="14"/>
      <c r="U693" s="14">
        <f>L693*T693</f>
        <v>0</v>
      </c>
      <c r="V693" s="14">
        <f>S693-U693</f>
        <v>16000</v>
      </c>
      <c r="W693" s="16">
        <f>IF(S693&gt;0, V693/S693, 0)</f>
        <v>1</v>
      </c>
      <c r="X693" s="7" t="s">
        <v>39</v>
      </c>
      <c r="Y693" s="9" t="s">
        <v>40</v>
      </c>
      <c r="Z693" s="9" t="s">
        <v>41</v>
      </c>
      <c r="AA693" s="9" t="s">
        <v>42</v>
      </c>
      <c r="AB693" s="7" t="s">
        <v>42</v>
      </c>
    </row>
    <row r="694" spans="1:28">
      <c r="A694" s="8">
        <v>687</v>
      </c>
      <c r="B694" s="8" t="s">
        <v>981</v>
      </c>
      <c r="C694" s="8" t="s">
        <v>953</v>
      </c>
      <c r="D694" s="8" t="s">
        <v>652</v>
      </c>
      <c r="E694" s="8" t="s">
        <v>33</v>
      </c>
      <c r="F694" s="6" t="s">
        <v>50</v>
      </c>
      <c r="G694" s="6" t="s">
        <v>45</v>
      </c>
      <c r="H694" s="6" t="s">
        <v>46</v>
      </c>
      <c r="I694" s="8">
        <v>146</v>
      </c>
      <c r="J694" s="8" t="s">
        <v>140</v>
      </c>
      <c r="K694" s="8" t="s">
        <v>38</v>
      </c>
      <c r="L694" s="10">
        <v>1</v>
      </c>
      <c r="M694" s="13">
        <v>18000.0</v>
      </c>
      <c r="N694" s="13"/>
      <c r="O694" s="15">
        <f>IF(M694&gt;0, N694/M694, 0)</f>
        <v>0</v>
      </c>
      <c r="P694" s="13">
        <f>M694-N694</f>
        <v>18000</v>
      </c>
      <c r="Q694" s="13">
        <f>L694*M694</f>
        <v>18000</v>
      </c>
      <c r="R694" s="13">
        <f>L694*N694</f>
        <v>0</v>
      </c>
      <c r="S694" s="13">
        <f>L694*P694</f>
        <v>18000</v>
      </c>
      <c r="T694" s="13"/>
      <c r="U694" s="13">
        <f>L694*T694</f>
        <v>0</v>
      </c>
      <c r="V694" s="13">
        <f>S694-U694</f>
        <v>18000</v>
      </c>
      <c r="W694" s="15">
        <f>IF(S694&gt;0, V694/S694, 0)</f>
        <v>1</v>
      </c>
      <c r="X694" s="6" t="s">
        <v>39</v>
      </c>
      <c r="Y694" s="8" t="s">
        <v>40</v>
      </c>
      <c r="Z694" s="8" t="s">
        <v>41</v>
      </c>
      <c r="AA694" s="8" t="s">
        <v>42</v>
      </c>
      <c r="AB694" s="6" t="s">
        <v>42</v>
      </c>
    </row>
    <row r="695" spans="1:28">
      <c r="A695" s="9">
        <v>688</v>
      </c>
      <c r="B695" s="9" t="s">
        <v>982</v>
      </c>
      <c r="C695" s="9" t="s">
        <v>953</v>
      </c>
      <c r="D695" s="9" t="s">
        <v>652</v>
      </c>
      <c r="E695" s="9" t="s">
        <v>33</v>
      </c>
      <c r="F695" s="7" t="s">
        <v>50</v>
      </c>
      <c r="G695" s="7" t="s">
        <v>35</v>
      </c>
      <c r="H695" s="7" t="s">
        <v>36</v>
      </c>
      <c r="I695" s="9">
        <v>128</v>
      </c>
      <c r="J695" s="9" t="s">
        <v>156</v>
      </c>
      <c r="K695" s="9" t="s">
        <v>53</v>
      </c>
      <c r="L695" s="11">
        <v>2</v>
      </c>
      <c r="M695" s="14">
        <v>7000.0</v>
      </c>
      <c r="N695" s="14"/>
      <c r="O695" s="16">
        <f>IF(M695&gt;0, N695/M695, 0)</f>
        <v>0</v>
      </c>
      <c r="P695" s="14">
        <f>M695-N695</f>
        <v>7000</v>
      </c>
      <c r="Q695" s="14">
        <f>L695*M695</f>
        <v>14000</v>
      </c>
      <c r="R695" s="14">
        <f>L695*N695</f>
        <v>0</v>
      </c>
      <c r="S695" s="14">
        <f>L695*P695</f>
        <v>14000</v>
      </c>
      <c r="T695" s="14"/>
      <c r="U695" s="14">
        <f>L695*T695</f>
        <v>0</v>
      </c>
      <c r="V695" s="14">
        <f>S695-U695</f>
        <v>14000</v>
      </c>
      <c r="W695" s="16">
        <f>IF(S695&gt;0, V695/S695, 0)</f>
        <v>1</v>
      </c>
      <c r="X695" s="7" t="s">
        <v>39</v>
      </c>
      <c r="Y695" s="9" t="s">
        <v>40</v>
      </c>
      <c r="Z695" s="9" t="s">
        <v>41</v>
      </c>
      <c r="AA695" s="9" t="s">
        <v>42</v>
      </c>
      <c r="AB695" s="7" t="s">
        <v>42</v>
      </c>
    </row>
    <row r="696" spans="1:28">
      <c r="A696" s="8">
        <v>689</v>
      </c>
      <c r="B696" s="8" t="s">
        <v>983</v>
      </c>
      <c r="C696" s="8" t="s">
        <v>953</v>
      </c>
      <c r="D696" s="8" t="s">
        <v>652</v>
      </c>
      <c r="E696" s="8" t="s">
        <v>33</v>
      </c>
      <c r="F696" s="6" t="s">
        <v>50</v>
      </c>
      <c r="G696" s="6" t="s">
        <v>35</v>
      </c>
      <c r="H696" s="6" t="s">
        <v>36</v>
      </c>
      <c r="I696" s="8">
        <v>146</v>
      </c>
      <c r="J696" s="8" t="s">
        <v>257</v>
      </c>
      <c r="K696" s="8" t="s">
        <v>53</v>
      </c>
      <c r="L696" s="10">
        <v>1</v>
      </c>
      <c r="M696" s="13">
        <v>7000.0</v>
      </c>
      <c r="N696" s="13"/>
      <c r="O696" s="15">
        <f>IF(M696&gt;0, N696/M696, 0)</f>
        <v>0</v>
      </c>
      <c r="P696" s="13">
        <f>M696-N696</f>
        <v>7000</v>
      </c>
      <c r="Q696" s="13">
        <f>L696*M696</f>
        <v>7000</v>
      </c>
      <c r="R696" s="13">
        <f>L696*N696</f>
        <v>0</v>
      </c>
      <c r="S696" s="13">
        <f>L696*P696</f>
        <v>7000</v>
      </c>
      <c r="T696" s="13"/>
      <c r="U696" s="13">
        <f>L696*T696</f>
        <v>0</v>
      </c>
      <c r="V696" s="13">
        <f>S696-U696</f>
        <v>7000</v>
      </c>
      <c r="W696" s="15">
        <f>IF(S696&gt;0, V696/S696, 0)</f>
        <v>1</v>
      </c>
      <c r="X696" s="6" t="s">
        <v>39</v>
      </c>
      <c r="Y696" s="8" t="s">
        <v>40</v>
      </c>
      <c r="Z696" s="8" t="s">
        <v>41</v>
      </c>
      <c r="AA696" s="8" t="s">
        <v>42</v>
      </c>
      <c r="AB696" s="6" t="s">
        <v>42</v>
      </c>
    </row>
    <row r="697" spans="1:28">
      <c r="A697" s="9">
        <v>690</v>
      </c>
      <c r="B697" s="9" t="s">
        <v>984</v>
      </c>
      <c r="C697" s="9" t="s">
        <v>953</v>
      </c>
      <c r="D697" s="9" t="s">
        <v>652</v>
      </c>
      <c r="E697" s="9" t="s">
        <v>33</v>
      </c>
      <c r="F697" s="7" t="s">
        <v>50</v>
      </c>
      <c r="G697" s="7" t="s">
        <v>35</v>
      </c>
      <c r="H697" s="7" t="s">
        <v>36</v>
      </c>
      <c r="I697" s="9">
        <v>122</v>
      </c>
      <c r="J697" s="9" t="s">
        <v>105</v>
      </c>
      <c r="K697" s="9" t="s">
        <v>53</v>
      </c>
      <c r="L697" s="11">
        <v>2</v>
      </c>
      <c r="M697" s="14">
        <v>7000.0</v>
      </c>
      <c r="N697" s="14"/>
      <c r="O697" s="16">
        <f>IF(M697&gt;0, N697/M697, 0)</f>
        <v>0</v>
      </c>
      <c r="P697" s="14">
        <f>M697-N697</f>
        <v>7000</v>
      </c>
      <c r="Q697" s="14">
        <f>L697*M697</f>
        <v>14000</v>
      </c>
      <c r="R697" s="14">
        <f>L697*N697</f>
        <v>0</v>
      </c>
      <c r="S697" s="14">
        <f>L697*P697</f>
        <v>14000</v>
      </c>
      <c r="T697" s="14"/>
      <c r="U697" s="14">
        <f>L697*T697</f>
        <v>0</v>
      </c>
      <c r="V697" s="14">
        <f>S697-U697</f>
        <v>14000</v>
      </c>
      <c r="W697" s="16">
        <f>IF(S697&gt;0, V697/S697, 0)</f>
        <v>1</v>
      </c>
      <c r="X697" s="7" t="s">
        <v>39</v>
      </c>
      <c r="Y697" s="9" t="s">
        <v>40</v>
      </c>
      <c r="Z697" s="9" t="s">
        <v>41</v>
      </c>
      <c r="AA697" s="9" t="s">
        <v>42</v>
      </c>
      <c r="AB697" s="7" t="s">
        <v>42</v>
      </c>
    </row>
    <row r="698" spans="1:28">
      <c r="A698" s="8">
        <v>691</v>
      </c>
      <c r="B698" s="8" t="s">
        <v>985</v>
      </c>
      <c r="C698" s="8" t="s">
        <v>953</v>
      </c>
      <c r="D698" s="8" t="s">
        <v>652</v>
      </c>
      <c r="E698" s="8" t="s">
        <v>68</v>
      </c>
      <c r="F698" s="6" t="s">
        <v>34</v>
      </c>
      <c r="G698" s="6" t="s">
        <v>35</v>
      </c>
      <c r="H698" s="6" t="s">
        <v>36</v>
      </c>
      <c r="I698" s="8">
        <v>158</v>
      </c>
      <c r="J698" s="8" t="s">
        <v>37</v>
      </c>
      <c r="K698" s="8" t="s">
        <v>38</v>
      </c>
      <c r="L698" s="10">
        <v>2</v>
      </c>
      <c r="M698" s="13">
        <v>10000.0</v>
      </c>
      <c r="N698" s="13"/>
      <c r="O698" s="15">
        <f>IF(M698&gt;0, N698/M698, 0)</f>
        <v>0</v>
      </c>
      <c r="P698" s="13">
        <f>M698-N698</f>
        <v>10000</v>
      </c>
      <c r="Q698" s="13">
        <f>L698*M698</f>
        <v>20000</v>
      </c>
      <c r="R698" s="13">
        <f>L698*N698</f>
        <v>0</v>
      </c>
      <c r="S698" s="13">
        <f>L698*P698</f>
        <v>20000</v>
      </c>
      <c r="T698" s="13"/>
      <c r="U698" s="13">
        <f>L698*T698</f>
        <v>0</v>
      </c>
      <c r="V698" s="13">
        <f>S698-U698</f>
        <v>20000</v>
      </c>
      <c r="W698" s="15">
        <f>IF(S698&gt;0, V698/S698, 0)</f>
        <v>1</v>
      </c>
      <c r="X698" s="6" t="s">
        <v>39</v>
      </c>
      <c r="Y698" s="8" t="s">
        <v>40</v>
      </c>
      <c r="Z698" s="8" t="s">
        <v>71</v>
      </c>
      <c r="AA698" s="8" t="s">
        <v>42</v>
      </c>
      <c r="AB698" s="6" t="s">
        <v>42</v>
      </c>
    </row>
    <row r="699" spans="1:28">
      <c r="A699" s="9">
        <v>692</v>
      </c>
      <c r="B699" s="9" t="s">
        <v>986</v>
      </c>
      <c r="C699" s="9" t="s">
        <v>953</v>
      </c>
      <c r="D699" s="9" t="s">
        <v>652</v>
      </c>
      <c r="E699" s="9" t="s">
        <v>33</v>
      </c>
      <c r="F699" s="7" t="s">
        <v>34</v>
      </c>
      <c r="G699" s="7" t="s">
        <v>45</v>
      </c>
      <c r="H699" s="7" t="s">
        <v>46</v>
      </c>
      <c r="I699" s="9">
        <v>158</v>
      </c>
      <c r="J699" s="9" t="s">
        <v>47</v>
      </c>
      <c r="K699" s="9" t="s">
        <v>38</v>
      </c>
      <c r="L699" s="11">
        <v>1</v>
      </c>
      <c r="M699" s="14">
        <v>18000.0</v>
      </c>
      <c r="N699" s="14"/>
      <c r="O699" s="16">
        <f>IF(M699&gt;0, N699/M699, 0)</f>
        <v>0</v>
      </c>
      <c r="P699" s="14">
        <f>M699-N699</f>
        <v>18000</v>
      </c>
      <c r="Q699" s="14">
        <f>L699*M699</f>
        <v>18000</v>
      </c>
      <c r="R699" s="14">
        <f>L699*N699</f>
        <v>0</v>
      </c>
      <c r="S699" s="14">
        <f>L699*P699</f>
        <v>18000</v>
      </c>
      <c r="T699" s="14"/>
      <c r="U699" s="14">
        <f>L699*T699</f>
        <v>0</v>
      </c>
      <c r="V699" s="14">
        <f>S699-U699</f>
        <v>18000</v>
      </c>
      <c r="W699" s="16">
        <f>IF(S699&gt;0, V699/S699, 0)</f>
        <v>1</v>
      </c>
      <c r="X699" s="7" t="s">
        <v>39</v>
      </c>
      <c r="Y699" s="9" t="s">
        <v>40</v>
      </c>
      <c r="Z699" s="9" t="s">
        <v>41</v>
      </c>
      <c r="AA699" s="9" t="s">
        <v>42</v>
      </c>
      <c r="AB699" s="7" t="s">
        <v>42</v>
      </c>
    </row>
    <row r="700" spans="1:28">
      <c r="A700" s="8">
        <v>693</v>
      </c>
      <c r="B700" s="8" t="s">
        <v>987</v>
      </c>
      <c r="C700" s="8" t="s">
        <v>953</v>
      </c>
      <c r="D700" s="8" t="s">
        <v>652</v>
      </c>
      <c r="E700" s="8" t="s">
        <v>33</v>
      </c>
      <c r="F700" s="6" t="s">
        <v>50</v>
      </c>
      <c r="G700" s="6" t="s">
        <v>56</v>
      </c>
      <c r="H700" s="6" t="s">
        <v>56</v>
      </c>
      <c r="I700" s="8">
        <v>110</v>
      </c>
      <c r="J700" s="8" t="s">
        <v>957</v>
      </c>
      <c r="K700" s="8" t="s">
        <v>38</v>
      </c>
      <c r="L700" s="10">
        <v>1</v>
      </c>
      <c r="M700" s="13">
        <v>7000.0</v>
      </c>
      <c r="N700" s="13"/>
      <c r="O700" s="15">
        <f>IF(M700&gt;0, N700/M700, 0)</f>
        <v>0</v>
      </c>
      <c r="P700" s="13">
        <f>M700-N700</f>
        <v>7000</v>
      </c>
      <c r="Q700" s="13">
        <f>L700*M700</f>
        <v>7000</v>
      </c>
      <c r="R700" s="13">
        <f>L700*N700</f>
        <v>0</v>
      </c>
      <c r="S700" s="13">
        <f>L700*P700</f>
        <v>7000</v>
      </c>
      <c r="T700" s="13"/>
      <c r="U700" s="13">
        <f>L700*T700</f>
        <v>0</v>
      </c>
      <c r="V700" s="13">
        <f>S700-U700</f>
        <v>7000</v>
      </c>
      <c r="W700" s="15">
        <f>IF(S700&gt;0, V700/S700, 0)</f>
        <v>1</v>
      </c>
      <c r="X700" s="6" t="s">
        <v>39</v>
      </c>
      <c r="Y700" s="8" t="s">
        <v>40</v>
      </c>
      <c r="Z700" s="8" t="s">
        <v>41</v>
      </c>
      <c r="AA700" s="8" t="s">
        <v>42</v>
      </c>
      <c r="AB700" s="6" t="s">
        <v>42</v>
      </c>
    </row>
    <row r="701" spans="1:28">
      <c r="A701" s="9">
        <v>694</v>
      </c>
      <c r="B701" s="9" t="s">
        <v>988</v>
      </c>
      <c r="C701" s="9" t="s">
        <v>953</v>
      </c>
      <c r="D701" s="9" t="s">
        <v>652</v>
      </c>
      <c r="E701" s="9" t="s">
        <v>33</v>
      </c>
      <c r="F701" s="7" t="s">
        <v>50</v>
      </c>
      <c r="G701" s="7" t="s">
        <v>51</v>
      </c>
      <c r="H701" s="7" t="s">
        <v>51</v>
      </c>
      <c r="I701" s="9">
        <v>110</v>
      </c>
      <c r="J701" s="9" t="s">
        <v>230</v>
      </c>
      <c r="K701" s="9" t="s">
        <v>53</v>
      </c>
      <c r="L701" s="11">
        <v>1</v>
      </c>
      <c r="M701" s="14">
        <v>8000.0</v>
      </c>
      <c r="N701" s="14"/>
      <c r="O701" s="16">
        <f>IF(M701&gt;0, N701/M701, 0)</f>
        <v>0</v>
      </c>
      <c r="P701" s="14">
        <f>M701-N701</f>
        <v>8000</v>
      </c>
      <c r="Q701" s="14">
        <f>L701*M701</f>
        <v>8000</v>
      </c>
      <c r="R701" s="14">
        <f>L701*N701</f>
        <v>0</v>
      </c>
      <c r="S701" s="14">
        <f>L701*P701</f>
        <v>8000</v>
      </c>
      <c r="T701" s="14"/>
      <c r="U701" s="14">
        <f>L701*T701</f>
        <v>0</v>
      </c>
      <c r="V701" s="14">
        <f>S701-U701</f>
        <v>8000</v>
      </c>
      <c r="W701" s="16">
        <f>IF(S701&gt;0, V701/S701, 0)</f>
        <v>1</v>
      </c>
      <c r="X701" s="7" t="s">
        <v>39</v>
      </c>
      <c r="Y701" s="9" t="s">
        <v>40</v>
      </c>
      <c r="Z701" s="9" t="s">
        <v>41</v>
      </c>
      <c r="AA701" s="9" t="s">
        <v>42</v>
      </c>
      <c r="AB701" s="7" t="s">
        <v>42</v>
      </c>
    </row>
    <row r="702" spans="1:28">
      <c r="A702" s="8">
        <v>695</v>
      </c>
      <c r="B702" s="8" t="s">
        <v>989</v>
      </c>
      <c r="C702" s="8" t="s">
        <v>953</v>
      </c>
      <c r="D702" s="8" t="s">
        <v>652</v>
      </c>
      <c r="E702" s="8" t="s">
        <v>33</v>
      </c>
      <c r="F702" s="6" t="s">
        <v>50</v>
      </c>
      <c r="G702" s="6" t="s">
        <v>35</v>
      </c>
      <c r="H702" s="6" t="s">
        <v>36</v>
      </c>
      <c r="I702" s="8">
        <v>116</v>
      </c>
      <c r="J702" s="8" t="s">
        <v>92</v>
      </c>
      <c r="K702" s="8" t="s">
        <v>53</v>
      </c>
      <c r="L702" s="10">
        <v>1</v>
      </c>
      <c r="M702" s="13">
        <v>7000.0</v>
      </c>
      <c r="N702" s="13"/>
      <c r="O702" s="15">
        <f>IF(M702&gt;0, N702/M702, 0)</f>
        <v>0</v>
      </c>
      <c r="P702" s="13">
        <f>M702-N702</f>
        <v>7000</v>
      </c>
      <c r="Q702" s="13">
        <f>L702*M702</f>
        <v>7000</v>
      </c>
      <c r="R702" s="13">
        <f>L702*N702</f>
        <v>0</v>
      </c>
      <c r="S702" s="13">
        <f>L702*P702</f>
        <v>7000</v>
      </c>
      <c r="T702" s="13"/>
      <c r="U702" s="13">
        <f>L702*T702</f>
        <v>0</v>
      </c>
      <c r="V702" s="13">
        <f>S702-U702</f>
        <v>7000</v>
      </c>
      <c r="W702" s="15">
        <f>IF(S702&gt;0, V702/S702, 0)</f>
        <v>1</v>
      </c>
      <c r="X702" s="6" t="s">
        <v>39</v>
      </c>
      <c r="Y702" s="8" t="s">
        <v>40</v>
      </c>
      <c r="Z702" s="8" t="s">
        <v>41</v>
      </c>
      <c r="AA702" s="8" t="s">
        <v>42</v>
      </c>
      <c r="AB702" s="6" t="s">
        <v>42</v>
      </c>
    </row>
    <row r="703" spans="1:28">
      <c r="A703" s="9">
        <v>696</v>
      </c>
      <c r="B703" s="9" t="s">
        <v>990</v>
      </c>
      <c r="C703" s="9" t="s">
        <v>953</v>
      </c>
      <c r="D703" s="9" t="s">
        <v>652</v>
      </c>
      <c r="E703" s="9" t="s">
        <v>33</v>
      </c>
      <c r="F703" s="7" t="s">
        <v>34</v>
      </c>
      <c r="G703" s="7" t="s">
        <v>51</v>
      </c>
      <c r="H703" s="7" t="s">
        <v>51</v>
      </c>
      <c r="I703" s="9">
        <v>158</v>
      </c>
      <c r="J703" s="9" t="s">
        <v>122</v>
      </c>
      <c r="K703" s="9" t="s">
        <v>38</v>
      </c>
      <c r="L703" s="11">
        <v>1</v>
      </c>
      <c r="M703" s="14">
        <v>8500.0</v>
      </c>
      <c r="N703" s="14"/>
      <c r="O703" s="16">
        <f>IF(M703&gt;0, N703/M703, 0)</f>
        <v>0</v>
      </c>
      <c r="P703" s="14">
        <f>M703-N703</f>
        <v>8500</v>
      </c>
      <c r="Q703" s="14">
        <f>L703*M703</f>
        <v>8500</v>
      </c>
      <c r="R703" s="14">
        <f>L703*N703</f>
        <v>0</v>
      </c>
      <c r="S703" s="14">
        <f>L703*P703</f>
        <v>8500</v>
      </c>
      <c r="T703" s="14"/>
      <c r="U703" s="14">
        <f>L703*T703</f>
        <v>0</v>
      </c>
      <c r="V703" s="14">
        <f>S703-U703</f>
        <v>8500</v>
      </c>
      <c r="W703" s="16">
        <f>IF(S703&gt;0, V703/S703, 0)</f>
        <v>1</v>
      </c>
      <c r="X703" s="7" t="s">
        <v>39</v>
      </c>
      <c r="Y703" s="9" t="s">
        <v>40</v>
      </c>
      <c r="Z703" s="9" t="s">
        <v>41</v>
      </c>
      <c r="AA703" s="9" t="s">
        <v>42</v>
      </c>
      <c r="AB703" s="7" t="s">
        <v>42</v>
      </c>
    </row>
    <row r="704" spans="1:28">
      <c r="A704" s="8">
        <v>697</v>
      </c>
      <c r="B704" s="8" t="s">
        <v>991</v>
      </c>
      <c r="C704" s="8" t="s">
        <v>953</v>
      </c>
      <c r="D704" s="8" t="s">
        <v>652</v>
      </c>
      <c r="E704" s="8" t="s">
        <v>33</v>
      </c>
      <c r="F704" s="6" t="s">
        <v>50</v>
      </c>
      <c r="G704" s="6" t="s">
        <v>69</v>
      </c>
      <c r="H704" s="6" t="s">
        <v>69</v>
      </c>
      <c r="I704" s="8">
        <v>152</v>
      </c>
      <c r="J704" s="8" t="s">
        <v>350</v>
      </c>
      <c r="K704" s="8" t="s">
        <v>38</v>
      </c>
      <c r="L704" s="10">
        <v>1</v>
      </c>
      <c r="M704" s="13">
        <v>16500.0</v>
      </c>
      <c r="N704" s="13"/>
      <c r="O704" s="15">
        <f>IF(M704&gt;0, N704/M704, 0)</f>
        <v>0</v>
      </c>
      <c r="P704" s="13">
        <f>M704-N704</f>
        <v>16500</v>
      </c>
      <c r="Q704" s="13">
        <f>L704*M704</f>
        <v>16500</v>
      </c>
      <c r="R704" s="13">
        <f>L704*N704</f>
        <v>0</v>
      </c>
      <c r="S704" s="13">
        <f>L704*P704</f>
        <v>16500</v>
      </c>
      <c r="T704" s="13"/>
      <c r="U704" s="13">
        <f>L704*T704</f>
        <v>0</v>
      </c>
      <c r="V704" s="13">
        <f>S704-U704</f>
        <v>16500</v>
      </c>
      <c r="W704" s="15">
        <f>IF(S704&gt;0, V704/S704, 0)</f>
        <v>1</v>
      </c>
      <c r="X704" s="6" t="s">
        <v>39</v>
      </c>
      <c r="Y704" s="8" t="s">
        <v>40</v>
      </c>
      <c r="Z704" s="8" t="s">
        <v>41</v>
      </c>
      <c r="AA704" s="8" t="s">
        <v>42</v>
      </c>
      <c r="AB704" s="6" t="s">
        <v>42</v>
      </c>
    </row>
    <row r="705" spans="1:28">
      <c r="A705" s="9">
        <v>698</v>
      </c>
      <c r="B705" s="9" t="s">
        <v>992</v>
      </c>
      <c r="C705" s="9" t="s">
        <v>953</v>
      </c>
      <c r="D705" s="9" t="s">
        <v>652</v>
      </c>
      <c r="E705" s="9" t="s">
        <v>68</v>
      </c>
      <c r="F705" s="7" t="s">
        <v>50</v>
      </c>
      <c r="G705" s="7" t="s">
        <v>69</v>
      </c>
      <c r="H705" s="7" t="s">
        <v>69</v>
      </c>
      <c r="I705" s="9">
        <v>122</v>
      </c>
      <c r="J705" s="9" t="s">
        <v>99</v>
      </c>
      <c r="K705" s="9" t="s">
        <v>38</v>
      </c>
      <c r="L705" s="11">
        <v>1</v>
      </c>
      <c r="M705" s="14">
        <v>17000.0</v>
      </c>
      <c r="N705" s="14"/>
      <c r="O705" s="16">
        <f>IF(M705&gt;0, N705/M705, 0)</f>
        <v>0</v>
      </c>
      <c r="P705" s="14">
        <f>M705-N705</f>
        <v>17000</v>
      </c>
      <c r="Q705" s="14">
        <f>L705*M705</f>
        <v>17000</v>
      </c>
      <c r="R705" s="14">
        <f>L705*N705</f>
        <v>0</v>
      </c>
      <c r="S705" s="14">
        <f>L705*P705</f>
        <v>17000</v>
      </c>
      <c r="T705" s="14"/>
      <c r="U705" s="14">
        <f>L705*T705</f>
        <v>0</v>
      </c>
      <c r="V705" s="14">
        <f>S705-U705</f>
        <v>17000</v>
      </c>
      <c r="W705" s="16">
        <f>IF(S705&gt;0, V705/S705, 0)</f>
        <v>1</v>
      </c>
      <c r="X705" s="7" t="s">
        <v>39</v>
      </c>
      <c r="Y705" s="9" t="s">
        <v>40</v>
      </c>
      <c r="Z705" s="9" t="s">
        <v>71</v>
      </c>
      <c r="AA705" s="9" t="s">
        <v>42</v>
      </c>
      <c r="AB705" s="7" t="s">
        <v>42</v>
      </c>
    </row>
    <row r="706" spans="1:28">
      <c r="A706" s="8">
        <v>699</v>
      </c>
      <c r="B706" s="8" t="s">
        <v>993</v>
      </c>
      <c r="C706" s="8" t="s">
        <v>953</v>
      </c>
      <c r="D706" s="8" t="s">
        <v>652</v>
      </c>
      <c r="E706" s="8" t="s">
        <v>33</v>
      </c>
      <c r="F706" s="6" t="s">
        <v>50</v>
      </c>
      <c r="G706" s="6" t="s">
        <v>69</v>
      </c>
      <c r="H706" s="6" t="s">
        <v>69</v>
      </c>
      <c r="I706" s="8">
        <v>128</v>
      </c>
      <c r="J706" s="8" t="s">
        <v>110</v>
      </c>
      <c r="K706" s="8" t="s">
        <v>38</v>
      </c>
      <c r="L706" s="10">
        <v>1</v>
      </c>
      <c r="M706" s="13">
        <v>16000.0</v>
      </c>
      <c r="N706" s="13"/>
      <c r="O706" s="15">
        <f>IF(M706&gt;0, N706/M706, 0)</f>
        <v>0</v>
      </c>
      <c r="P706" s="13">
        <f>M706-N706</f>
        <v>16000</v>
      </c>
      <c r="Q706" s="13">
        <f>L706*M706</f>
        <v>16000</v>
      </c>
      <c r="R706" s="13">
        <f>L706*N706</f>
        <v>0</v>
      </c>
      <c r="S706" s="13">
        <f>L706*P706</f>
        <v>16000</v>
      </c>
      <c r="T706" s="13"/>
      <c r="U706" s="13">
        <f>L706*T706</f>
        <v>0</v>
      </c>
      <c r="V706" s="13">
        <f>S706-U706</f>
        <v>16000</v>
      </c>
      <c r="W706" s="15">
        <f>IF(S706&gt;0, V706/S706, 0)</f>
        <v>1</v>
      </c>
      <c r="X706" s="6" t="s">
        <v>39</v>
      </c>
      <c r="Y706" s="8" t="s">
        <v>40</v>
      </c>
      <c r="Z706" s="8" t="s">
        <v>41</v>
      </c>
      <c r="AA706" s="8" t="s">
        <v>42</v>
      </c>
      <c r="AB706" s="6" t="s">
        <v>42</v>
      </c>
    </row>
    <row r="707" spans="1:28">
      <c r="A707" s="9">
        <v>700</v>
      </c>
      <c r="B707" s="9" t="s">
        <v>994</v>
      </c>
      <c r="C707" s="9" t="s">
        <v>953</v>
      </c>
      <c r="D707" s="9" t="s">
        <v>652</v>
      </c>
      <c r="E707" s="9" t="s">
        <v>33</v>
      </c>
      <c r="F707" s="7" t="s">
        <v>50</v>
      </c>
      <c r="G707" s="7" t="s">
        <v>51</v>
      </c>
      <c r="H707" s="7" t="s">
        <v>51</v>
      </c>
      <c r="I707" s="9">
        <v>128</v>
      </c>
      <c r="J707" s="9" t="s">
        <v>390</v>
      </c>
      <c r="K707" s="9" t="s">
        <v>53</v>
      </c>
      <c r="L707" s="11">
        <v>1</v>
      </c>
      <c r="M707" s="14">
        <v>8000.0</v>
      </c>
      <c r="N707" s="14"/>
      <c r="O707" s="16">
        <f>IF(M707&gt;0, N707/M707, 0)</f>
        <v>0</v>
      </c>
      <c r="P707" s="14">
        <f>M707-N707</f>
        <v>8000</v>
      </c>
      <c r="Q707" s="14">
        <f>L707*M707</f>
        <v>8000</v>
      </c>
      <c r="R707" s="14">
        <f>L707*N707</f>
        <v>0</v>
      </c>
      <c r="S707" s="14">
        <f>L707*P707</f>
        <v>8000</v>
      </c>
      <c r="T707" s="14"/>
      <c r="U707" s="14">
        <f>L707*T707</f>
        <v>0</v>
      </c>
      <c r="V707" s="14">
        <f>S707-U707</f>
        <v>8000</v>
      </c>
      <c r="W707" s="16">
        <f>IF(S707&gt;0, V707/S707, 0)</f>
        <v>1</v>
      </c>
      <c r="X707" s="7" t="s">
        <v>39</v>
      </c>
      <c r="Y707" s="9" t="s">
        <v>40</v>
      </c>
      <c r="Z707" s="9" t="s">
        <v>41</v>
      </c>
      <c r="AA707" s="9" t="s">
        <v>42</v>
      </c>
      <c r="AB707" s="7" t="s">
        <v>42</v>
      </c>
    </row>
    <row r="708" spans="1:28">
      <c r="A708" s="8">
        <v>701</v>
      </c>
      <c r="B708" s="8" t="s">
        <v>995</v>
      </c>
      <c r="C708" s="8" t="s">
        <v>953</v>
      </c>
      <c r="D708" s="8" t="s">
        <v>652</v>
      </c>
      <c r="E708" s="8" t="s">
        <v>33</v>
      </c>
      <c r="F708" s="6" t="s">
        <v>50</v>
      </c>
      <c r="G708" s="6" t="s">
        <v>51</v>
      </c>
      <c r="H708" s="6" t="s">
        <v>51</v>
      </c>
      <c r="I708" s="8">
        <v>122</v>
      </c>
      <c r="J708" s="8" t="s">
        <v>82</v>
      </c>
      <c r="K708" s="8" t="s">
        <v>53</v>
      </c>
      <c r="L708" s="10">
        <v>1</v>
      </c>
      <c r="M708" s="13">
        <v>8000.0</v>
      </c>
      <c r="N708" s="13"/>
      <c r="O708" s="15">
        <f>IF(M708&gt;0, N708/M708, 0)</f>
        <v>0</v>
      </c>
      <c r="P708" s="13">
        <f>M708-N708</f>
        <v>8000</v>
      </c>
      <c r="Q708" s="13">
        <f>L708*M708</f>
        <v>8000</v>
      </c>
      <c r="R708" s="13">
        <f>L708*N708</f>
        <v>0</v>
      </c>
      <c r="S708" s="13">
        <f>L708*P708</f>
        <v>8000</v>
      </c>
      <c r="T708" s="13"/>
      <c r="U708" s="13">
        <f>L708*T708</f>
        <v>0</v>
      </c>
      <c r="V708" s="13">
        <f>S708-U708</f>
        <v>8000</v>
      </c>
      <c r="W708" s="15">
        <f>IF(S708&gt;0, V708/S708, 0)</f>
        <v>1</v>
      </c>
      <c r="X708" s="6" t="s">
        <v>39</v>
      </c>
      <c r="Y708" s="8" t="s">
        <v>40</v>
      </c>
      <c r="Z708" s="8" t="s">
        <v>41</v>
      </c>
      <c r="AA708" s="8" t="s">
        <v>42</v>
      </c>
      <c r="AB708" s="6" t="s">
        <v>42</v>
      </c>
    </row>
    <row r="709" spans="1:28">
      <c r="A709" s="9">
        <v>702</v>
      </c>
      <c r="B709" s="9" t="s">
        <v>996</v>
      </c>
      <c r="C709" s="9" t="s">
        <v>953</v>
      </c>
      <c r="D709" s="9" t="s">
        <v>652</v>
      </c>
      <c r="E709" s="9" t="s">
        <v>33</v>
      </c>
      <c r="F709" s="7" t="s">
        <v>50</v>
      </c>
      <c r="G709" s="7" t="s">
        <v>35</v>
      </c>
      <c r="H709" s="7" t="s">
        <v>36</v>
      </c>
      <c r="I709" s="9">
        <v>122</v>
      </c>
      <c r="J709" s="9" t="s">
        <v>105</v>
      </c>
      <c r="K709" s="9" t="s">
        <v>53</v>
      </c>
      <c r="L709" s="11">
        <v>1</v>
      </c>
      <c r="M709" s="14">
        <v>7000.0</v>
      </c>
      <c r="N709" s="14"/>
      <c r="O709" s="16">
        <f>IF(M709&gt;0, N709/M709, 0)</f>
        <v>0</v>
      </c>
      <c r="P709" s="14">
        <f>M709-N709</f>
        <v>7000</v>
      </c>
      <c r="Q709" s="14">
        <f>L709*M709</f>
        <v>7000</v>
      </c>
      <c r="R709" s="14">
        <f>L709*N709</f>
        <v>0</v>
      </c>
      <c r="S709" s="14">
        <f>L709*P709</f>
        <v>7000</v>
      </c>
      <c r="T709" s="14"/>
      <c r="U709" s="14">
        <f>L709*T709</f>
        <v>0</v>
      </c>
      <c r="V709" s="14">
        <f>S709-U709</f>
        <v>7000</v>
      </c>
      <c r="W709" s="16">
        <f>IF(S709&gt;0, V709/S709, 0)</f>
        <v>1</v>
      </c>
      <c r="X709" s="7" t="s">
        <v>39</v>
      </c>
      <c r="Y709" s="9" t="s">
        <v>40</v>
      </c>
      <c r="Z709" s="9" t="s">
        <v>41</v>
      </c>
      <c r="AA709" s="9" t="s">
        <v>42</v>
      </c>
      <c r="AB709" s="7" t="s">
        <v>42</v>
      </c>
    </row>
    <row r="710" spans="1:28">
      <c r="A710" s="8">
        <v>703</v>
      </c>
      <c r="B710" s="8" t="s">
        <v>997</v>
      </c>
      <c r="C710" s="8" t="s">
        <v>953</v>
      </c>
      <c r="D710" s="8" t="s">
        <v>652</v>
      </c>
      <c r="E710" s="8" t="s">
        <v>33</v>
      </c>
      <c r="F710" s="6" t="s">
        <v>50</v>
      </c>
      <c r="G710" s="6" t="s">
        <v>35</v>
      </c>
      <c r="H710" s="6" t="s">
        <v>36</v>
      </c>
      <c r="I710" s="8">
        <v>128</v>
      </c>
      <c r="J710" s="8" t="s">
        <v>156</v>
      </c>
      <c r="K710" s="8" t="s">
        <v>53</v>
      </c>
      <c r="L710" s="10">
        <v>1</v>
      </c>
      <c r="M710" s="13">
        <v>7000.0</v>
      </c>
      <c r="N710" s="13"/>
      <c r="O710" s="15">
        <f>IF(M710&gt;0, N710/M710, 0)</f>
        <v>0</v>
      </c>
      <c r="P710" s="13">
        <f>M710-N710</f>
        <v>7000</v>
      </c>
      <c r="Q710" s="13">
        <f>L710*M710</f>
        <v>7000</v>
      </c>
      <c r="R710" s="13">
        <f>L710*N710</f>
        <v>0</v>
      </c>
      <c r="S710" s="13">
        <f>L710*P710</f>
        <v>7000</v>
      </c>
      <c r="T710" s="13"/>
      <c r="U710" s="13">
        <f>L710*T710</f>
        <v>0</v>
      </c>
      <c r="V710" s="13">
        <f>S710-U710</f>
        <v>7000</v>
      </c>
      <c r="W710" s="15">
        <f>IF(S710&gt;0, V710/S710, 0)</f>
        <v>1</v>
      </c>
      <c r="X710" s="6" t="s">
        <v>39</v>
      </c>
      <c r="Y710" s="8" t="s">
        <v>40</v>
      </c>
      <c r="Z710" s="8" t="s">
        <v>41</v>
      </c>
      <c r="AA710" s="8" t="s">
        <v>42</v>
      </c>
      <c r="AB710" s="6" t="s">
        <v>42</v>
      </c>
    </row>
    <row r="711" spans="1:28">
      <c r="A711" s="9">
        <v>704</v>
      </c>
      <c r="B711" s="9" t="s">
        <v>998</v>
      </c>
      <c r="C711" s="9" t="s">
        <v>953</v>
      </c>
      <c r="D711" s="9" t="s">
        <v>652</v>
      </c>
      <c r="E711" s="9" t="s">
        <v>33</v>
      </c>
      <c r="F711" s="7" t="s">
        <v>34</v>
      </c>
      <c r="G711" s="7" t="s">
        <v>56</v>
      </c>
      <c r="H711" s="7" t="s">
        <v>56</v>
      </c>
      <c r="I711" s="9">
        <v>164</v>
      </c>
      <c r="J711" s="9" t="s">
        <v>57</v>
      </c>
      <c r="K711" s="9" t="s">
        <v>38</v>
      </c>
      <c r="L711" s="11">
        <v>1</v>
      </c>
      <c r="M711" s="14">
        <v>7500.0</v>
      </c>
      <c r="N711" s="14"/>
      <c r="O711" s="16">
        <f>IF(M711&gt;0, N711/M711, 0)</f>
        <v>0</v>
      </c>
      <c r="P711" s="14">
        <f>M711-N711</f>
        <v>7500</v>
      </c>
      <c r="Q711" s="14">
        <f>L711*M711</f>
        <v>7500</v>
      </c>
      <c r="R711" s="14">
        <f>L711*N711</f>
        <v>0</v>
      </c>
      <c r="S711" s="14">
        <f>L711*P711</f>
        <v>7500</v>
      </c>
      <c r="T711" s="14"/>
      <c r="U711" s="14">
        <f>L711*T711</f>
        <v>0</v>
      </c>
      <c r="V711" s="14">
        <f>S711-U711</f>
        <v>7500</v>
      </c>
      <c r="W711" s="16">
        <f>IF(S711&gt;0, V711/S711, 0)</f>
        <v>1</v>
      </c>
      <c r="X711" s="7" t="s">
        <v>39</v>
      </c>
      <c r="Y711" s="9" t="s">
        <v>40</v>
      </c>
      <c r="Z711" s="9" t="s">
        <v>41</v>
      </c>
      <c r="AA711" s="9" t="s">
        <v>42</v>
      </c>
      <c r="AB711" s="7" t="s">
        <v>42</v>
      </c>
    </row>
    <row r="712" spans="1:28">
      <c r="A712" s="8">
        <v>705</v>
      </c>
      <c r="B712" s="8" t="s">
        <v>999</v>
      </c>
      <c r="C712" s="8" t="s">
        <v>953</v>
      </c>
      <c r="D712" s="8" t="s">
        <v>652</v>
      </c>
      <c r="E712" s="8" t="s">
        <v>33</v>
      </c>
      <c r="F712" s="6" t="s">
        <v>34</v>
      </c>
      <c r="G712" s="6" t="s">
        <v>35</v>
      </c>
      <c r="H712" s="6" t="s">
        <v>36</v>
      </c>
      <c r="I712" s="8">
        <v>176</v>
      </c>
      <c r="J712" s="8" t="s">
        <v>352</v>
      </c>
      <c r="K712" s="8" t="s">
        <v>38</v>
      </c>
      <c r="L712" s="10">
        <v>2</v>
      </c>
      <c r="M712" s="13">
        <v>8000.0</v>
      </c>
      <c r="N712" s="13"/>
      <c r="O712" s="15">
        <f>IF(M712&gt;0, N712/M712, 0)</f>
        <v>0</v>
      </c>
      <c r="P712" s="13">
        <f>M712-N712</f>
        <v>8000</v>
      </c>
      <c r="Q712" s="13">
        <f>L712*M712</f>
        <v>16000</v>
      </c>
      <c r="R712" s="13">
        <f>L712*N712</f>
        <v>0</v>
      </c>
      <c r="S712" s="13">
        <f>L712*P712</f>
        <v>16000</v>
      </c>
      <c r="T712" s="13"/>
      <c r="U712" s="13">
        <f>L712*T712</f>
        <v>0</v>
      </c>
      <c r="V712" s="13">
        <f>S712-U712</f>
        <v>16000</v>
      </c>
      <c r="W712" s="15">
        <f>IF(S712&gt;0, V712/S712, 0)</f>
        <v>1</v>
      </c>
      <c r="X712" s="6" t="s">
        <v>39</v>
      </c>
      <c r="Y712" s="8" t="s">
        <v>40</v>
      </c>
      <c r="Z712" s="8" t="s">
        <v>41</v>
      </c>
      <c r="AA712" s="8" t="s">
        <v>42</v>
      </c>
      <c r="AB712" s="6" t="s">
        <v>42</v>
      </c>
    </row>
    <row r="713" spans="1:28">
      <c r="A713" s="9">
        <v>706</v>
      </c>
      <c r="B713" s="9" t="s">
        <v>1000</v>
      </c>
      <c r="C713" s="9" t="s">
        <v>953</v>
      </c>
      <c r="D713" s="9" t="s">
        <v>652</v>
      </c>
      <c r="E713" s="9" t="s">
        <v>33</v>
      </c>
      <c r="F713" s="7" t="s">
        <v>34</v>
      </c>
      <c r="G713" s="7" t="s">
        <v>35</v>
      </c>
      <c r="H713" s="7" t="s">
        <v>36</v>
      </c>
      <c r="I713" s="9">
        <v>170</v>
      </c>
      <c r="J713" s="9" t="s">
        <v>142</v>
      </c>
      <c r="K713" s="9" t="s">
        <v>38</v>
      </c>
      <c r="L713" s="11">
        <v>2</v>
      </c>
      <c r="M713" s="14">
        <v>8000.0</v>
      </c>
      <c r="N713" s="14"/>
      <c r="O713" s="16">
        <f>IF(M713&gt;0, N713/M713, 0)</f>
        <v>0</v>
      </c>
      <c r="P713" s="14">
        <f>M713-N713</f>
        <v>8000</v>
      </c>
      <c r="Q713" s="14">
        <f>L713*M713</f>
        <v>16000</v>
      </c>
      <c r="R713" s="14">
        <f>L713*N713</f>
        <v>0</v>
      </c>
      <c r="S713" s="14">
        <f>L713*P713</f>
        <v>16000</v>
      </c>
      <c r="T713" s="14"/>
      <c r="U713" s="14">
        <f>L713*T713</f>
        <v>0</v>
      </c>
      <c r="V713" s="14">
        <f>S713-U713</f>
        <v>16000</v>
      </c>
      <c r="W713" s="16">
        <f>IF(S713&gt;0, V713/S713, 0)</f>
        <v>1</v>
      </c>
      <c r="X713" s="7" t="s">
        <v>39</v>
      </c>
      <c r="Y713" s="9" t="s">
        <v>40</v>
      </c>
      <c r="Z713" s="9" t="s">
        <v>41</v>
      </c>
      <c r="AA713" s="9" t="s">
        <v>42</v>
      </c>
      <c r="AB713" s="7" t="s">
        <v>42</v>
      </c>
    </row>
    <row r="714" spans="1:28">
      <c r="A714" s="8">
        <v>707</v>
      </c>
      <c r="B714" s="8" t="s">
        <v>1001</v>
      </c>
      <c r="C714" s="8" t="s">
        <v>953</v>
      </c>
      <c r="D714" s="8" t="s">
        <v>652</v>
      </c>
      <c r="E714" s="8" t="s">
        <v>68</v>
      </c>
      <c r="F714" s="6" t="s">
        <v>50</v>
      </c>
      <c r="G714" s="6" t="s">
        <v>69</v>
      </c>
      <c r="H714" s="6" t="s">
        <v>69</v>
      </c>
      <c r="I714" s="8">
        <v>170</v>
      </c>
      <c r="J714" s="8" t="s">
        <v>1002</v>
      </c>
      <c r="K714" s="8" t="s">
        <v>38</v>
      </c>
      <c r="L714" s="10">
        <v>1</v>
      </c>
      <c r="M714" s="13">
        <v>18000.0</v>
      </c>
      <c r="N714" s="13"/>
      <c r="O714" s="15">
        <f>IF(M714&gt;0, N714/M714, 0)</f>
        <v>0</v>
      </c>
      <c r="P714" s="13">
        <f>M714-N714</f>
        <v>18000</v>
      </c>
      <c r="Q714" s="13">
        <f>L714*M714</f>
        <v>18000</v>
      </c>
      <c r="R714" s="13">
        <f>L714*N714</f>
        <v>0</v>
      </c>
      <c r="S714" s="13">
        <f>L714*P714</f>
        <v>18000</v>
      </c>
      <c r="T714" s="13"/>
      <c r="U714" s="13">
        <f>L714*T714</f>
        <v>0</v>
      </c>
      <c r="V714" s="13">
        <f>S714-U714</f>
        <v>18000</v>
      </c>
      <c r="W714" s="15">
        <f>IF(S714&gt;0, V714/S714, 0)</f>
        <v>1</v>
      </c>
      <c r="X714" s="6" t="s">
        <v>39</v>
      </c>
      <c r="Y714" s="8" t="s">
        <v>40</v>
      </c>
      <c r="Z714" s="8" t="s">
        <v>71</v>
      </c>
      <c r="AA714" s="8" t="s">
        <v>42</v>
      </c>
      <c r="AB714" s="6" t="s">
        <v>42</v>
      </c>
    </row>
    <row r="715" spans="1:28">
      <c r="A715" s="9">
        <v>708</v>
      </c>
      <c r="B715" s="9" t="s">
        <v>1003</v>
      </c>
      <c r="C715" s="9" t="s">
        <v>953</v>
      </c>
      <c r="D715" s="9" t="s">
        <v>652</v>
      </c>
      <c r="E715" s="9" t="s">
        <v>33</v>
      </c>
      <c r="F715" s="7" t="s">
        <v>50</v>
      </c>
      <c r="G715" s="7" t="s">
        <v>35</v>
      </c>
      <c r="H715" s="7" t="s">
        <v>36</v>
      </c>
      <c r="I715" s="9">
        <v>170</v>
      </c>
      <c r="J715" s="9" t="s">
        <v>642</v>
      </c>
      <c r="K715" s="9" t="s">
        <v>53</v>
      </c>
      <c r="L715" s="11">
        <v>2</v>
      </c>
      <c r="M715" s="14">
        <v>8000.0</v>
      </c>
      <c r="N715" s="14"/>
      <c r="O715" s="16">
        <f>IF(M715&gt;0, N715/M715, 0)</f>
        <v>0</v>
      </c>
      <c r="P715" s="14">
        <f>M715-N715</f>
        <v>8000</v>
      </c>
      <c r="Q715" s="14">
        <f>L715*M715</f>
        <v>16000</v>
      </c>
      <c r="R715" s="14">
        <f>L715*N715</f>
        <v>0</v>
      </c>
      <c r="S715" s="14">
        <f>L715*P715</f>
        <v>16000</v>
      </c>
      <c r="T715" s="14"/>
      <c r="U715" s="14">
        <f>L715*T715</f>
        <v>0</v>
      </c>
      <c r="V715" s="14">
        <f>S715-U715</f>
        <v>16000</v>
      </c>
      <c r="W715" s="16">
        <f>IF(S715&gt;0, V715/S715, 0)</f>
        <v>1</v>
      </c>
      <c r="X715" s="7" t="s">
        <v>39</v>
      </c>
      <c r="Y715" s="9" t="s">
        <v>40</v>
      </c>
      <c r="Z715" s="9" t="s">
        <v>41</v>
      </c>
      <c r="AA715" s="9" t="s">
        <v>42</v>
      </c>
      <c r="AB715" s="7" t="s">
        <v>42</v>
      </c>
    </row>
    <row r="716" spans="1:28">
      <c r="A716" s="8">
        <v>709</v>
      </c>
      <c r="B716" s="8" t="s">
        <v>1004</v>
      </c>
      <c r="C716" s="8" t="s">
        <v>953</v>
      </c>
      <c r="D716" s="8" t="s">
        <v>652</v>
      </c>
      <c r="E716" s="8" t="s">
        <v>33</v>
      </c>
      <c r="F716" s="6" t="s">
        <v>50</v>
      </c>
      <c r="G716" s="6" t="s">
        <v>35</v>
      </c>
      <c r="H716" s="6" t="s">
        <v>36</v>
      </c>
      <c r="I716" s="8">
        <v>170</v>
      </c>
      <c r="J716" s="8" t="s">
        <v>642</v>
      </c>
      <c r="K716" s="8" t="s">
        <v>53</v>
      </c>
      <c r="L716" s="10">
        <v>1</v>
      </c>
      <c r="M716" s="13">
        <v>8000.0</v>
      </c>
      <c r="N716" s="13"/>
      <c r="O716" s="15">
        <f>IF(M716&gt;0, N716/M716, 0)</f>
        <v>0</v>
      </c>
      <c r="P716" s="13">
        <f>M716-N716</f>
        <v>8000</v>
      </c>
      <c r="Q716" s="13">
        <f>L716*M716</f>
        <v>8000</v>
      </c>
      <c r="R716" s="13">
        <f>L716*N716</f>
        <v>0</v>
      </c>
      <c r="S716" s="13">
        <f>L716*P716</f>
        <v>8000</v>
      </c>
      <c r="T716" s="13"/>
      <c r="U716" s="13">
        <f>L716*T716</f>
        <v>0</v>
      </c>
      <c r="V716" s="13">
        <f>S716-U716</f>
        <v>8000</v>
      </c>
      <c r="W716" s="15">
        <f>IF(S716&gt;0, V716/S716, 0)</f>
        <v>1</v>
      </c>
      <c r="X716" s="6" t="s">
        <v>39</v>
      </c>
      <c r="Y716" s="8" t="s">
        <v>40</v>
      </c>
      <c r="Z716" s="8" t="s">
        <v>41</v>
      </c>
      <c r="AA716" s="8" t="s">
        <v>42</v>
      </c>
      <c r="AB716" s="6" t="s">
        <v>42</v>
      </c>
    </row>
    <row r="717" spans="1:28">
      <c r="A717" s="9">
        <v>710</v>
      </c>
      <c r="B717" s="9" t="s">
        <v>1005</v>
      </c>
      <c r="C717" s="9" t="s">
        <v>953</v>
      </c>
      <c r="D717" s="9" t="s">
        <v>652</v>
      </c>
      <c r="E717" s="9" t="s">
        <v>33</v>
      </c>
      <c r="F717" s="7" t="s">
        <v>50</v>
      </c>
      <c r="G717" s="7" t="s">
        <v>45</v>
      </c>
      <c r="H717" s="7" t="s">
        <v>46</v>
      </c>
      <c r="I717" s="9">
        <v>146</v>
      </c>
      <c r="J717" s="9" t="s">
        <v>140</v>
      </c>
      <c r="K717" s="9" t="s">
        <v>38</v>
      </c>
      <c r="L717" s="11">
        <v>1</v>
      </c>
      <c r="M717" s="14">
        <v>18000.0</v>
      </c>
      <c r="N717" s="14"/>
      <c r="O717" s="16">
        <f>IF(M717&gt;0, N717/M717, 0)</f>
        <v>0</v>
      </c>
      <c r="P717" s="14">
        <f>M717-N717</f>
        <v>18000</v>
      </c>
      <c r="Q717" s="14">
        <f>L717*M717</f>
        <v>18000</v>
      </c>
      <c r="R717" s="14">
        <f>L717*N717</f>
        <v>0</v>
      </c>
      <c r="S717" s="14">
        <f>L717*P717</f>
        <v>18000</v>
      </c>
      <c r="T717" s="14"/>
      <c r="U717" s="14">
        <f>L717*T717</f>
        <v>0</v>
      </c>
      <c r="V717" s="14">
        <f>S717-U717</f>
        <v>18000</v>
      </c>
      <c r="W717" s="16">
        <f>IF(S717&gt;0, V717/S717, 0)</f>
        <v>1</v>
      </c>
      <c r="X717" s="7" t="s">
        <v>39</v>
      </c>
      <c r="Y717" s="9" t="s">
        <v>40</v>
      </c>
      <c r="Z717" s="9" t="s">
        <v>41</v>
      </c>
      <c r="AA717" s="9" t="s">
        <v>42</v>
      </c>
      <c r="AB717" s="7" t="s">
        <v>42</v>
      </c>
    </row>
    <row r="718" spans="1:28">
      <c r="A718" s="8">
        <v>711</v>
      </c>
      <c r="B718" s="8" t="s">
        <v>1006</v>
      </c>
      <c r="C718" s="8" t="s">
        <v>953</v>
      </c>
      <c r="D718" s="8" t="s">
        <v>652</v>
      </c>
      <c r="E718" s="8" t="s">
        <v>33</v>
      </c>
      <c r="F718" s="6" t="s">
        <v>50</v>
      </c>
      <c r="G718" s="6" t="s">
        <v>35</v>
      </c>
      <c r="H718" s="6" t="s">
        <v>36</v>
      </c>
      <c r="I718" s="8">
        <v>134</v>
      </c>
      <c r="J718" s="8" t="s">
        <v>177</v>
      </c>
      <c r="K718" s="8" t="s">
        <v>53</v>
      </c>
      <c r="L718" s="10">
        <v>4</v>
      </c>
      <c r="M718" s="13">
        <v>7000.0</v>
      </c>
      <c r="N718" s="13"/>
      <c r="O718" s="15">
        <f>IF(M718&gt;0, N718/M718, 0)</f>
        <v>0</v>
      </c>
      <c r="P718" s="13">
        <f>M718-N718</f>
        <v>7000</v>
      </c>
      <c r="Q718" s="13">
        <f>L718*M718</f>
        <v>28000</v>
      </c>
      <c r="R718" s="13">
        <f>L718*N718</f>
        <v>0</v>
      </c>
      <c r="S718" s="13">
        <f>L718*P718</f>
        <v>28000</v>
      </c>
      <c r="T718" s="13"/>
      <c r="U718" s="13">
        <f>L718*T718</f>
        <v>0</v>
      </c>
      <c r="V718" s="13">
        <f>S718-U718</f>
        <v>28000</v>
      </c>
      <c r="W718" s="15">
        <f>IF(S718&gt;0, V718/S718, 0)</f>
        <v>1</v>
      </c>
      <c r="X718" s="6" t="s">
        <v>39</v>
      </c>
      <c r="Y718" s="8" t="s">
        <v>40</v>
      </c>
      <c r="Z718" s="8" t="s">
        <v>41</v>
      </c>
      <c r="AA718" s="8" t="s">
        <v>42</v>
      </c>
      <c r="AB718" s="6" t="s">
        <v>42</v>
      </c>
    </row>
    <row r="719" spans="1:28">
      <c r="A719" s="9">
        <v>712</v>
      </c>
      <c r="B719" s="9" t="s">
        <v>1007</v>
      </c>
      <c r="C719" s="9" t="s">
        <v>953</v>
      </c>
      <c r="D719" s="9" t="s">
        <v>652</v>
      </c>
      <c r="E719" s="9" t="s">
        <v>33</v>
      </c>
      <c r="F719" s="7" t="s">
        <v>50</v>
      </c>
      <c r="G719" s="7" t="s">
        <v>51</v>
      </c>
      <c r="H719" s="7" t="s">
        <v>51</v>
      </c>
      <c r="I719" s="9">
        <v>128</v>
      </c>
      <c r="J719" s="9" t="s">
        <v>390</v>
      </c>
      <c r="K719" s="9" t="s">
        <v>53</v>
      </c>
      <c r="L719" s="11">
        <v>1</v>
      </c>
      <c r="M719" s="14">
        <v>8000.0</v>
      </c>
      <c r="N719" s="14"/>
      <c r="O719" s="16">
        <f>IF(M719&gt;0, N719/M719, 0)</f>
        <v>0</v>
      </c>
      <c r="P719" s="14">
        <f>M719-N719</f>
        <v>8000</v>
      </c>
      <c r="Q719" s="14">
        <f>L719*M719</f>
        <v>8000</v>
      </c>
      <c r="R719" s="14">
        <f>L719*N719</f>
        <v>0</v>
      </c>
      <c r="S719" s="14">
        <f>L719*P719</f>
        <v>8000</v>
      </c>
      <c r="T719" s="14"/>
      <c r="U719" s="14">
        <f>L719*T719</f>
        <v>0</v>
      </c>
      <c r="V719" s="14">
        <f>S719-U719</f>
        <v>8000</v>
      </c>
      <c r="W719" s="16">
        <f>IF(S719&gt;0, V719/S719, 0)</f>
        <v>1</v>
      </c>
      <c r="X719" s="7" t="s">
        <v>39</v>
      </c>
      <c r="Y719" s="9" t="s">
        <v>40</v>
      </c>
      <c r="Z719" s="9" t="s">
        <v>41</v>
      </c>
      <c r="AA719" s="9" t="s">
        <v>42</v>
      </c>
      <c r="AB719" s="7" t="s">
        <v>42</v>
      </c>
    </row>
    <row r="720" spans="1:28">
      <c r="A720" s="8">
        <v>713</v>
      </c>
      <c r="B720" s="8" t="s">
        <v>1008</v>
      </c>
      <c r="C720" s="8" t="s">
        <v>953</v>
      </c>
      <c r="D720" s="8" t="s">
        <v>652</v>
      </c>
      <c r="E720" s="8" t="s">
        <v>33</v>
      </c>
      <c r="F720" s="6" t="s">
        <v>50</v>
      </c>
      <c r="G720" s="6" t="s">
        <v>45</v>
      </c>
      <c r="H720" s="6" t="s">
        <v>46</v>
      </c>
      <c r="I720" s="8">
        <v>140</v>
      </c>
      <c r="J720" s="8" t="s">
        <v>414</v>
      </c>
      <c r="K720" s="8" t="s">
        <v>38</v>
      </c>
      <c r="L720" s="10">
        <v>1</v>
      </c>
      <c r="M720" s="13">
        <v>18000.0</v>
      </c>
      <c r="N720" s="13"/>
      <c r="O720" s="15">
        <f>IF(M720&gt;0, N720/M720, 0)</f>
        <v>0</v>
      </c>
      <c r="P720" s="13">
        <f>M720-N720</f>
        <v>18000</v>
      </c>
      <c r="Q720" s="13">
        <f>L720*M720</f>
        <v>18000</v>
      </c>
      <c r="R720" s="13">
        <f>L720*N720</f>
        <v>0</v>
      </c>
      <c r="S720" s="13">
        <f>L720*P720</f>
        <v>18000</v>
      </c>
      <c r="T720" s="13"/>
      <c r="U720" s="13">
        <f>L720*T720</f>
        <v>0</v>
      </c>
      <c r="V720" s="13">
        <f>S720-U720</f>
        <v>18000</v>
      </c>
      <c r="W720" s="15">
        <f>IF(S720&gt;0, V720/S720, 0)</f>
        <v>1</v>
      </c>
      <c r="X720" s="6" t="s">
        <v>39</v>
      </c>
      <c r="Y720" s="8" t="s">
        <v>40</v>
      </c>
      <c r="Z720" s="8" t="s">
        <v>41</v>
      </c>
      <c r="AA720" s="8" t="s">
        <v>42</v>
      </c>
      <c r="AB720" s="6" t="s">
        <v>42</v>
      </c>
    </row>
    <row r="721" spans="1:28">
      <c r="A721" s="9">
        <v>714</v>
      </c>
      <c r="B721" s="9" t="s">
        <v>1009</v>
      </c>
      <c r="C721" s="9" t="s">
        <v>953</v>
      </c>
      <c r="D721" s="9" t="s">
        <v>652</v>
      </c>
      <c r="E721" s="9" t="s">
        <v>33</v>
      </c>
      <c r="F721" s="7" t="s">
        <v>50</v>
      </c>
      <c r="G721" s="7" t="s">
        <v>35</v>
      </c>
      <c r="H721" s="7" t="s">
        <v>36</v>
      </c>
      <c r="I721" s="9">
        <v>134</v>
      </c>
      <c r="J721" s="9" t="s">
        <v>177</v>
      </c>
      <c r="K721" s="9" t="s">
        <v>53</v>
      </c>
      <c r="L721" s="11">
        <v>3</v>
      </c>
      <c r="M721" s="14">
        <v>7000.0</v>
      </c>
      <c r="N721" s="14"/>
      <c r="O721" s="16">
        <f>IF(M721&gt;0, N721/M721, 0)</f>
        <v>0</v>
      </c>
      <c r="P721" s="14">
        <f>M721-N721</f>
        <v>7000</v>
      </c>
      <c r="Q721" s="14">
        <f>L721*M721</f>
        <v>21000</v>
      </c>
      <c r="R721" s="14">
        <f>L721*N721</f>
        <v>0</v>
      </c>
      <c r="S721" s="14">
        <f>L721*P721</f>
        <v>21000</v>
      </c>
      <c r="T721" s="14"/>
      <c r="U721" s="14">
        <f>L721*T721</f>
        <v>0</v>
      </c>
      <c r="V721" s="14">
        <f>S721-U721</f>
        <v>21000</v>
      </c>
      <c r="W721" s="16">
        <f>IF(S721&gt;0, V721/S721, 0)</f>
        <v>1</v>
      </c>
      <c r="X721" s="7" t="s">
        <v>39</v>
      </c>
      <c r="Y721" s="9" t="s">
        <v>40</v>
      </c>
      <c r="Z721" s="9" t="s">
        <v>41</v>
      </c>
      <c r="AA721" s="9" t="s">
        <v>42</v>
      </c>
      <c r="AB721" s="7" t="s">
        <v>42</v>
      </c>
    </row>
    <row r="722" spans="1:28">
      <c r="A722" s="8">
        <v>715</v>
      </c>
      <c r="B722" s="8" t="s">
        <v>1010</v>
      </c>
      <c r="C722" s="8" t="s">
        <v>953</v>
      </c>
      <c r="D722" s="8" t="s">
        <v>652</v>
      </c>
      <c r="E722" s="8" t="s">
        <v>33</v>
      </c>
      <c r="F722" s="6" t="s">
        <v>50</v>
      </c>
      <c r="G722" s="6" t="s">
        <v>51</v>
      </c>
      <c r="H722" s="6" t="s">
        <v>51</v>
      </c>
      <c r="I722" s="8">
        <v>134</v>
      </c>
      <c r="J722" s="8" t="s">
        <v>175</v>
      </c>
      <c r="K722" s="8" t="s">
        <v>53</v>
      </c>
      <c r="L722" s="10">
        <v>2</v>
      </c>
      <c r="M722" s="13">
        <v>8000.0</v>
      </c>
      <c r="N722" s="13"/>
      <c r="O722" s="15">
        <f>IF(M722&gt;0, N722/M722, 0)</f>
        <v>0</v>
      </c>
      <c r="P722" s="13">
        <f>M722-N722</f>
        <v>8000</v>
      </c>
      <c r="Q722" s="13">
        <f>L722*M722</f>
        <v>16000</v>
      </c>
      <c r="R722" s="13">
        <f>L722*N722</f>
        <v>0</v>
      </c>
      <c r="S722" s="13">
        <f>L722*P722</f>
        <v>16000</v>
      </c>
      <c r="T722" s="13"/>
      <c r="U722" s="13">
        <f>L722*T722</f>
        <v>0</v>
      </c>
      <c r="V722" s="13">
        <f>S722-U722</f>
        <v>16000</v>
      </c>
      <c r="W722" s="15">
        <f>IF(S722&gt;0, V722/S722, 0)</f>
        <v>1</v>
      </c>
      <c r="X722" s="6" t="s">
        <v>39</v>
      </c>
      <c r="Y722" s="8" t="s">
        <v>40</v>
      </c>
      <c r="Z722" s="8" t="s">
        <v>41</v>
      </c>
      <c r="AA722" s="8" t="s">
        <v>42</v>
      </c>
      <c r="AB722" s="6" t="s">
        <v>42</v>
      </c>
    </row>
    <row r="723" spans="1:28">
      <c r="A723" s="9">
        <v>716</v>
      </c>
      <c r="B723" s="9" t="s">
        <v>1011</v>
      </c>
      <c r="C723" s="9" t="s">
        <v>953</v>
      </c>
      <c r="D723" s="9" t="s">
        <v>652</v>
      </c>
      <c r="E723" s="9" t="s">
        <v>33</v>
      </c>
      <c r="F723" s="7" t="s">
        <v>50</v>
      </c>
      <c r="G723" s="7" t="s">
        <v>69</v>
      </c>
      <c r="H723" s="7" t="s">
        <v>69</v>
      </c>
      <c r="I723" s="9">
        <v>140</v>
      </c>
      <c r="J723" s="9" t="s">
        <v>225</v>
      </c>
      <c r="K723" s="9" t="s">
        <v>38</v>
      </c>
      <c r="L723" s="11">
        <v>1</v>
      </c>
      <c r="M723" s="14">
        <v>16000.0</v>
      </c>
      <c r="N723" s="14"/>
      <c r="O723" s="16">
        <f>IF(M723&gt;0, N723/M723, 0)</f>
        <v>0</v>
      </c>
      <c r="P723" s="14">
        <f>M723-N723</f>
        <v>16000</v>
      </c>
      <c r="Q723" s="14">
        <f>L723*M723</f>
        <v>16000</v>
      </c>
      <c r="R723" s="14">
        <f>L723*N723</f>
        <v>0</v>
      </c>
      <c r="S723" s="14">
        <f>L723*P723</f>
        <v>16000</v>
      </c>
      <c r="T723" s="14"/>
      <c r="U723" s="14">
        <f>L723*T723</f>
        <v>0</v>
      </c>
      <c r="V723" s="14">
        <f>S723-U723</f>
        <v>16000</v>
      </c>
      <c r="W723" s="16">
        <f>IF(S723&gt;0, V723/S723, 0)</f>
        <v>1</v>
      </c>
      <c r="X723" s="7" t="s">
        <v>39</v>
      </c>
      <c r="Y723" s="9" t="s">
        <v>40</v>
      </c>
      <c r="Z723" s="9" t="s">
        <v>41</v>
      </c>
      <c r="AA723" s="9" t="s">
        <v>42</v>
      </c>
      <c r="AB723" s="7" t="s">
        <v>42</v>
      </c>
    </row>
    <row r="724" spans="1:28">
      <c r="A724" s="8">
        <v>717</v>
      </c>
      <c r="B724" s="8" t="s">
        <v>1012</v>
      </c>
      <c r="C724" s="8" t="s">
        <v>953</v>
      </c>
      <c r="D724" s="8" t="s">
        <v>652</v>
      </c>
      <c r="E724" s="8" t="s">
        <v>33</v>
      </c>
      <c r="F724" s="6" t="s">
        <v>34</v>
      </c>
      <c r="G724" s="6" t="s">
        <v>35</v>
      </c>
      <c r="H724" s="6" t="s">
        <v>36</v>
      </c>
      <c r="I724" s="8">
        <v>170</v>
      </c>
      <c r="J724" s="8" t="s">
        <v>142</v>
      </c>
      <c r="K724" s="8" t="s">
        <v>38</v>
      </c>
      <c r="L724" s="10">
        <v>1</v>
      </c>
      <c r="M724" s="13">
        <v>8000.0</v>
      </c>
      <c r="N724" s="13"/>
      <c r="O724" s="15">
        <f>IF(M724&gt;0, N724/M724, 0)</f>
        <v>0</v>
      </c>
      <c r="P724" s="13">
        <f>M724-N724</f>
        <v>8000</v>
      </c>
      <c r="Q724" s="13">
        <f>L724*M724</f>
        <v>8000</v>
      </c>
      <c r="R724" s="13">
        <f>L724*N724</f>
        <v>0</v>
      </c>
      <c r="S724" s="13">
        <f>L724*P724</f>
        <v>8000</v>
      </c>
      <c r="T724" s="13"/>
      <c r="U724" s="13">
        <f>L724*T724</f>
        <v>0</v>
      </c>
      <c r="V724" s="13">
        <f>S724-U724</f>
        <v>8000</v>
      </c>
      <c r="W724" s="15">
        <f>IF(S724&gt;0, V724/S724, 0)</f>
        <v>1</v>
      </c>
      <c r="X724" s="6" t="s">
        <v>39</v>
      </c>
      <c r="Y724" s="8" t="s">
        <v>40</v>
      </c>
      <c r="Z724" s="8" t="s">
        <v>41</v>
      </c>
      <c r="AA724" s="8" t="s">
        <v>42</v>
      </c>
      <c r="AB724" s="6" t="s">
        <v>42</v>
      </c>
    </row>
    <row r="725" spans="1:28">
      <c r="A725" s="9">
        <v>718</v>
      </c>
      <c r="B725" s="9" t="s">
        <v>1013</v>
      </c>
      <c r="C725" s="9" t="s">
        <v>953</v>
      </c>
      <c r="D725" s="9" t="s">
        <v>652</v>
      </c>
      <c r="E725" s="9" t="s">
        <v>33</v>
      </c>
      <c r="F725" s="7" t="s">
        <v>34</v>
      </c>
      <c r="G725" s="7" t="s">
        <v>51</v>
      </c>
      <c r="H725" s="7" t="s">
        <v>51</v>
      </c>
      <c r="I725" s="9">
        <v>164</v>
      </c>
      <c r="J725" s="9" t="s">
        <v>61</v>
      </c>
      <c r="K725" s="9" t="s">
        <v>38</v>
      </c>
      <c r="L725" s="11">
        <v>1</v>
      </c>
      <c r="M725" s="14">
        <v>8500.0</v>
      </c>
      <c r="N725" s="14"/>
      <c r="O725" s="16">
        <f>IF(M725&gt;0, N725/M725, 0)</f>
        <v>0</v>
      </c>
      <c r="P725" s="14">
        <f>M725-N725</f>
        <v>8500</v>
      </c>
      <c r="Q725" s="14">
        <f>L725*M725</f>
        <v>8500</v>
      </c>
      <c r="R725" s="14">
        <f>L725*N725</f>
        <v>0</v>
      </c>
      <c r="S725" s="14">
        <f>L725*P725</f>
        <v>8500</v>
      </c>
      <c r="T725" s="14"/>
      <c r="U725" s="14">
        <f>L725*T725</f>
        <v>0</v>
      </c>
      <c r="V725" s="14">
        <f>S725-U725</f>
        <v>8500</v>
      </c>
      <c r="W725" s="16">
        <f>IF(S725&gt;0, V725/S725, 0)</f>
        <v>1</v>
      </c>
      <c r="X725" s="7" t="s">
        <v>39</v>
      </c>
      <c r="Y725" s="9" t="s">
        <v>40</v>
      </c>
      <c r="Z725" s="9" t="s">
        <v>41</v>
      </c>
      <c r="AA725" s="9" t="s">
        <v>42</v>
      </c>
      <c r="AB725" s="7" t="s">
        <v>42</v>
      </c>
    </row>
    <row r="726" spans="1:28">
      <c r="A726" s="8">
        <v>719</v>
      </c>
      <c r="B726" s="8" t="s">
        <v>1014</v>
      </c>
      <c r="C726" s="8" t="s">
        <v>953</v>
      </c>
      <c r="D726" s="8" t="s">
        <v>652</v>
      </c>
      <c r="E726" s="8" t="s">
        <v>33</v>
      </c>
      <c r="F726" s="6" t="s">
        <v>34</v>
      </c>
      <c r="G726" s="6" t="s">
        <v>56</v>
      </c>
      <c r="H726" s="6" t="s">
        <v>56</v>
      </c>
      <c r="I726" s="8">
        <v>170</v>
      </c>
      <c r="J726" s="8" t="s">
        <v>212</v>
      </c>
      <c r="K726" s="8" t="s">
        <v>38</v>
      </c>
      <c r="L726" s="10">
        <v>1</v>
      </c>
      <c r="M726" s="13">
        <v>9500.0</v>
      </c>
      <c r="N726" s="13"/>
      <c r="O726" s="15">
        <f>IF(M726&gt;0, N726/M726, 0)</f>
        <v>0</v>
      </c>
      <c r="P726" s="13">
        <f>M726-N726</f>
        <v>9500</v>
      </c>
      <c r="Q726" s="13">
        <f>L726*M726</f>
        <v>9500</v>
      </c>
      <c r="R726" s="13">
        <f>L726*N726</f>
        <v>0</v>
      </c>
      <c r="S726" s="13">
        <f>L726*P726</f>
        <v>9500</v>
      </c>
      <c r="T726" s="13"/>
      <c r="U726" s="13">
        <f>L726*T726</f>
        <v>0</v>
      </c>
      <c r="V726" s="13">
        <f>S726-U726</f>
        <v>9500</v>
      </c>
      <c r="W726" s="15">
        <f>IF(S726&gt;0, V726/S726, 0)</f>
        <v>1</v>
      </c>
      <c r="X726" s="6" t="s">
        <v>39</v>
      </c>
      <c r="Y726" s="8" t="s">
        <v>40</v>
      </c>
      <c r="Z726" s="8" t="s">
        <v>41</v>
      </c>
      <c r="AA726" s="8" t="s">
        <v>42</v>
      </c>
      <c r="AB726" s="6" t="s">
        <v>42</v>
      </c>
    </row>
    <row r="727" spans="1:28">
      <c r="A727" s="9">
        <v>720</v>
      </c>
      <c r="B727" s="9" t="s">
        <v>1015</v>
      </c>
      <c r="C727" s="9" t="s">
        <v>953</v>
      </c>
      <c r="D727" s="9" t="s">
        <v>652</v>
      </c>
      <c r="E727" s="9" t="s">
        <v>33</v>
      </c>
      <c r="F727" s="7" t="s">
        <v>50</v>
      </c>
      <c r="G727" s="7" t="s">
        <v>35</v>
      </c>
      <c r="H727" s="7" t="s">
        <v>36</v>
      </c>
      <c r="I727" s="9">
        <v>152</v>
      </c>
      <c r="J727" s="9" t="s">
        <v>151</v>
      </c>
      <c r="K727" s="9" t="s">
        <v>53</v>
      </c>
      <c r="L727" s="11">
        <v>1</v>
      </c>
      <c r="M727" s="14">
        <v>7000.0</v>
      </c>
      <c r="N727" s="14"/>
      <c r="O727" s="16">
        <f>IF(M727&gt;0, N727/M727, 0)</f>
        <v>0</v>
      </c>
      <c r="P727" s="14">
        <f>M727-N727</f>
        <v>7000</v>
      </c>
      <c r="Q727" s="14">
        <f>L727*M727</f>
        <v>7000</v>
      </c>
      <c r="R727" s="14">
        <f>L727*N727</f>
        <v>0</v>
      </c>
      <c r="S727" s="14">
        <f>L727*P727</f>
        <v>7000</v>
      </c>
      <c r="T727" s="14"/>
      <c r="U727" s="14">
        <f>L727*T727</f>
        <v>0</v>
      </c>
      <c r="V727" s="14">
        <f>S727-U727</f>
        <v>7000</v>
      </c>
      <c r="W727" s="16">
        <f>IF(S727&gt;0, V727/S727, 0)</f>
        <v>1</v>
      </c>
      <c r="X727" s="7" t="s">
        <v>39</v>
      </c>
      <c r="Y727" s="9" t="s">
        <v>40</v>
      </c>
      <c r="Z727" s="9" t="s">
        <v>41</v>
      </c>
      <c r="AA727" s="9" t="s">
        <v>42</v>
      </c>
      <c r="AB727" s="7" t="s">
        <v>42</v>
      </c>
    </row>
    <row r="728" spans="1:28">
      <c r="A728" s="8">
        <v>721</v>
      </c>
      <c r="B728" s="8" t="s">
        <v>1016</v>
      </c>
      <c r="C728" s="8" t="s">
        <v>953</v>
      </c>
      <c r="D728" s="8" t="s">
        <v>652</v>
      </c>
      <c r="E728" s="8" t="s">
        <v>68</v>
      </c>
      <c r="F728" s="6" t="s">
        <v>34</v>
      </c>
      <c r="G728" s="6" t="s">
        <v>35</v>
      </c>
      <c r="H728" s="6" t="s">
        <v>36</v>
      </c>
      <c r="I728" s="8">
        <v>158</v>
      </c>
      <c r="J728" s="8" t="s">
        <v>37</v>
      </c>
      <c r="K728" s="8" t="s">
        <v>38</v>
      </c>
      <c r="L728" s="10">
        <v>2</v>
      </c>
      <c r="M728" s="13">
        <v>10000.0</v>
      </c>
      <c r="N728" s="13"/>
      <c r="O728" s="15">
        <f>IF(M728&gt;0, N728/M728, 0)</f>
        <v>0</v>
      </c>
      <c r="P728" s="13">
        <f>M728-N728</f>
        <v>10000</v>
      </c>
      <c r="Q728" s="13">
        <f>L728*M728</f>
        <v>20000</v>
      </c>
      <c r="R728" s="13">
        <f>L728*N728</f>
        <v>0</v>
      </c>
      <c r="S728" s="13">
        <f>L728*P728</f>
        <v>20000</v>
      </c>
      <c r="T728" s="13"/>
      <c r="U728" s="13">
        <f>L728*T728</f>
        <v>0</v>
      </c>
      <c r="V728" s="13">
        <f>S728-U728</f>
        <v>20000</v>
      </c>
      <c r="W728" s="15">
        <f>IF(S728&gt;0, V728/S728, 0)</f>
        <v>1</v>
      </c>
      <c r="X728" s="6" t="s">
        <v>39</v>
      </c>
      <c r="Y728" s="8" t="s">
        <v>40</v>
      </c>
      <c r="Z728" s="8" t="s">
        <v>71</v>
      </c>
      <c r="AA728" s="8" t="s">
        <v>42</v>
      </c>
      <c r="AB728" s="6" t="s">
        <v>42</v>
      </c>
    </row>
    <row r="729" spans="1:28">
      <c r="A729" s="9">
        <v>722</v>
      </c>
      <c r="B729" s="9" t="s">
        <v>1017</v>
      </c>
      <c r="C729" s="9" t="s">
        <v>953</v>
      </c>
      <c r="D729" s="9" t="s">
        <v>652</v>
      </c>
      <c r="E729" s="9" t="s">
        <v>33</v>
      </c>
      <c r="F729" s="7" t="s">
        <v>50</v>
      </c>
      <c r="G729" s="7" t="s">
        <v>35</v>
      </c>
      <c r="H729" s="7" t="s">
        <v>73</v>
      </c>
      <c r="I729" s="9">
        <v>128</v>
      </c>
      <c r="J729" s="9" t="s">
        <v>185</v>
      </c>
      <c r="K729" s="9" t="s">
        <v>53</v>
      </c>
      <c r="L729" s="11">
        <v>1</v>
      </c>
      <c r="M729" s="14">
        <v>8000.0</v>
      </c>
      <c r="N729" s="14"/>
      <c r="O729" s="16">
        <f>IF(M729&gt;0, N729/M729, 0)</f>
        <v>0</v>
      </c>
      <c r="P729" s="14">
        <f>M729-N729</f>
        <v>8000</v>
      </c>
      <c r="Q729" s="14">
        <f>L729*M729</f>
        <v>8000</v>
      </c>
      <c r="R729" s="14">
        <f>L729*N729</f>
        <v>0</v>
      </c>
      <c r="S729" s="14">
        <f>L729*P729</f>
        <v>8000</v>
      </c>
      <c r="T729" s="14"/>
      <c r="U729" s="14">
        <f>L729*T729</f>
        <v>0</v>
      </c>
      <c r="V729" s="14">
        <f>S729-U729</f>
        <v>8000</v>
      </c>
      <c r="W729" s="16">
        <f>IF(S729&gt;0, V729/S729, 0)</f>
        <v>1</v>
      </c>
      <c r="X729" s="7" t="s">
        <v>39</v>
      </c>
      <c r="Y729" s="9" t="s">
        <v>40</v>
      </c>
      <c r="Z729" s="9" t="s">
        <v>41</v>
      </c>
      <c r="AA729" s="9" t="s">
        <v>42</v>
      </c>
      <c r="AB729" s="7" t="s">
        <v>42</v>
      </c>
    </row>
    <row r="730" spans="1:28">
      <c r="A730" s="8">
        <v>723</v>
      </c>
      <c r="B730" s="8" t="s">
        <v>1018</v>
      </c>
      <c r="C730" s="8" t="s">
        <v>953</v>
      </c>
      <c r="D730" s="8" t="s">
        <v>652</v>
      </c>
      <c r="E730" s="8" t="s">
        <v>33</v>
      </c>
      <c r="F730" s="6" t="s">
        <v>50</v>
      </c>
      <c r="G730" s="6" t="s">
        <v>35</v>
      </c>
      <c r="H730" s="6" t="s">
        <v>36</v>
      </c>
      <c r="I730" s="8">
        <v>128</v>
      </c>
      <c r="J730" s="8" t="s">
        <v>156</v>
      </c>
      <c r="K730" s="8" t="s">
        <v>53</v>
      </c>
      <c r="L730" s="10">
        <v>2</v>
      </c>
      <c r="M730" s="13">
        <v>7000.0</v>
      </c>
      <c r="N730" s="13"/>
      <c r="O730" s="15">
        <f>IF(M730&gt;0, N730/M730, 0)</f>
        <v>0</v>
      </c>
      <c r="P730" s="13">
        <f>M730-N730</f>
        <v>7000</v>
      </c>
      <c r="Q730" s="13">
        <f>L730*M730</f>
        <v>14000</v>
      </c>
      <c r="R730" s="13">
        <f>L730*N730</f>
        <v>0</v>
      </c>
      <c r="S730" s="13">
        <f>L730*P730</f>
        <v>14000</v>
      </c>
      <c r="T730" s="13"/>
      <c r="U730" s="13">
        <f>L730*T730</f>
        <v>0</v>
      </c>
      <c r="V730" s="13">
        <f>S730-U730</f>
        <v>14000</v>
      </c>
      <c r="W730" s="15">
        <f>IF(S730&gt;0, V730/S730, 0)</f>
        <v>1</v>
      </c>
      <c r="X730" s="6" t="s">
        <v>39</v>
      </c>
      <c r="Y730" s="8" t="s">
        <v>40</v>
      </c>
      <c r="Z730" s="8" t="s">
        <v>41</v>
      </c>
      <c r="AA730" s="8" t="s">
        <v>42</v>
      </c>
      <c r="AB730" s="6" t="s">
        <v>42</v>
      </c>
    </row>
    <row r="731" spans="1:28">
      <c r="A731" s="9">
        <v>724</v>
      </c>
      <c r="B731" s="9" t="s">
        <v>1019</v>
      </c>
      <c r="C731" s="9" t="s">
        <v>953</v>
      </c>
      <c r="D731" s="9" t="s">
        <v>652</v>
      </c>
      <c r="E731" s="9" t="s">
        <v>33</v>
      </c>
      <c r="F731" s="7" t="s">
        <v>50</v>
      </c>
      <c r="G731" s="7" t="s">
        <v>69</v>
      </c>
      <c r="H731" s="7" t="s">
        <v>69</v>
      </c>
      <c r="I731" s="9">
        <v>170</v>
      </c>
      <c r="J731" s="9" t="s">
        <v>1002</v>
      </c>
      <c r="K731" s="9" t="s">
        <v>38</v>
      </c>
      <c r="L731" s="11">
        <v>1</v>
      </c>
      <c r="M731" s="14">
        <v>16000.0</v>
      </c>
      <c r="N731" s="14">
        <v>2400.0</v>
      </c>
      <c r="O731" s="16">
        <f>IF(M731&gt;0, N731/M731, 0)</f>
        <v>0.15</v>
      </c>
      <c r="P731" s="14">
        <f>M731-N731</f>
        <v>13600</v>
      </c>
      <c r="Q731" s="14">
        <f>L731*M731</f>
        <v>16000</v>
      </c>
      <c r="R731" s="14">
        <f>L731*N731</f>
        <v>2400</v>
      </c>
      <c r="S731" s="14">
        <f>L731*P731</f>
        <v>13600</v>
      </c>
      <c r="T731" s="14"/>
      <c r="U731" s="14">
        <f>L731*T731</f>
        <v>0</v>
      </c>
      <c r="V731" s="14">
        <f>S731-U731</f>
        <v>13600</v>
      </c>
      <c r="W731" s="16">
        <f>IF(S731&gt;0, V731/S731, 0)</f>
        <v>1</v>
      </c>
      <c r="X731" s="7" t="s">
        <v>39</v>
      </c>
      <c r="Y731" s="9" t="s">
        <v>40</v>
      </c>
      <c r="Z731" s="9" t="s">
        <v>41</v>
      </c>
      <c r="AA731" s="9" t="s">
        <v>42</v>
      </c>
      <c r="AB731" s="7" t="s">
        <v>1020</v>
      </c>
    </row>
    <row r="732" spans="1:28">
      <c r="A732" s="8">
        <v>725</v>
      </c>
      <c r="B732" s="8" t="s">
        <v>1021</v>
      </c>
      <c r="C732" s="8" t="s">
        <v>953</v>
      </c>
      <c r="D732" s="8" t="s">
        <v>652</v>
      </c>
      <c r="E732" s="8" t="s">
        <v>33</v>
      </c>
      <c r="F732" s="6" t="s">
        <v>50</v>
      </c>
      <c r="G732" s="6" t="s">
        <v>45</v>
      </c>
      <c r="H732" s="6" t="s">
        <v>46</v>
      </c>
      <c r="I732" s="8">
        <v>158</v>
      </c>
      <c r="J732" s="8" t="s">
        <v>441</v>
      </c>
      <c r="K732" s="8" t="s">
        <v>38</v>
      </c>
      <c r="L732" s="10">
        <v>1</v>
      </c>
      <c r="M732" s="13">
        <v>16000.0</v>
      </c>
      <c r="N732" s="13">
        <v>2400.0</v>
      </c>
      <c r="O732" s="15">
        <f>IF(M732&gt;0, N732/M732, 0)</f>
        <v>0.15</v>
      </c>
      <c r="P732" s="13">
        <f>M732-N732</f>
        <v>13600</v>
      </c>
      <c r="Q732" s="13">
        <f>L732*M732</f>
        <v>16000</v>
      </c>
      <c r="R732" s="13">
        <f>L732*N732</f>
        <v>2400</v>
      </c>
      <c r="S732" s="13">
        <f>L732*P732</f>
        <v>13600</v>
      </c>
      <c r="T732" s="13"/>
      <c r="U732" s="13">
        <f>L732*T732</f>
        <v>0</v>
      </c>
      <c r="V732" s="13">
        <f>S732-U732</f>
        <v>13600</v>
      </c>
      <c r="W732" s="15">
        <f>IF(S732&gt;0, V732/S732, 0)</f>
        <v>1</v>
      </c>
      <c r="X732" s="6" t="s">
        <v>39</v>
      </c>
      <c r="Y732" s="8" t="s">
        <v>40</v>
      </c>
      <c r="Z732" s="8" t="s">
        <v>41</v>
      </c>
      <c r="AA732" s="8" t="s">
        <v>42</v>
      </c>
      <c r="AB732" s="6" t="s">
        <v>1020</v>
      </c>
    </row>
    <row r="733" spans="1:28">
      <c r="A733" s="9">
        <v>726</v>
      </c>
      <c r="B733" s="9" t="s">
        <v>1022</v>
      </c>
      <c r="C733" s="9" t="s">
        <v>953</v>
      </c>
      <c r="D733" s="9" t="s">
        <v>652</v>
      </c>
      <c r="E733" s="9" t="s">
        <v>68</v>
      </c>
      <c r="F733" s="7" t="s">
        <v>50</v>
      </c>
      <c r="G733" s="7" t="s">
        <v>51</v>
      </c>
      <c r="H733" s="7" t="s">
        <v>51</v>
      </c>
      <c r="I733" s="9">
        <v>176</v>
      </c>
      <c r="J733" s="9" t="s">
        <v>1023</v>
      </c>
      <c r="K733" s="9" t="s">
        <v>53</v>
      </c>
      <c r="L733" s="11">
        <v>2</v>
      </c>
      <c r="M733" s="14">
        <v>9000.0</v>
      </c>
      <c r="N733" s="14">
        <v>1350.0</v>
      </c>
      <c r="O733" s="16">
        <f>IF(M733&gt;0, N733/M733, 0)</f>
        <v>0.15</v>
      </c>
      <c r="P733" s="14">
        <f>M733-N733</f>
        <v>7650</v>
      </c>
      <c r="Q733" s="14">
        <f>L733*M733</f>
        <v>18000</v>
      </c>
      <c r="R733" s="14">
        <f>L733*N733</f>
        <v>2700</v>
      </c>
      <c r="S733" s="14">
        <f>L733*P733</f>
        <v>15300</v>
      </c>
      <c r="T733" s="14"/>
      <c r="U733" s="14">
        <f>L733*T733</f>
        <v>0</v>
      </c>
      <c r="V733" s="14">
        <f>S733-U733</f>
        <v>15300</v>
      </c>
      <c r="W733" s="16">
        <f>IF(S733&gt;0, V733/S733, 0)</f>
        <v>1</v>
      </c>
      <c r="X733" s="7" t="s">
        <v>39</v>
      </c>
      <c r="Y733" s="9" t="s">
        <v>40</v>
      </c>
      <c r="Z733" s="9" t="s">
        <v>71</v>
      </c>
      <c r="AA733" s="9" t="s">
        <v>42</v>
      </c>
      <c r="AB733" s="7" t="s">
        <v>1020</v>
      </c>
    </row>
    <row r="734" spans="1:28">
      <c r="A734" s="8">
        <v>727</v>
      </c>
      <c r="B734" s="8" t="s">
        <v>1024</v>
      </c>
      <c r="C734" s="8" t="s">
        <v>953</v>
      </c>
      <c r="D734" s="8" t="s">
        <v>652</v>
      </c>
      <c r="E734" s="8" t="s">
        <v>33</v>
      </c>
      <c r="F734" s="6" t="s">
        <v>50</v>
      </c>
      <c r="G734" s="6" t="s">
        <v>51</v>
      </c>
      <c r="H734" s="6" t="s">
        <v>51</v>
      </c>
      <c r="I734" s="8">
        <v>170</v>
      </c>
      <c r="J734" s="8" t="s">
        <v>52</v>
      </c>
      <c r="K734" s="8" t="s">
        <v>53</v>
      </c>
      <c r="L734" s="10">
        <v>2</v>
      </c>
      <c r="M734" s="13">
        <v>8000.0</v>
      </c>
      <c r="N734" s="13">
        <v>1200.0</v>
      </c>
      <c r="O734" s="15">
        <f>IF(M734&gt;0, N734/M734, 0)</f>
        <v>0.15</v>
      </c>
      <c r="P734" s="13">
        <f>M734-N734</f>
        <v>6800</v>
      </c>
      <c r="Q734" s="13">
        <f>L734*M734</f>
        <v>16000</v>
      </c>
      <c r="R734" s="13">
        <f>L734*N734</f>
        <v>2400</v>
      </c>
      <c r="S734" s="13">
        <f>L734*P734</f>
        <v>13600</v>
      </c>
      <c r="T734" s="13"/>
      <c r="U734" s="13">
        <f>L734*T734</f>
        <v>0</v>
      </c>
      <c r="V734" s="13">
        <f>S734-U734</f>
        <v>13600</v>
      </c>
      <c r="W734" s="15">
        <f>IF(S734&gt;0, V734/S734, 0)</f>
        <v>1</v>
      </c>
      <c r="X734" s="6" t="s">
        <v>39</v>
      </c>
      <c r="Y734" s="8" t="s">
        <v>40</v>
      </c>
      <c r="Z734" s="8" t="s">
        <v>41</v>
      </c>
      <c r="AA734" s="8" t="s">
        <v>42</v>
      </c>
      <c r="AB734" s="6" t="s">
        <v>1020</v>
      </c>
    </row>
    <row r="735" spans="1:28">
      <c r="A735" s="9">
        <v>728</v>
      </c>
      <c r="B735" s="9" t="s">
        <v>1025</v>
      </c>
      <c r="C735" s="9" t="s">
        <v>953</v>
      </c>
      <c r="D735" s="9" t="s">
        <v>652</v>
      </c>
      <c r="E735" s="9" t="s">
        <v>33</v>
      </c>
      <c r="F735" s="7" t="s">
        <v>50</v>
      </c>
      <c r="G735" s="7" t="s">
        <v>35</v>
      </c>
      <c r="H735" s="7" t="s">
        <v>36</v>
      </c>
      <c r="I735" s="9">
        <v>176</v>
      </c>
      <c r="J735" s="9" t="s">
        <v>695</v>
      </c>
      <c r="K735" s="9" t="s">
        <v>53</v>
      </c>
      <c r="L735" s="11">
        <v>2</v>
      </c>
      <c r="M735" s="14">
        <v>7000.0</v>
      </c>
      <c r="N735" s="14">
        <v>1050.0</v>
      </c>
      <c r="O735" s="16">
        <f>IF(M735&gt;0, N735/M735, 0)</f>
        <v>0.15</v>
      </c>
      <c r="P735" s="14">
        <f>M735-N735</f>
        <v>5950</v>
      </c>
      <c r="Q735" s="14">
        <f>L735*M735</f>
        <v>14000</v>
      </c>
      <c r="R735" s="14">
        <f>L735*N735</f>
        <v>2100</v>
      </c>
      <c r="S735" s="14">
        <f>L735*P735</f>
        <v>11900</v>
      </c>
      <c r="T735" s="14"/>
      <c r="U735" s="14">
        <f>L735*T735</f>
        <v>0</v>
      </c>
      <c r="V735" s="14">
        <f>S735-U735</f>
        <v>11900</v>
      </c>
      <c r="W735" s="16">
        <f>IF(S735&gt;0, V735/S735, 0)</f>
        <v>1</v>
      </c>
      <c r="X735" s="7" t="s">
        <v>39</v>
      </c>
      <c r="Y735" s="9" t="s">
        <v>40</v>
      </c>
      <c r="Z735" s="9" t="s">
        <v>41</v>
      </c>
      <c r="AA735" s="9" t="s">
        <v>42</v>
      </c>
      <c r="AB735" s="7" t="s">
        <v>42</v>
      </c>
    </row>
    <row r="736" spans="1:28">
      <c r="A736" s="8">
        <v>729</v>
      </c>
      <c r="B736" s="8" t="s">
        <v>1026</v>
      </c>
      <c r="C736" s="8" t="s">
        <v>953</v>
      </c>
      <c r="D736" s="8" t="s">
        <v>652</v>
      </c>
      <c r="E736" s="8" t="s">
        <v>33</v>
      </c>
      <c r="F736" s="6" t="s">
        <v>50</v>
      </c>
      <c r="G736" s="6" t="s">
        <v>35</v>
      </c>
      <c r="H736" s="6" t="s">
        <v>36</v>
      </c>
      <c r="I736" s="8">
        <v>158</v>
      </c>
      <c r="J736" s="8" t="s">
        <v>130</v>
      </c>
      <c r="K736" s="8" t="s">
        <v>53</v>
      </c>
      <c r="L736" s="10">
        <v>2</v>
      </c>
      <c r="M736" s="13">
        <v>7000.0</v>
      </c>
      <c r="N736" s="13">
        <v>1050.0</v>
      </c>
      <c r="O736" s="15">
        <f>IF(M736&gt;0, N736/M736, 0)</f>
        <v>0.15</v>
      </c>
      <c r="P736" s="13">
        <f>M736-N736</f>
        <v>5950</v>
      </c>
      <c r="Q736" s="13">
        <f>L736*M736</f>
        <v>14000</v>
      </c>
      <c r="R736" s="13">
        <f>L736*N736</f>
        <v>2100</v>
      </c>
      <c r="S736" s="13">
        <f>L736*P736</f>
        <v>11900</v>
      </c>
      <c r="T736" s="13"/>
      <c r="U736" s="13">
        <f>L736*T736</f>
        <v>0</v>
      </c>
      <c r="V736" s="13">
        <f>S736-U736</f>
        <v>11900</v>
      </c>
      <c r="W736" s="15">
        <f>IF(S736&gt;0, V736/S736, 0)</f>
        <v>1</v>
      </c>
      <c r="X736" s="6" t="s">
        <v>39</v>
      </c>
      <c r="Y736" s="8" t="s">
        <v>40</v>
      </c>
      <c r="Z736" s="8" t="s">
        <v>41</v>
      </c>
      <c r="AA736" s="8" t="s">
        <v>42</v>
      </c>
      <c r="AB736" s="6" t="s">
        <v>42</v>
      </c>
    </row>
    <row r="737" spans="1:28">
      <c r="A737" s="9">
        <v>730</v>
      </c>
      <c r="B737" s="9" t="s">
        <v>1027</v>
      </c>
      <c r="C737" s="9" t="s">
        <v>953</v>
      </c>
      <c r="D737" s="9" t="s">
        <v>652</v>
      </c>
      <c r="E737" s="9" t="s">
        <v>68</v>
      </c>
      <c r="F737" s="7" t="s">
        <v>34</v>
      </c>
      <c r="G737" s="7" t="s">
        <v>35</v>
      </c>
      <c r="H737" s="7" t="s">
        <v>36</v>
      </c>
      <c r="I737" s="9">
        <v>194</v>
      </c>
      <c r="J737" s="9" t="s">
        <v>1028</v>
      </c>
      <c r="K737" s="9" t="s">
        <v>38</v>
      </c>
      <c r="L737" s="11">
        <v>1</v>
      </c>
      <c r="M737" s="14">
        <v>18000.0</v>
      </c>
      <c r="N737" s="14"/>
      <c r="O737" s="16">
        <f>IF(M737&gt;0, N737/M737, 0)</f>
        <v>0</v>
      </c>
      <c r="P737" s="14">
        <f>M737-N737</f>
        <v>18000</v>
      </c>
      <c r="Q737" s="14">
        <f>L737*M737</f>
        <v>18000</v>
      </c>
      <c r="R737" s="14">
        <f>L737*N737</f>
        <v>0</v>
      </c>
      <c r="S737" s="14">
        <f>L737*P737</f>
        <v>18000</v>
      </c>
      <c r="T737" s="14"/>
      <c r="U737" s="14">
        <f>L737*T737</f>
        <v>0</v>
      </c>
      <c r="V737" s="14">
        <f>S737-U737</f>
        <v>18000</v>
      </c>
      <c r="W737" s="16">
        <f>IF(S737&gt;0, V737/S737, 0)</f>
        <v>1</v>
      </c>
      <c r="X737" s="7" t="s">
        <v>39</v>
      </c>
      <c r="Y737" s="9" t="s">
        <v>40</v>
      </c>
      <c r="Z737" s="9" t="s">
        <v>71</v>
      </c>
      <c r="AA737" s="9" t="s">
        <v>42</v>
      </c>
      <c r="AB737" s="7" t="s">
        <v>42</v>
      </c>
    </row>
    <row r="738" spans="1:28">
      <c r="A738" s="8">
        <v>731</v>
      </c>
      <c r="B738" s="8" t="s">
        <v>1029</v>
      </c>
      <c r="C738" s="8" t="s">
        <v>953</v>
      </c>
      <c r="D738" s="8" t="s">
        <v>652</v>
      </c>
      <c r="E738" s="8" t="s">
        <v>33</v>
      </c>
      <c r="F738" s="6" t="s">
        <v>34</v>
      </c>
      <c r="G738" s="6" t="s">
        <v>35</v>
      </c>
      <c r="H738" s="6" t="s">
        <v>36</v>
      </c>
      <c r="I738" s="8">
        <v>182</v>
      </c>
      <c r="J738" s="8" t="s">
        <v>335</v>
      </c>
      <c r="K738" s="8" t="s">
        <v>38</v>
      </c>
      <c r="L738" s="10">
        <v>1</v>
      </c>
      <c r="M738" s="13">
        <v>8000.0</v>
      </c>
      <c r="N738" s="13"/>
      <c r="O738" s="15">
        <f>IF(M738&gt;0, N738/M738, 0)</f>
        <v>0</v>
      </c>
      <c r="P738" s="13">
        <f>M738-N738</f>
        <v>8000</v>
      </c>
      <c r="Q738" s="13">
        <f>L738*M738</f>
        <v>8000</v>
      </c>
      <c r="R738" s="13">
        <f>L738*N738</f>
        <v>0</v>
      </c>
      <c r="S738" s="13">
        <f>L738*P738</f>
        <v>8000</v>
      </c>
      <c r="T738" s="13"/>
      <c r="U738" s="13">
        <f>L738*T738</f>
        <v>0</v>
      </c>
      <c r="V738" s="13">
        <f>S738-U738</f>
        <v>8000</v>
      </c>
      <c r="W738" s="15">
        <f>IF(S738&gt;0, V738/S738, 0)</f>
        <v>1</v>
      </c>
      <c r="X738" s="6" t="s">
        <v>39</v>
      </c>
      <c r="Y738" s="8" t="s">
        <v>40</v>
      </c>
      <c r="Z738" s="8" t="s">
        <v>41</v>
      </c>
      <c r="AA738" s="8" t="s">
        <v>42</v>
      </c>
      <c r="AB738" s="6" t="s">
        <v>42</v>
      </c>
    </row>
    <row r="739" spans="1:28">
      <c r="A739" s="9">
        <v>732</v>
      </c>
      <c r="B739" s="9" t="s">
        <v>1030</v>
      </c>
      <c r="C739" s="9" t="s">
        <v>953</v>
      </c>
      <c r="D739" s="9" t="s">
        <v>652</v>
      </c>
      <c r="E739" s="9" t="s">
        <v>33</v>
      </c>
      <c r="F739" s="7" t="s">
        <v>34</v>
      </c>
      <c r="G739" s="7" t="s">
        <v>69</v>
      </c>
      <c r="H739" s="7" t="s">
        <v>69</v>
      </c>
      <c r="I739" s="9">
        <v>194</v>
      </c>
      <c r="J739" s="9" t="s">
        <v>1031</v>
      </c>
      <c r="K739" s="9" t="s">
        <v>38</v>
      </c>
      <c r="L739" s="11">
        <v>1</v>
      </c>
      <c r="M739" s="14">
        <v>16500.0</v>
      </c>
      <c r="N739" s="14"/>
      <c r="O739" s="16">
        <f>IF(M739&gt;0, N739/M739, 0)</f>
        <v>0</v>
      </c>
      <c r="P739" s="14">
        <f>M739-N739</f>
        <v>16500</v>
      </c>
      <c r="Q739" s="14">
        <f>L739*M739</f>
        <v>16500</v>
      </c>
      <c r="R739" s="14">
        <f>L739*N739</f>
        <v>0</v>
      </c>
      <c r="S739" s="14">
        <f>L739*P739</f>
        <v>16500</v>
      </c>
      <c r="T739" s="14"/>
      <c r="U739" s="14">
        <f>L739*T739</f>
        <v>0</v>
      </c>
      <c r="V739" s="14">
        <f>S739-U739</f>
        <v>16500</v>
      </c>
      <c r="W739" s="16">
        <f>IF(S739&gt;0, V739/S739, 0)</f>
        <v>1</v>
      </c>
      <c r="X739" s="7" t="s">
        <v>39</v>
      </c>
      <c r="Y739" s="9" t="s">
        <v>40</v>
      </c>
      <c r="Z739" s="9" t="s">
        <v>41</v>
      </c>
      <c r="AA739" s="9" t="s">
        <v>42</v>
      </c>
      <c r="AB739" s="7" t="s">
        <v>42</v>
      </c>
    </row>
    <row r="740" spans="1:28">
      <c r="A740" s="8">
        <v>733</v>
      </c>
      <c r="B740" s="8" t="s">
        <v>1032</v>
      </c>
      <c r="C740" s="8" t="s">
        <v>953</v>
      </c>
      <c r="D740" s="8" t="s">
        <v>652</v>
      </c>
      <c r="E740" s="8" t="s">
        <v>33</v>
      </c>
      <c r="F740" s="6" t="s">
        <v>34</v>
      </c>
      <c r="G740" s="6" t="s">
        <v>69</v>
      </c>
      <c r="H740" s="6" t="s">
        <v>69</v>
      </c>
      <c r="I740" s="8">
        <v>182</v>
      </c>
      <c r="J740" s="8" t="s">
        <v>422</v>
      </c>
      <c r="K740" s="8" t="s">
        <v>38</v>
      </c>
      <c r="L740" s="10">
        <v>1</v>
      </c>
      <c r="M740" s="13">
        <v>16500.0</v>
      </c>
      <c r="N740" s="13"/>
      <c r="O740" s="15">
        <f>IF(M740&gt;0, N740/M740, 0)</f>
        <v>0</v>
      </c>
      <c r="P740" s="13">
        <f>M740-N740</f>
        <v>16500</v>
      </c>
      <c r="Q740" s="13">
        <f>L740*M740</f>
        <v>16500</v>
      </c>
      <c r="R740" s="13">
        <f>L740*N740</f>
        <v>0</v>
      </c>
      <c r="S740" s="13">
        <f>L740*P740</f>
        <v>16500</v>
      </c>
      <c r="T740" s="13"/>
      <c r="U740" s="13">
        <f>L740*T740</f>
        <v>0</v>
      </c>
      <c r="V740" s="13">
        <f>S740-U740</f>
        <v>16500</v>
      </c>
      <c r="W740" s="15">
        <f>IF(S740&gt;0, V740/S740, 0)</f>
        <v>1</v>
      </c>
      <c r="X740" s="6" t="s">
        <v>39</v>
      </c>
      <c r="Y740" s="8" t="s">
        <v>40</v>
      </c>
      <c r="Z740" s="8" t="s">
        <v>41</v>
      </c>
      <c r="AA740" s="8" t="s">
        <v>42</v>
      </c>
      <c r="AB740" s="6" t="s">
        <v>42</v>
      </c>
    </row>
    <row r="741" spans="1:28">
      <c r="A741" s="9">
        <v>734</v>
      </c>
      <c r="B741" s="9" t="s">
        <v>1033</v>
      </c>
      <c r="C741" s="9" t="s">
        <v>953</v>
      </c>
      <c r="D741" s="9" t="s">
        <v>652</v>
      </c>
      <c r="E741" s="9" t="s">
        <v>33</v>
      </c>
      <c r="F741" s="7" t="s">
        <v>34</v>
      </c>
      <c r="G741" s="7" t="s">
        <v>35</v>
      </c>
      <c r="H741" s="7" t="s">
        <v>36</v>
      </c>
      <c r="I741" s="9">
        <v>164</v>
      </c>
      <c r="J741" s="9" t="s">
        <v>77</v>
      </c>
      <c r="K741" s="9" t="s">
        <v>38</v>
      </c>
      <c r="L741" s="11">
        <v>2</v>
      </c>
      <c r="M741" s="14">
        <v>8000.0</v>
      </c>
      <c r="N741" s="14"/>
      <c r="O741" s="16">
        <f>IF(M741&gt;0, N741/M741, 0)</f>
        <v>0</v>
      </c>
      <c r="P741" s="14">
        <f>M741-N741</f>
        <v>8000</v>
      </c>
      <c r="Q741" s="14">
        <f>L741*M741</f>
        <v>16000</v>
      </c>
      <c r="R741" s="14">
        <f>L741*N741</f>
        <v>0</v>
      </c>
      <c r="S741" s="14">
        <f>L741*P741</f>
        <v>16000</v>
      </c>
      <c r="T741" s="14"/>
      <c r="U741" s="14">
        <f>L741*T741</f>
        <v>0</v>
      </c>
      <c r="V741" s="14">
        <f>S741-U741</f>
        <v>16000</v>
      </c>
      <c r="W741" s="16">
        <f>IF(S741&gt;0, V741/S741, 0)</f>
        <v>1</v>
      </c>
      <c r="X741" s="7" t="s">
        <v>39</v>
      </c>
      <c r="Y741" s="9" t="s">
        <v>40</v>
      </c>
      <c r="Z741" s="9" t="s">
        <v>41</v>
      </c>
      <c r="AA741" s="9" t="s">
        <v>42</v>
      </c>
      <c r="AB741" s="7" t="s">
        <v>42</v>
      </c>
    </row>
    <row r="742" spans="1:28">
      <c r="A742" s="8">
        <v>735</v>
      </c>
      <c r="B742" s="8" t="s">
        <v>1034</v>
      </c>
      <c r="C742" s="8" t="s">
        <v>953</v>
      </c>
      <c r="D742" s="8" t="s">
        <v>652</v>
      </c>
      <c r="E742" s="8" t="s">
        <v>33</v>
      </c>
      <c r="F742" s="6" t="s">
        <v>50</v>
      </c>
      <c r="G742" s="6" t="s">
        <v>69</v>
      </c>
      <c r="H742" s="6" t="s">
        <v>69</v>
      </c>
      <c r="I742" s="8">
        <v>146</v>
      </c>
      <c r="J742" s="8" t="s">
        <v>382</v>
      </c>
      <c r="K742" s="8" t="s">
        <v>38</v>
      </c>
      <c r="L742" s="10">
        <v>1</v>
      </c>
      <c r="M742" s="13">
        <v>16000.0</v>
      </c>
      <c r="N742" s="13"/>
      <c r="O742" s="15">
        <f>IF(M742&gt;0, N742/M742, 0)</f>
        <v>0</v>
      </c>
      <c r="P742" s="13">
        <f>M742-N742</f>
        <v>16000</v>
      </c>
      <c r="Q742" s="13">
        <f>L742*M742</f>
        <v>16000</v>
      </c>
      <c r="R742" s="13">
        <f>L742*N742</f>
        <v>0</v>
      </c>
      <c r="S742" s="13">
        <f>L742*P742</f>
        <v>16000</v>
      </c>
      <c r="T742" s="13"/>
      <c r="U742" s="13">
        <f>L742*T742</f>
        <v>0</v>
      </c>
      <c r="V742" s="13">
        <f>S742-U742</f>
        <v>16000</v>
      </c>
      <c r="W742" s="15">
        <f>IF(S742&gt;0, V742/S742, 0)</f>
        <v>1</v>
      </c>
      <c r="X742" s="6" t="s">
        <v>39</v>
      </c>
      <c r="Y742" s="8" t="s">
        <v>40</v>
      </c>
      <c r="Z742" s="8" t="s">
        <v>41</v>
      </c>
      <c r="AA742" s="8" t="s">
        <v>42</v>
      </c>
      <c r="AB742" s="6" t="s">
        <v>42</v>
      </c>
    </row>
    <row r="743" spans="1:28">
      <c r="A743" s="9">
        <v>736</v>
      </c>
      <c r="B743" s="9" t="s">
        <v>1035</v>
      </c>
      <c r="C743" s="9" t="s">
        <v>953</v>
      </c>
      <c r="D743" s="9" t="s">
        <v>652</v>
      </c>
      <c r="E743" s="9" t="s">
        <v>33</v>
      </c>
      <c r="F743" s="7" t="s">
        <v>50</v>
      </c>
      <c r="G743" s="7" t="s">
        <v>69</v>
      </c>
      <c r="H743" s="7" t="s">
        <v>69</v>
      </c>
      <c r="I743" s="9">
        <v>140</v>
      </c>
      <c r="J743" s="9" t="s">
        <v>225</v>
      </c>
      <c r="K743" s="9" t="s">
        <v>38</v>
      </c>
      <c r="L743" s="11">
        <v>1</v>
      </c>
      <c r="M743" s="14">
        <v>16000.0</v>
      </c>
      <c r="N743" s="14"/>
      <c r="O743" s="16">
        <f>IF(M743&gt;0, N743/M743, 0)</f>
        <v>0</v>
      </c>
      <c r="P743" s="14">
        <f>M743-N743</f>
        <v>16000</v>
      </c>
      <c r="Q743" s="14">
        <f>L743*M743</f>
        <v>16000</v>
      </c>
      <c r="R743" s="14">
        <f>L743*N743</f>
        <v>0</v>
      </c>
      <c r="S743" s="14">
        <f>L743*P743</f>
        <v>16000</v>
      </c>
      <c r="T743" s="14"/>
      <c r="U743" s="14">
        <f>L743*T743</f>
        <v>0</v>
      </c>
      <c r="V743" s="14">
        <f>S743-U743</f>
        <v>16000</v>
      </c>
      <c r="W743" s="16">
        <f>IF(S743&gt;0, V743/S743, 0)</f>
        <v>1</v>
      </c>
      <c r="X743" s="7" t="s">
        <v>39</v>
      </c>
      <c r="Y743" s="9" t="s">
        <v>40</v>
      </c>
      <c r="Z743" s="9" t="s">
        <v>41</v>
      </c>
      <c r="AA743" s="9" t="s">
        <v>42</v>
      </c>
      <c r="AB743" s="7" t="s">
        <v>42</v>
      </c>
    </row>
    <row r="744" spans="1:28">
      <c r="A744" s="8">
        <v>737</v>
      </c>
      <c r="B744" s="8" t="s">
        <v>1036</v>
      </c>
      <c r="C744" s="8" t="s">
        <v>953</v>
      </c>
      <c r="D744" s="8" t="s">
        <v>652</v>
      </c>
      <c r="E744" s="8" t="s">
        <v>68</v>
      </c>
      <c r="F744" s="6" t="s">
        <v>50</v>
      </c>
      <c r="G744" s="6" t="s">
        <v>56</v>
      </c>
      <c r="H744" s="6" t="s">
        <v>56</v>
      </c>
      <c r="I744" s="8">
        <v>134</v>
      </c>
      <c r="J744" s="8" t="s">
        <v>281</v>
      </c>
      <c r="K744" s="8" t="s">
        <v>38</v>
      </c>
      <c r="L744" s="10">
        <v>1</v>
      </c>
      <c r="M744" s="13">
        <v>8000.0</v>
      </c>
      <c r="N744" s="13"/>
      <c r="O744" s="15">
        <f>IF(M744&gt;0, N744/M744, 0)</f>
        <v>0</v>
      </c>
      <c r="P744" s="13">
        <f>M744-N744</f>
        <v>8000</v>
      </c>
      <c r="Q744" s="13">
        <f>L744*M744</f>
        <v>8000</v>
      </c>
      <c r="R744" s="13">
        <f>L744*N744</f>
        <v>0</v>
      </c>
      <c r="S744" s="13">
        <f>L744*P744</f>
        <v>8000</v>
      </c>
      <c r="T744" s="13"/>
      <c r="U744" s="13">
        <f>L744*T744</f>
        <v>0</v>
      </c>
      <c r="V744" s="13">
        <f>S744-U744</f>
        <v>8000</v>
      </c>
      <c r="W744" s="15">
        <f>IF(S744&gt;0, V744/S744, 0)</f>
        <v>1</v>
      </c>
      <c r="X744" s="6" t="s">
        <v>39</v>
      </c>
      <c r="Y744" s="8" t="s">
        <v>40</v>
      </c>
      <c r="Z744" s="8" t="s">
        <v>71</v>
      </c>
      <c r="AA744" s="8" t="s">
        <v>42</v>
      </c>
      <c r="AB744" s="6" t="s">
        <v>42</v>
      </c>
    </row>
    <row r="745" spans="1:28">
      <c r="A745" s="9">
        <v>738</v>
      </c>
      <c r="B745" s="9" t="s">
        <v>1037</v>
      </c>
      <c r="C745" s="9" t="s">
        <v>953</v>
      </c>
      <c r="D745" s="9" t="s">
        <v>652</v>
      </c>
      <c r="E745" s="9" t="s">
        <v>33</v>
      </c>
      <c r="F745" s="7" t="s">
        <v>50</v>
      </c>
      <c r="G745" s="7" t="s">
        <v>35</v>
      </c>
      <c r="H745" s="7" t="s">
        <v>36</v>
      </c>
      <c r="I745" s="9">
        <v>134</v>
      </c>
      <c r="J745" s="9" t="s">
        <v>177</v>
      </c>
      <c r="K745" s="9" t="s">
        <v>53</v>
      </c>
      <c r="L745" s="11">
        <v>1</v>
      </c>
      <c r="M745" s="14">
        <v>7000.0</v>
      </c>
      <c r="N745" s="14"/>
      <c r="O745" s="16">
        <f>IF(M745&gt;0, N745/M745, 0)</f>
        <v>0</v>
      </c>
      <c r="P745" s="14">
        <f>M745-N745</f>
        <v>7000</v>
      </c>
      <c r="Q745" s="14">
        <f>L745*M745</f>
        <v>7000</v>
      </c>
      <c r="R745" s="14">
        <f>L745*N745</f>
        <v>0</v>
      </c>
      <c r="S745" s="14">
        <f>L745*P745</f>
        <v>7000</v>
      </c>
      <c r="T745" s="14"/>
      <c r="U745" s="14">
        <f>L745*T745</f>
        <v>0</v>
      </c>
      <c r="V745" s="14">
        <f>S745-U745</f>
        <v>7000</v>
      </c>
      <c r="W745" s="16">
        <f>IF(S745&gt;0, V745/S745, 0)</f>
        <v>1</v>
      </c>
      <c r="X745" s="7" t="s">
        <v>39</v>
      </c>
      <c r="Y745" s="9" t="s">
        <v>40</v>
      </c>
      <c r="Z745" s="9" t="s">
        <v>41</v>
      </c>
      <c r="AA745" s="9" t="s">
        <v>42</v>
      </c>
      <c r="AB745" s="7" t="s">
        <v>42</v>
      </c>
    </row>
    <row r="746" spans="1:28">
      <c r="A746" s="8">
        <v>739</v>
      </c>
      <c r="B746" s="8" t="s">
        <v>1038</v>
      </c>
      <c r="C746" s="8" t="s">
        <v>953</v>
      </c>
      <c r="D746" s="8" t="s">
        <v>652</v>
      </c>
      <c r="E746" s="8" t="s">
        <v>68</v>
      </c>
      <c r="F746" s="6" t="s">
        <v>34</v>
      </c>
      <c r="G746" s="6" t="s">
        <v>69</v>
      </c>
      <c r="H746" s="6" t="s">
        <v>69</v>
      </c>
      <c r="I746" s="8">
        <v>176</v>
      </c>
      <c r="J746" s="8" t="s">
        <v>203</v>
      </c>
      <c r="K746" s="8" t="s">
        <v>38</v>
      </c>
      <c r="L746" s="10">
        <v>1</v>
      </c>
      <c r="M746" s="13">
        <v>18000.0</v>
      </c>
      <c r="N746" s="13"/>
      <c r="O746" s="15">
        <f>IF(M746&gt;0, N746/M746, 0)</f>
        <v>0</v>
      </c>
      <c r="P746" s="13">
        <f>M746-N746</f>
        <v>18000</v>
      </c>
      <c r="Q746" s="13">
        <f>L746*M746</f>
        <v>18000</v>
      </c>
      <c r="R746" s="13">
        <f>L746*N746</f>
        <v>0</v>
      </c>
      <c r="S746" s="13">
        <f>L746*P746</f>
        <v>18000</v>
      </c>
      <c r="T746" s="13"/>
      <c r="U746" s="13">
        <f>L746*T746</f>
        <v>0</v>
      </c>
      <c r="V746" s="13">
        <f>S746-U746</f>
        <v>18000</v>
      </c>
      <c r="W746" s="15">
        <f>IF(S746&gt;0, V746/S746, 0)</f>
        <v>1</v>
      </c>
      <c r="X746" s="6" t="s">
        <v>39</v>
      </c>
      <c r="Y746" s="8" t="s">
        <v>40</v>
      </c>
      <c r="Z746" s="8" t="s">
        <v>71</v>
      </c>
      <c r="AA746" s="8" t="s">
        <v>42</v>
      </c>
      <c r="AB746" s="6" t="s">
        <v>42</v>
      </c>
    </row>
    <row r="747" spans="1:28">
      <c r="A747" s="9">
        <v>740</v>
      </c>
      <c r="B747" s="9" t="s">
        <v>1039</v>
      </c>
      <c r="C747" s="9" t="s">
        <v>953</v>
      </c>
      <c r="D747" s="9" t="s">
        <v>652</v>
      </c>
      <c r="E747" s="9" t="s">
        <v>33</v>
      </c>
      <c r="F747" s="7" t="s">
        <v>34</v>
      </c>
      <c r="G747" s="7" t="s">
        <v>63</v>
      </c>
      <c r="H747" s="7" t="s">
        <v>148</v>
      </c>
      <c r="I747" s="9">
        <v>176</v>
      </c>
      <c r="J747" s="9" t="s">
        <v>233</v>
      </c>
      <c r="K747" s="9" t="s">
        <v>38</v>
      </c>
      <c r="L747" s="11">
        <v>1</v>
      </c>
      <c r="M747" s="14">
        <v>9500.0</v>
      </c>
      <c r="N747" s="14"/>
      <c r="O747" s="16">
        <f>IF(M747&gt;0, N747/M747, 0)</f>
        <v>0</v>
      </c>
      <c r="P747" s="14">
        <f>M747-N747</f>
        <v>9500</v>
      </c>
      <c r="Q747" s="14">
        <f>L747*M747</f>
        <v>9500</v>
      </c>
      <c r="R747" s="14">
        <f>L747*N747</f>
        <v>0</v>
      </c>
      <c r="S747" s="14">
        <f>L747*P747</f>
        <v>9500</v>
      </c>
      <c r="T747" s="14"/>
      <c r="U747" s="14">
        <f>L747*T747</f>
        <v>0</v>
      </c>
      <c r="V747" s="14">
        <f>S747-U747</f>
        <v>9500</v>
      </c>
      <c r="W747" s="16">
        <f>IF(S747&gt;0, V747/S747, 0)</f>
        <v>1</v>
      </c>
      <c r="X747" s="7" t="s">
        <v>39</v>
      </c>
      <c r="Y747" s="9" t="s">
        <v>40</v>
      </c>
      <c r="Z747" s="9" t="s">
        <v>41</v>
      </c>
      <c r="AA747" s="9" t="s">
        <v>42</v>
      </c>
      <c r="AB747" s="7" t="s">
        <v>42</v>
      </c>
    </row>
    <row r="748" spans="1:28">
      <c r="A748" s="8">
        <v>741</v>
      </c>
      <c r="B748" s="8" t="s">
        <v>1040</v>
      </c>
      <c r="C748" s="8" t="s">
        <v>953</v>
      </c>
      <c r="D748" s="8" t="s">
        <v>652</v>
      </c>
      <c r="E748" s="8" t="s">
        <v>33</v>
      </c>
      <c r="F748" s="6" t="s">
        <v>34</v>
      </c>
      <c r="G748" s="6" t="s">
        <v>51</v>
      </c>
      <c r="H748" s="6" t="s">
        <v>51</v>
      </c>
      <c r="I748" s="8">
        <v>176</v>
      </c>
      <c r="J748" s="8" t="s">
        <v>418</v>
      </c>
      <c r="K748" s="8" t="s">
        <v>38</v>
      </c>
      <c r="L748" s="10">
        <v>1</v>
      </c>
      <c r="M748" s="13">
        <v>8500.0</v>
      </c>
      <c r="N748" s="13"/>
      <c r="O748" s="15">
        <f>IF(M748&gt;0, N748/M748, 0)</f>
        <v>0</v>
      </c>
      <c r="P748" s="13">
        <f>M748-N748</f>
        <v>8500</v>
      </c>
      <c r="Q748" s="13">
        <f>L748*M748</f>
        <v>8500</v>
      </c>
      <c r="R748" s="13">
        <f>L748*N748</f>
        <v>0</v>
      </c>
      <c r="S748" s="13">
        <f>L748*P748</f>
        <v>8500</v>
      </c>
      <c r="T748" s="13"/>
      <c r="U748" s="13">
        <f>L748*T748</f>
        <v>0</v>
      </c>
      <c r="V748" s="13">
        <f>S748-U748</f>
        <v>8500</v>
      </c>
      <c r="W748" s="15">
        <f>IF(S748&gt;0, V748/S748, 0)</f>
        <v>1</v>
      </c>
      <c r="X748" s="6" t="s">
        <v>39</v>
      </c>
      <c r="Y748" s="8" t="s">
        <v>40</v>
      </c>
      <c r="Z748" s="8" t="s">
        <v>41</v>
      </c>
      <c r="AA748" s="8" t="s">
        <v>42</v>
      </c>
      <c r="AB748" s="6" t="s">
        <v>42</v>
      </c>
    </row>
    <row r="749" spans="1:28">
      <c r="A749" s="9">
        <v>742</v>
      </c>
      <c r="B749" s="9" t="s">
        <v>1041</v>
      </c>
      <c r="C749" s="9" t="s">
        <v>953</v>
      </c>
      <c r="D749" s="9" t="s">
        <v>652</v>
      </c>
      <c r="E749" s="9" t="s">
        <v>33</v>
      </c>
      <c r="F749" s="7" t="s">
        <v>34</v>
      </c>
      <c r="G749" s="7" t="s">
        <v>45</v>
      </c>
      <c r="H749" s="7" t="s">
        <v>46</v>
      </c>
      <c r="I749" s="9">
        <v>176</v>
      </c>
      <c r="J749" s="9" t="s">
        <v>424</v>
      </c>
      <c r="K749" s="9" t="s">
        <v>38</v>
      </c>
      <c r="L749" s="11">
        <v>1</v>
      </c>
      <c r="M749" s="14">
        <v>18000.0</v>
      </c>
      <c r="N749" s="14"/>
      <c r="O749" s="16">
        <f>IF(M749&gt;0, N749/M749, 0)</f>
        <v>0</v>
      </c>
      <c r="P749" s="14">
        <f>M749-N749</f>
        <v>18000</v>
      </c>
      <c r="Q749" s="14">
        <f>L749*M749</f>
        <v>18000</v>
      </c>
      <c r="R749" s="14">
        <f>L749*N749</f>
        <v>0</v>
      </c>
      <c r="S749" s="14">
        <f>L749*P749</f>
        <v>18000</v>
      </c>
      <c r="T749" s="14"/>
      <c r="U749" s="14">
        <f>L749*T749</f>
        <v>0</v>
      </c>
      <c r="V749" s="14">
        <f>S749-U749</f>
        <v>18000</v>
      </c>
      <c r="W749" s="16">
        <f>IF(S749&gt;0, V749/S749, 0)</f>
        <v>1</v>
      </c>
      <c r="X749" s="7" t="s">
        <v>39</v>
      </c>
      <c r="Y749" s="9" t="s">
        <v>40</v>
      </c>
      <c r="Z749" s="9" t="s">
        <v>41</v>
      </c>
      <c r="AA749" s="9" t="s">
        <v>42</v>
      </c>
      <c r="AB749" s="7" t="s">
        <v>42</v>
      </c>
    </row>
    <row r="750" spans="1:28">
      <c r="A750" s="8">
        <v>743</v>
      </c>
      <c r="B750" s="8" t="s">
        <v>1042</v>
      </c>
      <c r="C750" s="8" t="s">
        <v>953</v>
      </c>
      <c r="D750" s="8" t="s">
        <v>652</v>
      </c>
      <c r="E750" s="8" t="s">
        <v>33</v>
      </c>
      <c r="F750" s="6" t="s">
        <v>34</v>
      </c>
      <c r="G750" s="6" t="s">
        <v>35</v>
      </c>
      <c r="H750" s="6" t="s">
        <v>73</v>
      </c>
      <c r="I750" s="8">
        <v>176</v>
      </c>
      <c r="J750" s="8" t="s">
        <v>420</v>
      </c>
      <c r="K750" s="8" t="s">
        <v>38</v>
      </c>
      <c r="L750" s="10">
        <v>1</v>
      </c>
      <c r="M750" s="13">
        <v>9000.0</v>
      </c>
      <c r="N750" s="13"/>
      <c r="O750" s="15">
        <f>IF(M750&gt;0, N750/M750, 0)</f>
        <v>0</v>
      </c>
      <c r="P750" s="13">
        <f>M750-N750</f>
        <v>9000</v>
      </c>
      <c r="Q750" s="13">
        <f>L750*M750</f>
        <v>9000</v>
      </c>
      <c r="R750" s="13">
        <f>L750*N750</f>
        <v>0</v>
      </c>
      <c r="S750" s="13">
        <f>L750*P750</f>
        <v>9000</v>
      </c>
      <c r="T750" s="13"/>
      <c r="U750" s="13">
        <f>L750*T750</f>
        <v>0</v>
      </c>
      <c r="V750" s="13">
        <f>S750-U750</f>
        <v>9000</v>
      </c>
      <c r="W750" s="15">
        <f>IF(S750&gt;0, V750/S750, 0)</f>
        <v>1</v>
      </c>
      <c r="X750" s="6" t="s">
        <v>39</v>
      </c>
      <c r="Y750" s="8" t="s">
        <v>40</v>
      </c>
      <c r="Z750" s="8" t="s">
        <v>41</v>
      </c>
      <c r="AA750" s="8" t="s">
        <v>42</v>
      </c>
      <c r="AB750" s="6" t="s">
        <v>42</v>
      </c>
    </row>
    <row r="751" spans="1:28">
      <c r="A751" s="9">
        <v>744</v>
      </c>
      <c r="B751" s="9" t="s">
        <v>1043</v>
      </c>
      <c r="C751" s="9" t="s">
        <v>953</v>
      </c>
      <c r="D751" s="9" t="s">
        <v>652</v>
      </c>
      <c r="E751" s="9" t="s">
        <v>68</v>
      </c>
      <c r="F751" s="7" t="s">
        <v>50</v>
      </c>
      <c r="G751" s="7" t="s">
        <v>63</v>
      </c>
      <c r="H751" s="7" t="s">
        <v>148</v>
      </c>
      <c r="I751" s="9">
        <v>134</v>
      </c>
      <c r="J751" s="9" t="s">
        <v>246</v>
      </c>
      <c r="K751" s="9" t="s">
        <v>38</v>
      </c>
      <c r="L751" s="11">
        <v>2</v>
      </c>
      <c r="M751" s="14">
        <v>10000.0</v>
      </c>
      <c r="N751" s="14"/>
      <c r="O751" s="16">
        <f>IF(M751&gt;0, N751/M751, 0)</f>
        <v>0</v>
      </c>
      <c r="P751" s="14">
        <f>M751-N751</f>
        <v>10000</v>
      </c>
      <c r="Q751" s="14">
        <f>L751*M751</f>
        <v>20000</v>
      </c>
      <c r="R751" s="14">
        <f>L751*N751</f>
        <v>0</v>
      </c>
      <c r="S751" s="14">
        <f>L751*P751</f>
        <v>20000</v>
      </c>
      <c r="T751" s="14"/>
      <c r="U751" s="14">
        <f>L751*T751</f>
        <v>0</v>
      </c>
      <c r="V751" s="14">
        <f>S751-U751</f>
        <v>20000</v>
      </c>
      <c r="W751" s="16">
        <f>IF(S751&gt;0, V751/S751, 0)</f>
        <v>1</v>
      </c>
      <c r="X751" s="7" t="s">
        <v>39</v>
      </c>
      <c r="Y751" s="9" t="s">
        <v>40</v>
      </c>
      <c r="Z751" s="9" t="s">
        <v>71</v>
      </c>
      <c r="AA751" s="9" t="s">
        <v>42</v>
      </c>
      <c r="AB751" s="7" t="s">
        <v>42</v>
      </c>
    </row>
    <row r="752" spans="1:28">
      <c r="A752" s="8">
        <v>745</v>
      </c>
      <c r="B752" s="8" t="s">
        <v>1044</v>
      </c>
      <c r="C752" s="8" t="s">
        <v>953</v>
      </c>
      <c r="D752" s="8" t="s">
        <v>652</v>
      </c>
      <c r="E752" s="8" t="s">
        <v>68</v>
      </c>
      <c r="F752" s="6" t="s">
        <v>50</v>
      </c>
      <c r="G752" s="6" t="s">
        <v>63</v>
      </c>
      <c r="H752" s="6" t="s">
        <v>148</v>
      </c>
      <c r="I752" s="8">
        <v>152</v>
      </c>
      <c r="J752" s="8" t="s">
        <v>251</v>
      </c>
      <c r="K752" s="8" t="s">
        <v>38</v>
      </c>
      <c r="L752" s="10">
        <v>2</v>
      </c>
      <c r="M752" s="13">
        <v>10000.0</v>
      </c>
      <c r="N752" s="13"/>
      <c r="O752" s="15">
        <f>IF(M752&gt;0, N752/M752, 0)</f>
        <v>0</v>
      </c>
      <c r="P752" s="13">
        <f>M752-N752</f>
        <v>10000</v>
      </c>
      <c r="Q752" s="13">
        <f>L752*M752</f>
        <v>20000</v>
      </c>
      <c r="R752" s="13">
        <f>L752*N752</f>
        <v>0</v>
      </c>
      <c r="S752" s="13">
        <f>L752*P752</f>
        <v>20000</v>
      </c>
      <c r="T752" s="13"/>
      <c r="U752" s="13">
        <f>L752*T752</f>
        <v>0</v>
      </c>
      <c r="V752" s="13">
        <f>S752-U752</f>
        <v>20000</v>
      </c>
      <c r="W752" s="15">
        <f>IF(S752&gt;0, V752/S752, 0)</f>
        <v>1</v>
      </c>
      <c r="X752" s="6" t="s">
        <v>39</v>
      </c>
      <c r="Y752" s="8" t="s">
        <v>40</v>
      </c>
      <c r="Z752" s="8" t="s">
        <v>71</v>
      </c>
      <c r="AA752" s="8" t="s">
        <v>42</v>
      </c>
      <c r="AB752" s="6" t="s">
        <v>42</v>
      </c>
    </row>
    <row r="753" spans="1:28">
      <c r="A753" s="9">
        <v>746</v>
      </c>
      <c r="B753" s="9" t="s">
        <v>1045</v>
      </c>
      <c r="C753" s="9" t="s">
        <v>953</v>
      </c>
      <c r="D753" s="9" t="s">
        <v>652</v>
      </c>
      <c r="E753" s="9" t="s">
        <v>33</v>
      </c>
      <c r="F753" s="7" t="s">
        <v>50</v>
      </c>
      <c r="G753" s="7" t="s">
        <v>45</v>
      </c>
      <c r="H753" s="7" t="s">
        <v>46</v>
      </c>
      <c r="I753" s="9">
        <v>140</v>
      </c>
      <c r="J753" s="9" t="s">
        <v>414</v>
      </c>
      <c r="K753" s="9" t="s">
        <v>38</v>
      </c>
      <c r="L753" s="11">
        <v>1</v>
      </c>
      <c r="M753" s="14">
        <v>18000.0</v>
      </c>
      <c r="N753" s="14"/>
      <c r="O753" s="16">
        <f>IF(M753&gt;0, N753/M753, 0)</f>
        <v>0</v>
      </c>
      <c r="P753" s="14">
        <f>M753-N753</f>
        <v>18000</v>
      </c>
      <c r="Q753" s="14">
        <f>L753*M753</f>
        <v>18000</v>
      </c>
      <c r="R753" s="14">
        <f>L753*N753</f>
        <v>0</v>
      </c>
      <c r="S753" s="14">
        <f>L753*P753</f>
        <v>18000</v>
      </c>
      <c r="T753" s="14"/>
      <c r="U753" s="14">
        <f>L753*T753</f>
        <v>0</v>
      </c>
      <c r="V753" s="14">
        <f>S753-U753</f>
        <v>18000</v>
      </c>
      <c r="W753" s="16">
        <f>IF(S753&gt;0, V753/S753, 0)</f>
        <v>1</v>
      </c>
      <c r="X753" s="7" t="s">
        <v>39</v>
      </c>
      <c r="Y753" s="9" t="s">
        <v>40</v>
      </c>
      <c r="Z753" s="9" t="s">
        <v>41</v>
      </c>
      <c r="AA753" s="9" t="s">
        <v>42</v>
      </c>
      <c r="AB753" s="7" t="s">
        <v>42</v>
      </c>
    </row>
    <row r="754" spans="1:28">
      <c r="A754" s="8">
        <v>747</v>
      </c>
      <c r="B754" s="8" t="s">
        <v>1046</v>
      </c>
      <c r="C754" s="8" t="s">
        <v>953</v>
      </c>
      <c r="D754" s="8" t="s">
        <v>652</v>
      </c>
      <c r="E754" s="8" t="s">
        <v>33</v>
      </c>
      <c r="F754" s="6" t="s">
        <v>50</v>
      </c>
      <c r="G754" s="6" t="s">
        <v>69</v>
      </c>
      <c r="H754" s="6" t="s">
        <v>69</v>
      </c>
      <c r="I754" s="8">
        <v>134</v>
      </c>
      <c r="J754" s="8" t="s">
        <v>209</v>
      </c>
      <c r="K754" s="8" t="s">
        <v>38</v>
      </c>
      <c r="L754" s="10">
        <v>1</v>
      </c>
      <c r="M754" s="13">
        <v>16000.0</v>
      </c>
      <c r="N754" s="13"/>
      <c r="O754" s="15">
        <f>IF(M754&gt;0, N754/M754, 0)</f>
        <v>0</v>
      </c>
      <c r="P754" s="13">
        <f>M754-N754</f>
        <v>16000</v>
      </c>
      <c r="Q754" s="13">
        <f>L754*M754</f>
        <v>16000</v>
      </c>
      <c r="R754" s="13">
        <f>L754*N754</f>
        <v>0</v>
      </c>
      <c r="S754" s="13">
        <f>L754*P754</f>
        <v>16000</v>
      </c>
      <c r="T754" s="13"/>
      <c r="U754" s="13">
        <f>L754*T754</f>
        <v>0</v>
      </c>
      <c r="V754" s="13">
        <f>S754-U754</f>
        <v>16000</v>
      </c>
      <c r="W754" s="15">
        <f>IF(S754&gt;0, V754/S754, 0)</f>
        <v>1</v>
      </c>
      <c r="X754" s="6" t="s">
        <v>39</v>
      </c>
      <c r="Y754" s="8" t="s">
        <v>40</v>
      </c>
      <c r="Z754" s="8" t="s">
        <v>41</v>
      </c>
      <c r="AA754" s="8" t="s">
        <v>42</v>
      </c>
      <c r="AB754" s="6" t="s">
        <v>42</v>
      </c>
    </row>
    <row r="755" spans="1:28">
      <c r="A755" s="9">
        <v>748</v>
      </c>
      <c r="B755" s="9" t="s">
        <v>1047</v>
      </c>
      <c r="C755" s="9" t="s">
        <v>953</v>
      </c>
      <c r="D755" s="9" t="s">
        <v>652</v>
      </c>
      <c r="E755" s="9" t="s">
        <v>33</v>
      </c>
      <c r="F755" s="7" t="s">
        <v>50</v>
      </c>
      <c r="G755" s="7" t="s">
        <v>35</v>
      </c>
      <c r="H755" s="7" t="s">
        <v>73</v>
      </c>
      <c r="I755" s="9">
        <v>140</v>
      </c>
      <c r="J755" s="9" t="s">
        <v>570</v>
      </c>
      <c r="K755" s="9" t="s">
        <v>53</v>
      </c>
      <c r="L755" s="11">
        <v>3</v>
      </c>
      <c r="M755" s="14">
        <v>9000.0</v>
      </c>
      <c r="N755" s="14"/>
      <c r="O755" s="16">
        <f>IF(M755&gt;0, N755/M755, 0)</f>
        <v>0</v>
      </c>
      <c r="P755" s="14">
        <f>M755-N755</f>
        <v>9000</v>
      </c>
      <c r="Q755" s="14">
        <f>L755*M755</f>
        <v>27000</v>
      </c>
      <c r="R755" s="14">
        <f>L755*N755</f>
        <v>0</v>
      </c>
      <c r="S755" s="14">
        <f>L755*P755</f>
        <v>27000</v>
      </c>
      <c r="T755" s="14"/>
      <c r="U755" s="14">
        <f>L755*T755</f>
        <v>0</v>
      </c>
      <c r="V755" s="14">
        <f>S755-U755</f>
        <v>27000</v>
      </c>
      <c r="W755" s="16">
        <f>IF(S755&gt;0, V755/S755, 0)</f>
        <v>1</v>
      </c>
      <c r="X755" s="7" t="s">
        <v>39</v>
      </c>
      <c r="Y755" s="9" t="s">
        <v>40</v>
      </c>
      <c r="Z755" s="9" t="s">
        <v>41</v>
      </c>
      <c r="AA755" s="9" t="s">
        <v>42</v>
      </c>
      <c r="AB755" s="7" t="s">
        <v>42</v>
      </c>
    </row>
    <row r="756" spans="1:28">
      <c r="A756" s="8">
        <v>749</v>
      </c>
      <c r="B756" s="8" t="s">
        <v>1048</v>
      </c>
      <c r="C756" s="8" t="s">
        <v>953</v>
      </c>
      <c r="D756" s="8" t="s">
        <v>652</v>
      </c>
      <c r="E756" s="8" t="s">
        <v>33</v>
      </c>
      <c r="F756" s="6" t="s">
        <v>50</v>
      </c>
      <c r="G756" s="6" t="s">
        <v>35</v>
      </c>
      <c r="H756" s="6" t="s">
        <v>36</v>
      </c>
      <c r="I756" s="8">
        <v>140</v>
      </c>
      <c r="J756" s="8" t="s">
        <v>223</v>
      </c>
      <c r="K756" s="8" t="s">
        <v>53</v>
      </c>
      <c r="L756" s="10">
        <v>5</v>
      </c>
      <c r="M756" s="13">
        <v>7000.0</v>
      </c>
      <c r="N756" s="13"/>
      <c r="O756" s="15">
        <f>IF(M756&gt;0, N756/M756, 0)</f>
        <v>0</v>
      </c>
      <c r="P756" s="13">
        <f>M756-N756</f>
        <v>7000</v>
      </c>
      <c r="Q756" s="13">
        <f>L756*M756</f>
        <v>35000</v>
      </c>
      <c r="R756" s="13">
        <f>L756*N756</f>
        <v>0</v>
      </c>
      <c r="S756" s="13">
        <f>L756*P756</f>
        <v>35000</v>
      </c>
      <c r="T756" s="13"/>
      <c r="U756" s="13">
        <f>L756*T756</f>
        <v>0</v>
      </c>
      <c r="V756" s="13">
        <f>S756-U756</f>
        <v>35000</v>
      </c>
      <c r="W756" s="15">
        <f>IF(S756&gt;0, V756/S756, 0)</f>
        <v>1</v>
      </c>
      <c r="X756" s="6" t="s">
        <v>39</v>
      </c>
      <c r="Y756" s="8" t="s">
        <v>40</v>
      </c>
      <c r="Z756" s="8" t="s">
        <v>41</v>
      </c>
      <c r="AA756" s="8" t="s">
        <v>42</v>
      </c>
      <c r="AB756" s="6" t="s">
        <v>42</v>
      </c>
    </row>
    <row r="757" spans="1:28">
      <c r="A757" s="9">
        <v>750</v>
      </c>
      <c r="B757" s="9" t="s">
        <v>1049</v>
      </c>
      <c r="C757" s="9" t="s">
        <v>953</v>
      </c>
      <c r="D757" s="9" t="s">
        <v>652</v>
      </c>
      <c r="E757" s="9" t="s">
        <v>33</v>
      </c>
      <c r="F757" s="7" t="s">
        <v>50</v>
      </c>
      <c r="G757" s="7" t="s">
        <v>51</v>
      </c>
      <c r="H757" s="7" t="s">
        <v>51</v>
      </c>
      <c r="I757" s="9">
        <v>134</v>
      </c>
      <c r="J757" s="9" t="s">
        <v>175</v>
      </c>
      <c r="K757" s="9" t="s">
        <v>53</v>
      </c>
      <c r="L757" s="11">
        <v>2</v>
      </c>
      <c r="M757" s="14">
        <v>8000.0</v>
      </c>
      <c r="N757" s="14"/>
      <c r="O757" s="16">
        <f>IF(M757&gt;0, N757/M757, 0)</f>
        <v>0</v>
      </c>
      <c r="P757" s="14">
        <f>M757-N757</f>
        <v>8000</v>
      </c>
      <c r="Q757" s="14">
        <f>L757*M757</f>
        <v>16000</v>
      </c>
      <c r="R757" s="14">
        <f>L757*N757</f>
        <v>0</v>
      </c>
      <c r="S757" s="14">
        <f>L757*P757</f>
        <v>16000</v>
      </c>
      <c r="T757" s="14"/>
      <c r="U757" s="14">
        <f>L757*T757</f>
        <v>0</v>
      </c>
      <c r="V757" s="14">
        <f>S757-U757</f>
        <v>16000</v>
      </c>
      <c r="W757" s="16">
        <f>IF(S757&gt;0, V757/S757, 0)</f>
        <v>1</v>
      </c>
      <c r="X757" s="7" t="s">
        <v>39</v>
      </c>
      <c r="Y757" s="9" t="s">
        <v>40</v>
      </c>
      <c r="Z757" s="9" t="s">
        <v>41</v>
      </c>
      <c r="AA757" s="9" t="s">
        <v>42</v>
      </c>
      <c r="AB757" s="7" t="s">
        <v>42</v>
      </c>
    </row>
    <row r="758" spans="1:28">
      <c r="A758" s="8">
        <v>751</v>
      </c>
      <c r="B758" s="8" t="s">
        <v>1050</v>
      </c>
      <c r="C758" s="8" t="s">
        <v>953</v>
      </c>
      <c r="D758" s="8" t="s">
        <v>652</v>
      </c>
      <c r="E758" s="8" t="s">
        <v>33</v>
      </c>
      <c r="F758" s="6" t="s">
        <v>50</v>
      </c>
      <c r="G758" s="6" t="s">
        <v>35</v>
      </c>
      <c r="H758" s="6" t="s">
        <v>73</v>
      </c>
      <c r="I758" s="8">
        <v>164</v>
      </c>
      <c r="J758" s="8" t="s">
        <v>187</v>
      </c>
      <c r="K758" s="8" t="s">
        <v>53</v>
      </c>
      <c r="L758" s="10">
        <v>2</v>
      </c>
      <c r="M758" s="13">
        <v>8000.0</v>
      </c>
      <c r="N758" s="13"/>
      <c r="O758" s="15">
        <f>IF(M758&gt;0, N758/M758, 0)</f>
        <v>0</v>
      </c>
      <c r="P758" s="13">
        <f>M758-N758</f>
        <v>8000</v>
      </c>
      <c r="Q758" s="13">
        <f>L758*M758</f>
        <v>16000</v>
      </c>
      <c r="R758" s="13">
        <f>L758*N758</f>
        <v>0</v>
      </c>
      <c r="S758" s="13">
        <f>L758*P758</f>
        <v>16000</v>
      </c>
      <c r="T758" s="13"/>
      <c r="U758" s="13">
        <f>L758*T758</f>
        <v>0</v>
      </c>
      <c r="V758" s="13">
        <f>S758-U758</f>
        <v>16000</v>
      </c>
      <c r="W758" s="15">
        <f>IF(S758&gt;0, V758/S758, 0)</f>
        <v>1</v>
      </c>
      <c r="X758" s="6" t="s">
        <v>39</v>
      </c>
      <c r="Y758" s="8" t="s">
        <v>40</v>
      </c>
      <c r="Z758" s="8" t="s">
        <v>41</v>
      </c>
      <c r="AA758" s="8" t="s">
        <v>42</v>
      </c>
      <c r="AB758" s="6" t="s">
        <v>42</v>
      </c>
    </row>
    <row r="759" spans="1:28">
      <c r="A759" s="9">
        <v>752</v>
      </c>
      <c r="B759" s="9" t="s">
        <v>1051</v>
      </c>
      <c r="C759" s="9" t="s">
        <v>953</v>
      </c>
      <c r="D759" s="9" t="s">
        <v>652</v>
      </c>
      <c r="E759" s="9" t="s">
        <v>33</v>
      </c>
      <c r="F759" s="7" t="s">
        <v>50</v>
      </c>
      <c r="G759" s="7" t="s">
        <v>45</v>
      </c>
      <c r="H759" s="7" t="s">
        <v>46</v>
      </c>
      <c r="I759" s="9">
        <v>158</v>
      </c>
      <c r="J759" s="9" t="s">
        <v>441</v>
      </c>
      <c r="K759" s="9" t="s">
        <v>38</v>
      </c>
      <c r="L759" s="11">
        <v>1</v>
      </c>
      <c r="M759" s="14">
        <v>18000.0</v>
      </c>
      <c r="N759" s="14"/>
      <c r="O759" s="16">
        <f>IF(M759&gt;0, N759/M759, 0)</f>
        <v>0</v>
      </c>
      <c r="P759" s="14">
        <f>M759-N759</f>
        <v>18000</v>
      </c>
      <c r="Q759" s="14">
        <f>L759*M759</f>
        <v>18000</v>
      </c>
      <c r="R759" s="14">
        <f>L759*N759</f>
        <v>0</v>
      </c>
      <c r="S759" s="14">
        <f>L759*P759</f>
        <v>18000</v>
      </c>
      <c r="T759" s="14"/>
      <c r="U759" s="14">
        <f>L759*T759</f>
        <v>0</v>
      </c>
      <c r="V759" s="14">
        <f>S759-U759</f>
        <v>18000</v>
      </c>
      <c r="W759" s="16">
        <f>IF(S759&gt;0, V759/S759, 0)</f>
        <v>1</v>
      </c>
      <c r="X759" s="7" t="s">
        <v>39</v>
      </c>
      <c r="Y759" s="9" t="s">
        <v>40</v>
      </c>
      <c r="Z759" s="9" t="s">
        <v>41</v>
      </c>
      <c r="AA759" s="9" t="s">
        <v>42</v>
      </c>
      <c r="AB759" s="7" t="s">
        <v>42</v>
      </c>
    </row>
    <row r="760" spans="1:28">
      <c r="A760" s="8">
        <v>753</v>
      </c>
      <c r="B760" s="8" t="s">
        <v>1052</v>
      </c>
      <c r="C760" s="8" t="s">
        <v>953</v>
      </c>
      <c r="D760" s="8" t="s">
        <v>652</v>
      </c>
      <c r="E760" s="8" t="s">
        <v>33</v>
      </c>
      <c r="F760" s="6" t="s">
        <v>50</v>
      </c>
      <c r="G760" s="6" t="s">
        <v>69</v>
      </c>
      <c r="H760" s="6" t="s">
        <v>69</v>
      </c>
      <c r="I760" s="8">
        <v>152</v>
      </c>
      <c r="J760" s="8" t="s">
        <v>350</v>
      </c>
      <c r="K760" s="8" t="s">
        <v>38</v>
      </c>
      <c r="L760" s="10">
        <v>1</v>
      </c>
      <c r="M760" s="13">
        <v>16000.0</v>
      </c>
      <c r="N760" s="13"/>
      <c r="O760" s="15">
        <f>IF(M760&gt;0, N760/M760, 0)</f>
        <v>0</v>
      </c>
      <c r="P760" s="13">
        <f>M760-N760</f>
        <v>16000</v>
      </c>
      <c r="Q760" s="13">
        <f>L760*M760</f>
        <v>16000</v>
      </c>
      <c r="R760" s="13">
        <f>L760*N760</f>
        <v>0</v>
      </c>
      <c r="S760" s="13">
        <f>L760*P760</f>
        <v>16000</v>
      </c>
      <c r="T760" s="13"/>
      <c r="U760" s="13">
        <f>L760*T760</f>
        <v>0</v>
      </c>
      <c r="V760" s="13">
        <f>S760-U760</f>
        <v>16000</v>
      </c>
      <c r="W760" s="15">
        <f>IF(S760&gt;0, V760/S760, 0)</f>
        <v>1</v>
      </c>
      <c r="X760" s="6" t="s">
        <v>39</v>
      </c>
      <c r="Y760" s="8" t="s">
        <v>40</v>
      </c>
      <c r="Z760" s="8" t="s">
        <v>41</v>
      </c>
      <c r="AA760" s="8" t="s">
        <v>42</v>
      </c>
      <c r="AB760" s="6" t="s">
        <v>42</v>
      </c>
    </row>
    <row r="761" spans="1:28">
      <c r="A761" s="9">
        <v>754</v>
      </c>
      <c r="B761" s="9" t="s">
        <v>1053</v>
      </c>
      <c r="C761" s="9" t="s">
        <v>953</v>
      </c>
      <c r="D761" s="9" t="s">
        <v>652</v>
      </c>
      <c r="E761" s="9" t="s">
        <v>33</v>
      </c>
      <c r="F761" s="7" t="s">
        <v>50</v>
      </c>
      <c r="G761" s="7" t="s">
        <v>35</v>
      </c>
      <c r="H761" s="7" t="s">
        <v>36</v>
      </c>
      <c r="I761" s="9">
        <v>164</v>
      </c>
      <c r="J761" s="9" t="s">
        <v>407</v>
      </c>
      <c r="K761" s="9" t="s">
        <v>53</v>
      </c>
      <c r="L761" s="11">
        <v>4</v>
      </c>
      <c r="M761" s="14">
        <v>7000.0</v>
      </c>
      <c r="N761" s="14"/>
      <c r="O761" s="16">
        <f>IF(M761&gt;0, N761/M761, 0)</f>
        <v>0</v>
      </c>
      <c r="P761" s="14">
        <f>M761-N761</f>
        <v>7000</v>
      </c>
      <c r="Q761" s="14">
        <f>L761*M761</f>
        <v>28000</v>
      </c>
      <c r="R761" s="14">
        <f>L761*N761</f>
        <v>0</v>
      </c>
      <c r="S761" s="14">
        <f>L761*P761</f>
        <v>28000</v>
      </c>
      <c r="T761" s="14"/>
      <c r="U761" s="14">
        <f>L761*T761</f>
        <v>0</v>
      </c>
      <c r="V761" s="14">
        <f>S761-U761</f>
        <v>28000</v>
      </c>
      <c r="W761" s="16">
        <f>IF(S761&gt;0, V761/S761, 0)</f>
        <v>1</v>
      </c>
      <c r="X761" s="7" t="s">
        <v>39</v>
      </c>
      <c r="Y761" s="9" t="s">
        <v>40</v>
      </c>
      <c r="Z761" s="9" t="s">
        <v>41</v>
      </c>
      <c r="AA761" s="9" t="s">
        <v>42</v>
      </c>
      <c r="AB761" s="7" t="s">
        <v>42</v>
      </c>
    </row>
    <row r="762" spans="1:28">
      <c r="A762" s="8">
        <v>755</v>
      </c>
      <c r="B762" s="8" t="s">
        <v>1054</v>
      </c>
      <c r="C762" s="8" t="s">
        <v>953</v>
      </c>
      <c r="D762" s="8" t="s">
        <v>652</v>
      </c>
      <c r="E762" s="8" t="s">
        <v>33</v>
      </c>
      <c r="F762" s="6" t="s">
        <v>50</v>
      </c>
      <c r="G762" s="6" t="s">
        <v>51</v>
      </c>
      <c r="H762" s="6" t="s">
        <v>51</v>
      </c>
      <c r="I762" s="8">
        <v>164</v>
      </c>
      <c r="J762" s="8" t="s">
        <v>404</v>
      </c>
      <c r="K762" s="8" t="s">
        <v>53</v>
      </c>
      <c r="L762" s="10">
        <v>2</v>
      </c>
      <c r="M762" s="13">
        <v>8000.0</v>
      </c>
      <c r="N762" s="13"/>
      <c r="O762" s="15">
        <f>IF(M762&gt;0, N762/M762, 0)</f>
        <v>0</v>
      </c>
      <c r="P762" s="13">
        <f>M762-N762</f>
        <v>8000</v>
      </c>
      <c r="Q762" s="13">
        <f>L762*M762</f>
        <v>16000</v>
      </c>
      <c r="R762" s="13">
        <f>L762*N762</f>
        <v>0</v>
      </c>
      <c r="S762" s="13">
        <f>L762*P762</f>
        <v>16000</v>
      </c>
      <c r="T762" s="13"/>
      <c r="U762" s="13">
        <f>L762*T762</f>
        <v>0</v>
      </c>
      <c r="V762" s="13">
        <f>S762-U762</f>
        <v>16000</v>
      </c>
      <c r="W762" s="15">
        <f>IF(S762&gt;0, V762/S762, 0)</f>
        <v>1</v>
      </c>
      <c r="X762" s="6" t="s">
        <v>39</v>
      </c>
      <c r="Y762" s="8" t="s">
        <v>40</v>
      </c>
      <c r="Z762" s="8" t="s">
        <v>41</v>
      </c>
      <c r="AA762" s="8" t="s">
        <v>42</v>
      </c>
      <c r="AB762" s="6" t="s">
        <v>42</v>
      </c>
    </row>
    <row r="763" spans="1:28">
      <c r="A763" s="9">
        <v>756</v>
      </c>
      <c r="B763" s="9" t="s">
        <v>1055</v>
      </c>
      <c r="C763" s="9" t="s">
        <v>953</v>
      </c>
      <c r="D763" s="9" t="s">
        <v>652</v>
      </c>
      <c r="E763" s="9" t="s">
        <v>33</v>
      </c>
      <c r="F763" s="7" t="s">
        <v>50</v>
      </c>
      <c r="G763" s="7" t="s">
        <v>56</v>
      </c>
      <c r="H763" s="7" t="s">
        <v>56</v>
      </c>
      <c r="I763" s="9">
        <v>152</v>
      </c>
      <c r="J763" s="9" t="s">
        <v>311</v>
      </c>
      <c r="K763" s="9" t="s">
        <v>38</v>
      </c>
      <c r="L763" s="11">
        <v>2</v>
      </c>
      <c r="M763" s="14">
        <v>7000.0</v>
      </c>
      <c r="N763" s="14"/>
      <c r="O763" s="16">
        <f>IF(M763&gt;0, N763/M763, 0)</f>
        <v>0</v>
      </c>
      <c r="P763" s="14">
        <f>M763-N763</f>
        <v>7000</v>
      </c>
      <c r="Q763" s="14">
        <f>L763*M763</f>
        <v>14000</v>
      </c>
      <c r="R763" s="14">
        <f>L763*N763</f>
        <v>0</v>
      </c>
      <c r="S763" s="14">
        <f>L763*P763</f>
        <v>14000</v>
      </c>
      <c r="T763" s="14"/>
      <c r="U763" s="14">
        <f>L763*T763</f>
        <v>0</v>
      </c>
      <c r="V763" s="14">
        <f>S763-U763</f>
        <v>14000</v>
      </c>
      <c r="W763" s="16">
        <f>IF(S763&gt;0, V763/S763, 0)</f>
        <v>1</v>
      </c>
      <c r="X763" s="7" t="s">
        <v>39</v>
      </c>
      <c r="Y763" s="9" t="s">
        <v>40</v>
      </c>
      <c r="Z763" s="9" t="s">
        <v>41</v>
      </c>
      <c r="AA763" s="9" t="s">
        <v>42</v>
      </c>
      <c r="AB763" s="7" t="s">
        <v>42</v>
      </c>
    </row>
    <row r="764" spans="1:28">
      <c r="A764" s="8">
        <v>757</v>
      </c>
      <c r="B764" s="8" t="s">
        <v>1056</v>
      </c>
      <c r="C764" s="8" t="s">
        <v>953</v>
      </c>
      <c r="D764" s="8" t="s">
        <v>652</v>
      </c>
      <c r="E764" s="8" t="s">
        <v>33</v>
      </c>
      <c r="F764" s="6" t="s">
        <v>50</v>
      </c>
      <c r="G764" s="6" t="s">
        <v>45</v>
      </c>
      <c r="H764" s="6" t="s">
        <v>46</v>
      </c>
      <c r="I764" s="8">
        <v>134</v>
      </c>
      <c r="J764" s="8" t="s">
        <v>376</v>
      </c>
      <c r="K764" s="8" t="s">
        <v>38</v>
      </c>
      <c r="L764" s="10">
        <v>1</v>
      </c>
      <c r="M764" s="13">
        <v>18000.0</v>
      </c>
      <c r="N764" s="13"/>
      <c r="O764" s="15">
        <f>IF(M764&gt;0, N764/M764, 0)</f>
        <v>0</v>
      </c>
      <c r="P764" s="13">
        <f>M764-N764</f>
        <v>18000</v>
      </c>
      <c r="Q764" s="13">
        <f>L764*M764</f>
        <v>18000</v>
      </c>
      <c r="R764" s="13">
        <f>L764*N764</f>
        <v>0</v>
      </c>
      <c r="S764" s="13">
        <f>L764*P764</f>
        <v>18000</v>
      </c>
      <c r="T764" s="13"/>
      <c r="U764" s="13">
        <f>L764*T764</f>
        <v>0</v>
      </c>
      <c r="V764" s="13">
        <f>S764-U764</f>
        <v>18000</v>
      </c>
      <c r="W764" s="15">
        <f>IF(S764&gt;0, V764/S764, 0)</f>
        <v>1</v>
      </c>
      <c r="X764" s="6" t="s">
        <v>39</v>
      </c>
      <c r="Y764" s="8" t="s">
        <v>40</v>
      </c>
      <c r="Z764" s="8" t="s">
        <v>41</v>
      </c>
      <c r="AA764" s="8" t="s">
        <v>42</v>
      </c>
      <c r="AB764" s="6" t="s">
        <v>42</v>
      </c>
    </row>
    <row r="765" spans="1:28">
      <c r="A765" s="9">
        <v>758</v>
      </c>
      <c r="B765" s="9" t="s">
        <v>1057</v>
      </c>
      <c r="C765" s="9" t="s">
        <v>953</v>
      </c>
      <c r="D765" s="9" t="s">
        <v>652</v>
      </c>
      <c r="E765" s="9" t="s">
        <v>33</v>
      </c>
      <c r="F765" s="7" t="s">
        <v>50</v>
      </c>
      <c r="G765" s="7" t="s">
        <v>69</v>
      </c>
      <c r="H765" s="7" t="s">
        <v>69</v>
      </c>
      <c r="I765" s="9">
        <v>122</v>
      </c>
      <c r="J765" s="9" t="s">
        <v>99</v>
      </c>
      <c r="K765" s="9" t="s">
        <v>38</v>
      </c>
      <c r="L765" s="11">
        <v>1</v>
      </c>
      <c r="M765" s="14">
        <v>17000.0</v>
      </c>
      <c r="N765" s="14"/>
      <c r="O765" s="16">
        <f>IF(M765&gt;0, N765/M765, 0)</f>
        <v>0</v>
      </c>
      <c r="P765" s="14">
        <f>M765-N765</f>
        <v>17000</v>
      </c>
      <c r="Q765" s="14">
        <f>L765*M765</f>
        <v>17000</v>
      </c>
      <c r="R765" s="14">
        <f>L765*N765</f>
        <v>0</v>
      </c>
      <c r="S765" s="14">
        <f>L765*P765</f>
        <v>17000</v>
      </c>
      <c r="T765" s="14"/>
      <c r="U765" s="14">
        <f>L765*T765</f>
        <v>0</v>
      </c>
      <c r="V765" s="14">
        <f>S765-U765</f>
        <v>17000</v>
      </c>
      <c r="W765" s="16">
        <f>IF(S765&gt;0, V765/S765, 0)</f>
        <v>1</v>
      </c>
      <c r="X765" s="7" t="s">
        <v>39</v>
      </c>
      <c r="Y765" s="9" t="s">
        <v>40</v>
      </c>
      <c r="Z765" s="9" t="s">
        <v>41</v>
      </c>
      <c r="AA765" s="9" t="s">
        <v>42</v>
      </c>
      <c r="AB765" s="7" t="s">
        <v>42</v>
      </c>
    </row>
    <row r="766" spans="1:28">
      <c r="A766" s="8">
        <v>759</v>
      </c>
      <c r="B766" s="8" t="s">
        <v>1058</v>
      </c>
      <c r="C766" s="8" t="s">
        <v>953</v>
      </c>
      <c r="D766" s="8" t="s">
        <v>652</v>
      </c>
      <c r="E766" s="8" t="s">
        <v>68</v>
      </c>
      <c r="F766" s="6" t="s">
        <v>34</v>
      </c>
      <c r="G766" s="6" t="s">
        <v>35</v>
      </c>
      <c r="H766" s="6" t="s">
        <v>73</v>
      </c>
      <c r="I766" s="8">
        <v>152</v>
      </c>
      <c r="J766" s="8" t="s">
        <v>262</v>
      </c>
      <c r="K766" s="8" t="s">
        <v>38</v>
      </c>
      <c r="L766" s="10">
        <v>1</v>
      </c>
      <c r="M766" s="13">
        <v>11000.0</v>
      </c>
      <c r="N766" s="13"/>
      <c r="O766" s="15">
        <f>IF(M766&gt;0, N766/M766, 0)</f>
        <v>0</v>
      </c>
      <c r="P766" s="13">
        <f>M766-N766</f>
        <v>11000</v>
      </c>
      <c r="Q766" s="13">
        <f>L766*M766</f>
        <v>11000</v>
      </c>
      <c r="R766" s="13">
        <f>L766*N766</f>
        <v>0</v>
      </c>
      <c r="S766" s="13">
        <f>L766*P766</f>
        <v>11000</v>
      </c>
      <c r="T766" s="13"/>
      <c r="U766" s="13">
        <f>L766*T766</f>
        <v>0</v>
      </c>
      <c r="V766" s="13">
        <f>S766-U766</f>
        <v>11000</v>
      </c>
      <c r="W766" s="15">
        <f>IF(S766&gt;0, V766/S766, 0)</f>
        <v>1</v>
      </c>
      <c r="X766" s="6" t="s">
        <v>39</v>
      </c>
      <c r="Y766" s="8" t="s">
        <v>40</v>
      </c>
      <c r="Z766" s="8" t="s">
        <v>71</v>
      </c>
      <c r="AA766" s="8" t="s">
        <v>42</v>
      </c>
      <c r="AB766" s="6" t="s">
        <v>42</v>
      </c>
    </row>
    <row r="767" spans="1:28">
      <c r="A767" s="9">
        <v>760</v>
      </c>
      <c r="B767" s="9" t="s">
        <v>1059</v>
      </c>
      <c r="C767" s="9" t="s">
        <v>953</v>
      </c>
      <c r="D767" s="9" t="s">
        <v>652</v>
      </c>
      <c r="E767" s="9" t="s">
        <v>68</v>
      </c>
      <c r="F767" s="7" t="s">
        <v>34</v>
      </c>
      <c r="G767" s="7" t="s">
        <v>35</v>
      </c>
      <c r="H767" s="7" t="s">
        <v>36</v>
      </c>
      <c r="I767" s="9">
        <v>152</v>
      </c>
      <c r="J767" s="9" t="s">
        <v>726</v>
      </c>
      <c r="K767" s="9" t="s">
        <v>38</v>
      </c>
      <c r="L767" s="11">
        <v>1</v>
      </c>
      <c r="M767" s="14">
        <v>10000.0</v>
      </c>
      <c r="N767" s="14"/>
      <c r="O767" s="16">
        <f>IF(M767&gt;0, N767/M767, 0)</f>
        <v>0</v>
      </c>
      <c r="P767" s="14">
        <f>M767-N767</f>
        <v>10000</v>
      </c>
      <c r="Q767" s="14">
        <f>L767*M767</f>
        <v>10000</v>
      </c>
      <c r="R767" s="14">
        <f>L767*N767</f>
        <v>0</v>
      </c>
      <c r="S767" s="14">
        <f>L767*P767</f>
        <v>10000</v>
      </c>
      <c r="T767" s="14"/>
      <c r="U767" s="14">
        <f>L767*T767</f>
        <v>0</v>
      </c>
      <c r="V767" s="14">
        <f>S767-U767</f>
        <v>10000</v>
      </c>
      <c r="W767" s="16">
        <f>IF(S767&gt;0, V767/S767, 0)</f>
        <v>1</v>
      </c>
      <c r="X767" s="7" t="s">
        <v>39</v>
      </c>
      <c r="Y767" s="9" t="s">
        <v>40</v>
      </c>
      <c r="Z767" s="9" t="s">
        <v>71</v>
      </c>
      <c r="AA767" s="9" t="s">
        <v>42</v>
      </c>
      <c r="AB767" s="7" t="s">
        <v>42</v>
      </c>
    </row>
    <row r="768" spans="1:28">
      <c r="A768" s="8">
        <v>761</v>
      </c>
      <c r="B768" s="8" t="s">
        <v>1060</v>
      </c>
      <c r="C768" s="8" t="s">
        <v>953</v>
      </c>
      <c r="D768" s="8" t="s">
        <v>652</v>
      </c>
      <c r="E768" s="8" t="s">
        <v>68</v>
      </c>
      <c r="F768" s="6" t="s">
        <v>50</v>
      </c>
      <c r="G768" s="6" t="s">
        <v>56</v>
      </c>
      <c r="H768" s="6" t="s">
        <v>56</v>
      </c>
      <c r="I768" s="8">
        <v>140</v>
      </c>
      <c r="J768" s="8" t="s">
        <v>597</v>
      </c>
      <c r="K768" s="8" t="s">
        <v>38</v>
      </c>
      <c r="L768" s="10">
        <v>1</v>
      </c>
      <c r="M768" s="13">
        <v>9000.0</v>
      </c>
      <c r="N768" s="13"/>
      <c r="O768" s="15">
        <f>IF(M768&gt;0, N768/M768, 0)</f>
        <v>0</v>
      </c>
      <c r="P768" s="13">
        <f>M768-N768</f>
        <v>9000</v>
      </c>
      <c r="Q768" s="13">
        <f>L768*M768</f>
        <v>9000</v>
      </c>
      <c r="R768" s="13">
        <f>L768*N768</f>
        <v>0</v>
      </c>
      <c r="S768" s="13">
        <f>L768*P768</f>
        <v>9000</v>
      </c>
      <c r="T768" s="13"/>
      <c r="U768" s="13">
        <f>L768*T768</f>
        <v>0</v>
      </c>
      <c r="V768" s="13">
        <f>S768-U768</f>
        <v>9000</v>
      </c>
      <c r="W768" s="15">
        <f>IF(S768&gt;0, V768/S768, 0)</f>
        <v>1</v>
      </c>
      <c r="X768" s="6" t="s">
        <v>39</v>
      </c>
      <c r="Y768" s="8" t="s">
        <v>40</v>
      </c>
      <c r="Z768" s="8" t="s">
        <v>71</v>
      </c>
      <c r="AA768" s="8" t="s">
        <v>42</v>
      </c>
      <c r="AB768" s="6" t="s">
        <v>42</v>
      </c>
    </row>
    <row r="769" spans="1:28">
      <c r="A769" s="9">
        <v>762</v>
      </c>
      <c r="B769" s="9" t="s">
        <v>1061</v>
      </c>
      <c r="C769" s="9" t="s">
        <v>953</v>
      </c>
      <c r="D769" s="9" t="s">
        <v>652</v>
      </c>
      <c r="E769" s="9" t="s">
        <v>68</v>
      </c>
      <c r="F769" s="7" t="s">
        <v>34</v>
      </c>
      <c r="G769" s="7" t="s">
        <v>51</v>
      </c>
      <c r="H769" s="7" t="s">
        <v>51</v>
      </c>
      <c r="I769" s="9">
        <v>152</v>
      </c>
      <c r="J769" s="9" t="s">
        <v>302</v>
      </c>
      <c r="K769" s="9" t="s">
        <v>38</v>
      </c>
      <c r="L769" s="11">
        <v>1</v>
      </c>
      <c r="M769" s="14">
        <v>10000.0</v>
      </c>
      <c r="N769" s="14"/>
      <c r="O769" s="16">
        <f>IF(M769&gt;0, N769/M769, 0)</f>
        <v>0</v>
      </c>
      <c r="P769" s="14">
        <f>M769-N769</f>
        <v>10000</v>
      </c>
      <c r="Q769" s="14">
        <f>L769*M769</f>
        <v>10000</v>
      </c>
      <c r="R769" s="14">
        <f>L769*N769</f>
        <v>0</v>
      </c>
      <c r="S769" s="14">
        <f>L769*P769</f>
        <v>10000</v>
      </c>
      <c r="T769" s="14"/>
      <c r="U769" s="14">
        <f>L769*T769</f>
        <v>0</v>
      </c>
      <c r="V769" s="14">
        <f>S769-U769</f>
        <v>10000</v>
      </c>
      <c r="W769" s="16">
        <f>IF(S769&gt;0, V769/S769, 0)</f>
        <v>1</v>
      </c>
      <c r="X769" s="7" t="s">
        <v>39</v>
      </c>
      <c r="Y769" s="9" t="s">
        <v>40</v>
      </c>
      <c r="Z769" s="9" t="s">
        <v>71</v>
      </c>
      <c r="AA769" s="9" t="s">
        <v>42</v>
      </c>
      <c r="AB769" s="7" t="s">
        <v>42</v>
      </c>
    </row>
    <row r="770" spans="1:28">
      <c r="A770" s="8">
        <v>763</v>
      </c>
      <c r="B770" s="8" t="s">
        <v>1062</v>
      </c>
      <c r="C770" s="8" t="s">
        <v>953</v>
      </c>
      <c r="D770" s="8" t="s">
        <v>652</v>
      </c>
      <c r="E770" s="8" t="s">
        <v>33</v>
      </c>
      <c r="F770" s="6" t="s">
        <v>50</v>
      </c>
      <c r="G770" s="6" t="s">
        <v>45</v>
      </c>
      <c r="H770" s="6" t="s">
        <v>46</v>
      </c>
      <c r="I770" s="8">
        <v>152</v>
      </c>
      <c r="J770" s="8" t="s">
        <v>411</v>
      </c>
      <c r="K770" s="8" t="s">
        <v>38</v>
      </c>
      <c r="L770" s="10">
        <v>1</v>
      </c>
      <c r="M770" s="13">
        <v>18000.0</v>
      </c>
      <c r="N770" s="13"/>
      <c r="O770" s="15">
        <f>IF(M770&gt;0, N770/M770, 0)</f>
        <v>0</v>
      </c>
      <c r="P770" s="13">
        <f>M770-N770</f>
        <v>18000</v>
      </c>
      <c r="Q770" s="13">
        <f>L770*M770</f>
        <v>18000</v>
      </c>
      <c r="R770" s="13">
        <f>L770*N770</f>
        <v>0</v>
      </c>
      <c r="S770" s="13">
        <f>L770*P770</f>
        <v>18000</v>
      </c>
      <c r="T770" s="13"/>
      <c r="U770" s="13">
        <f>L770*T770</f>
        <v>0</v>
      </c>
      <c r="V770" s="13">
        <f>S770-U770</f>
        <v>18000</v>
      </c>
      <c r="W770" s="15">
        <f>IF(S770&gt;0, V770/S770, 0)</f>
        <v>1</v>
      </c>
      <c r="X770" s="6" t="s">
        <v>39</v>
      </c>
      <c r="Y770" s="8" t="s">
        <v>40</v>
      </c>
      <c r="Z770" s="8" t="s">
        <v>41</v>
      </c>
      <c r="AA770" s="8" t="s">
        <v>42</v>
      </c>
      <c r="AB770" s="6" t="s">
        <v>42</v>
      </c>
    </row>
    <row r="771" spans="1:28">
      <c r="A771" s="9">
        <v>764</v>
      </c>
      <c r="B771" s="9" t="s">
        <v>1063</v>
      </c>
      <c r="C771" s="9" t="s">
        <v>953</v>
      </c>
      <c r="D771" s="9" t="s">
        <v>652</v>
      </c>
      <c r="E771" s="9" t="s">
        <v>33</v>
      </c>
      <c r="F771" s="7" t="s">
        <v>34</v>
      </c>
      <c r="G771" s="7" t="s">
        <v>35</v>
      </c>
      <c r="H771" s="7" t="s">
        <v>36</v>
      </c>
      <c r="I771" s="9">
        <v>176</v>
      </c>
      <c r="J771" s="9" t="s">
        <v>352</v>
      </c>
      <c r="K771" s="9" t="s">
        <v>38</v>
      </c>
      <c r="L771" s="11">
        <v>1</v>
      </c>
      <c r="M771" s="14">
        <v>8000.0</v>
      </c>
      <c r="N771" s="14"/>
      <c r="O771" s="16">
        <f>IF(M771&gt;0, N771/M771, 0)</f>
        <v>0</v>
      </c>
      <c r="P771" s="14">
        <f>M771-N771</f>
        <v>8000</v>
      </c>
      <c r="Q771" s="14">
        <f>L771*M771</f>
        <v>8000</v>
      </c>
      <c r="R771" s="14">
        <f>L771*N771</f>
        <v>0</v>
      </c>
      <c r="S771" s="14">
        <f>L771*P771</f>
        <v>8000</v>
      </c>
      <c r="T771" s="14"/>
      <c r="U771" s="14">
        <f>L771*T771</f>
        <v>0</v>
      </c>
      <c r="V771" s="14">
        <f>S771-U771</f>
        <v>8000</v>
      </c>
      <c r="W771" s="16">
        <f>IF(S771&gt;0, V771/S771, 0)</f>
        <v>1</v>
      </c>
      <c r="X771" s="7" t="s">
        <v>39</v>
      </c>
      <c r="Y771" s="9" t="s">
        <v>40</v>
      </c>
      <c r="Z771" s="9" t="s">
        <v>41</v>
      </c>
      <c r="AA771" s="9" t="s">
        <v>42</v>
      </c>
      <c r="AB771" s="7" t="s">
        <v>42</v>
      </c>
    </row>
    <row r="772" spans="1:28">
      <c r="A772" s="8">
        <v>765</v>
      </c>
      <c r="B772" s="8" t="s">
        <v>1064</v>
      </c>
      <c r="C772" s="8" t="s">
        <v>953</v>
      </c>
      <c r="D772" s="8" t="s">
        <v>652</v>
      </c>
      <c r="E772" s="8" t="s">
        <v>33</v>
      </c>
      <c r="F772" s="6" t="s">
        <v>34</v>
      </c>
      <c r="G772" s="6" t="s">
        <v>69</v>
      </c>
      <c r="H772" s="6" t="s">
        <v>69</v>
      </c>
      <c r="I772" s="8">
        <v>176</v>
      </c>
      <c r="J772" s="8" t="s">
        <v>203</v>
      </c>
      <c r="K772" s="8" t="s">
        <v>38</v>
      </c>
      <c r="L772" s="10">
        <v>1</v>
      </c>
      <c r="M772" s="13">
        <v>16500.0</v>
      </c>
      <c r="N772" s="13"/>
      <c r="O772" s="15">
        <f>IF(M772&gt;0, N772/M772, 0)</f>
        <v>0</v>
      </c>
      <c r="P772" s="13">
        <f>M772-N772</f>
        <v>16500</v>
      </c>
      <c r="Q772" s="13">
        <f>L772*M772</f>
        <v>16500</v>
      </c>
      <c r="R772" s="13">
        <f>L772*N772</f>
        <v>0</v>
      </c>
      <c r="S772" s="13">
        <f>L772*P772</f>
        <v>16500</v>
      </c>
      <c r="T772" s="13"/>
      <c r="U772" s="13">
        <f>L772*T772</f>
        <v>0</v>
      </c>
      <c r="V772" s="13">
        <f>S772-U772</f>
        <v>16500</v>
      </c>
      <c r="W772" s="15">
        <f>IF(S772&gt;0, V772/S772, 0)</f>
        <v>1</v>
      </c>
      <c r="X772" s="6" t="s">
        <v>39</v>
      </c>
      <c r="Y772" s="8" t="s">
        <v>40</v>
      </c>
      <c r="Z772" s="8" t="s">
        <v>41</v>
      </c>
      <c r="AA772" s="8" t="s">
        <v>42</v>
      </c>
      <c r="AB772" s="6" t="s">
        <v>42</v>
      </c>
    </row>
    <row r="773" spans="1:28">
      <c r="A773" s="9">
        <v>766</v>
      </c>
      <c r="B773" s="9" t="s">
        <v>1065</v>
      </c>
      <c r="C773" s="9" t="s">
        <v>953</v>
      </c>
      <c r="D773" s="9" t="s">
        <v>652</v>
      </c>
      <c r="E773" s="9" t="s">
        <v>33</v>
      </c>
      <c r="F773" s="7" t="s">
        <v>34</v>
      </c>
      <c r="G773" s="7" t="s">
        <v>35</v>
      </c>
      <c r="H773" s="7" t="s">
        <v>73</v>
      </c>
      <c r="I773" s="9">
        <v>170</v>
      </c>
      <c r="J773" s="9" t="s">
        <v>648</v>
      </c>
      <c r="K773" s="9" t="s">
        <v>38</v>
      </c>
      <c r="L773" s="11">
        <v>1</v>
      </c>
      <c r="M773" s="14">
        <v>9000.0</v>
      </c>
      <c r="N773" s="14"/>
      <c r="O773" s="16">
        <f>IF(M773&gt;0, N773/M773, 0)</f>
        <v>0</v>
      </c>
      <c r="P773" s="14">
        <f>M773-N773</f>
        <v>9000</v>
      </c>
      <c r="Q773" s="14">
        <f>L773*M773</f>
        <v>9000</v>
      </c>
      <c r="R773" s="14">
        <f>L773*N773</f>
        <v>0</v>
      </c>
      <c r="S773" s="14">
        <f>L773*P773</f>
        <v>9000</v>
      </c>
      <c r="T773" s="14"/>
      <c r="U773" s="14">
        <f>L773*T773</f>
        <v>0</v>
      </c>
      <c r="V773" s="14">
        <f>S773-U773</f>
        <v>9000</v>
      </c>
      <c r="W773" s="16">
        <f>IF(S773&gt;0, V773/S773, 0)</f>
        <v>1</v>
      </c>
      <c r="X773" s="7" t="s">
        <v>39</v>
      </c>
      <c r="Y773" s="9" t="s">
        <v>40</v>
      </c>
      <c r="Z773" s="9" t="s">
        <v>41</v>
      </c>
      <c r="AA773" s="9" t="s">
        <v>42</v>
      </c>
      <c r="AB773" s="7" t="s">
        <v>42</v>
      </c>
    </row>
    <row r="774" spans="1:28">
      <c r="A774" s="8">
        <v>767</v>
      </c>
      <c r="B774" s="8" t="s">
        <v>1066</v>
      </c>
      <c r="C774" s="8" t="s">
        <v>953</v>
      </c>
      <c r="D774" s="8" t="s">
        <v>652</v>
      </c>
      <c r="E774" s="8" t="s">
        <v>33</v>
      </c>
      <c r="F774" s="6" t="s">
        <v>34</v>
      </c>
      <c r="G774" s="6" t="s">
        <v>35</v>
      </c>
      <c r="H774" s="6" t="s">
        <v>36</v>
      </c>
      <c r="I774" s="8">
        <v>164</v>
      </c>
      <c r="J774" s="8" t="s">
        <v>77</v>
      </c>
      <c r="K774" s="8" t="s">
        <v>38</v>
      </c>
      <c r="L774" s="10">
        <v>1</v>
      </c>
      <c r="M774" s="13">
        <v>8000.0</v>
      </c>
      <c r="N774" s="13"/>
      <c r="O774" s="15">
        <f>IF(M774&gt;0, N774/M774, 0)</f>
        <v>0</v>
      </c>
      <c r="P774" s="13">
        <f>M774-N774</f>
        <v>8000</v>
      </c>
      <c r="Q774" s="13">
        <f>L774*M774</f>
        <v>8000</v>
      </c>
      <c r="R774" s="13">
        <f>L774*N774</f>
        <v>0</v>
      </c>
      <c r="S774" s="13">
        <f>L774*P774</f>
        <v>8000</v>
      </c>
      <c r="T774" s="13"/>
      <c r="U774" s="13">
        <f>L774*T774</f>
        <v>0</v>
      </c>
      <c r="V774" s="13">
        <f>S774-U774</f>
        <v>8000</v>
      </c>
      <c r="W774" s="15">
        <f>IF(S774&gt;0, V774/S774, 0)</f>
        <v>1</v>
      </c>
      <c r="X774" s="6" t="s">
        <v>39</v>
      </c>
      <c r="Y774" s="8" t="s">
        <v>40</v>
      </c>
      <c r="Z774" s="8" t="s">
        <v>41</v>
      </c>
      <c r="AA774" s="8" t="s">
        <v>42</v>
      </c>
      <c r="AB774" s="6" t="s">
        <v>42</v>
      </c>
    </row>
    <row r="775" spans="1:28">
      <c r="A775" s="9">
        <v>768</v>
      </c>
      <c r="B775" s="9" t="s">
        <v>1067</v>
      </c>
      <c r="C775" s="9" t="s">
        <v>953</v>
      </c>
      <c r="D775" s="9" t="s">
        <v>652</v>
      </c>
      <c r="E775" s="9" t="s">
        <v>33</v>
      </c>
      <c r="F775" s="7" t="s">
        <v>34</v>
      </c>
      <c r="G775" s="7" t="s">
        <v>51</v>
      </c>
      <c r="H775" s="7" t="s">
        <v>51</v>
      </c>
      <c r="I775" s="9">
        <v>158</v>
      </c>
      <c r="J775" s="9" t="s">
        <v>122</v>
      </c>
      <c r="K775" s="9" t="s">
        <v>38</v>
      </c>
      <c r="L775" s="11">
        <v>1</v>
      </c>
      <c r="M775" s="14">
        <v>8500.0</v>
      </c>
      <c r="N775" s="14"/>
      <c r="O775" s="16">
        <f>IF(M775&gt;0, N775/M775, 0)</f>
        <v>0</v>
      </c>
      <c r="P775" s="14">
        <f>M775-N775</f>
        <v>8500</v>
      </c>
      <c r="Q775" s="14">
        <f>L775*M775</f>
        <v>8500</v>
      </c>
      <c r="R775" s="14">
        <f>L775*N775</f>
        <v>0</v>
      </c>
      <c r="S775" s="14">
        <f>L775*P775</f>
        <v>8500</v>
      </c>
      <c r="T775" s="14"/>
      <c r="U775" s="14">
        <f>L775*T775</f>
        <v>0</v>
      </c>
      <c r="V775" s="14">
        <f>S775-U775</f>
        <v>8500</v>
      </c>
      <c r="W775" s="16">
        <f>IF(S775&gt;0, V775/S775, 0)</f>
        <v>1</v>
      </c>
      <c r="X775" s="7" t="s">
        <v>39</v>
      </c>
      <c r="Y775" s="9" t="s">
        <v>40</v>
      </c>
      <c r="Z775" s="9" t="s">
        <v>41</v>
      </c>
      <c r="AA775" s="9" t="s">
        <v>42</v>
      </c>
      <c r="AB775" s="7" t="s">
        <v>42</v>
      </c>
    </row>
    <row r="776" spans="1:28">
      <c r="A776" s="8">
        <v>769</v>
      </c>
      <c r="B776" s="8" t="s">
        <v>1068</v>
      </c>
      <c r="C776" s="8" t="s">
        <v>953</v>
      </c>
      <c r="D776" s="8" t="s">
        <v>652</v>
      </c>
      <c r="E776" s="8" t="s">
        <v>33</v>
      </c>
      <c r="F776" s="6" t="s">
        <v>50</v>
      </c>
      <c r="G776" s="6" t="s">
        <v>35</v>
      </c>
      <c r="H776" s="6" t="s">
        <v>36</v>
      </c>
      <c r="I776" s="8">
        <v>128</v>
      </c>
      <c r="J776" s="8" t="s">
        <v>156</v>
      </c>
      <c r="K776" s="8" t="s">
        <v>53</v>
      </c>
      <c r="L776" s="10">
        <v>1</v>
      </c>
      <c r="M776" s="13">
        <v>7000.0</v>
      </c>
      <c r="N776" s="13"/>
      <c r="O776" s="15">
        <f>IF(M776&gt;0, N776/M776, 0)</f>
        <v>0</v>
      </c>
      <c r="P776" s="13">
        <f>M776-N776</f>
        <v>7000</v>
      </c>
      <c r="Q776" s="13">
        <f>L776*M776</f>
        <v>7000</v>
      </c>
      <c r="R776" s="13">
        <f>L776*N776</f>
        <v>0</v>
      </c>
      <c r="S776" s="13">
        <f>L776*P776</f>
        <v>7000</v>
      </c>
      <c r="T776" s="13"/>
      <c r="U776" s="13">
        <f>L776*T776</f>
        <v>0</v>
      </c>
      <c r="V776" s="13">
        <f>S776-U776</f>
        <v>7000</v>
      </c>
      <c r="W776" s="15">
        <f>IF(S776&gt;0, V776/S776, 0)</f>
        <v>1</v>
      </c>
      <c r="X776" s="6" t="s">
        <v>39</v>
      </c>
      <c r="Y776" s="8" t="s">
        <v>40</v>
      </c>
      <c r="Z776" s="8" t="s">
        <v>41</v>
      </c>
      <c r="AA776" s="8" t="s">
        <v>42</v>
      </c>
      <c r="AB776" s="6" t="s">
        <v>42</v>
      </c>
    </row>
    <row r="777" spans="1:28">
      <c r="A777" s="9">
        <v>770</v>
      </c>
      <c r="B777" s="9" t="s">
        <v>1069</v>
      </c>
      <c r="C777" s="9" t="s">
        <v>953</v>
      </c>
      <c r="D777" s="9" t="s">
        <v>652</v>
      </c>
      <c r="E777" s="9" t="s">
        <v>33</v>
      </c>
      <c r="F777" s="7" t="s">
        <v>50</v>
      </c>
      <c r="G777" s="7" t="s">
        <v>51</v>
      </c>
      <c r="H777" s="7" t="s">
        <v>51</v>
      </c>
      <c r="I777" s="9">
        <v>122</v>
      </c>
      <c r="J777" s="9" t="s">
        <v>82</v>
      </c>
      <c r="K777" s="9" t="s">
        <v>53</v>
      </c>
      <c r="L777" s="11">
        <v>1</v>
      </c>
      <c r="M777" s="14">
        <v>8000.0</v>
      </c>
      <c r="N777" s="14"/>
      <c r="O777" s="16">
        <f>IF(M777&gt;0, N777/M777, 0)</f>
        <v>0</v>
      </c>
      <c r="P777" s="14">
        <f>M777-N777</f>
        <v>8000</v>
      </c>
      <c r="Q777" s="14">
        <f>L777*M777</f>
        <v>8000</v>
      </c>
      <c r="R777" s="14">
        <f>L777*N777</f>
        <v>0</v>
      </c>
      <c r="S777" s="14">
        <f>L777*P777</f>
        <v>8000</v>
      </c>
      <c r="T777" s="14"/>
      <c r="U777" s="14">
        <f>L777*T777</f>
        <v>0</v>
      </c>
      <c r="V777" s="14">
        <f>S777-U777</f>
        <v>8000</v>
      </c>
      <c r="W777" s="16">
        <f>IF(S777&gt;0, V777/S777, 0)</f>
        <v>1</v>
      </c>
      <c r="X777" s="7" t="s">
        <v>39</v>
      </c>
      <c r="Y777" s="9" t="s">
        <v>40</v>
      </c>
      <c r="Z777" s="9" t="s">
        <v>41</v>
      </c>
      <c r="AA777" s="9" t="s">
        <v>42</v>
      </c>
      <c r="AB777" s="7" t="s">
        <v>42</v>
      </c>
    </row>
    <row r="778" spans="1:28">
      <c r="A778" s="8">
        <v>771</v>
      </c>
      <c r="B778" s="8" t="s">
        <v>1070</v>
      </c>
      <c r="C778" s="8" t="s">
        <v>953</v>
      </c>
      <c r="D778" s="8" t="s">
        <v>652</v>
      </c>
      <c r="E778" s="8" t="s">
        <v>33</v>
      </c>
      <c r="F778" s="6" t="s">
        <v>50</v>
      </c>
      <c r="G778" s="6" t="s">
        <v>69</v>
      </c>
      <c r="H778" s="6" t="s">
        <v>69</v>
      </c>
      <c r="I778" s="8">
        <v>140</v>
      </c>
      <c r="J778" s="8" t="s">
        <v>225</v>
      </c>
      <c r="K778" s="8" t="s">
        <v>38</v>
      </c>
      <c r="L778" s="10">
        <v>1</v>
      </c>
      <c r="M778" s="13">
        <v>16000.0</v>
      </c>
      <c r="N778" s="13"/>
      <c r="O778" s="15">
        <f>IF(M778&gt;0, N778/M778, 0)</f>
        <v>0</v>
      </c>
      <c r="P778" s="13">
        <f>M778-N778</f>
        <v>16000</v>
      </c>
      <c r="Q778" s="13">
        <f>L778*M778</f>
        <v>16000</v>
      </c>
      <c r="R778" s="13">
        <f>L778*N778</f>
        <v>0</v>
      </c>
      <c r="S778" s="13">
        <f>L778*P778</f>
        <v>16000</v>
      </c>
      <c r="T778" s="13"/>
      <c r="U778" s="13">
        <f>L778*T778</f>
        <v>0</v>
      </c>
      <c r="V778" s="13">
        <f>S778-U778</f>
        <v>16000</v>
      </c>
      <c r="W778" s="15">
        <f>IF(S778&gt;0, V778/S778, 0)</f>
        <v>1</v>
      </c>
      <c r="X778" s="6" t="s">
        <v>39</v>
      </c>
      <c r="Y778" s="8" t="s">
        <v>40</v>
      </c>
      <c r="Z778" s="8" t="s">
        <v>41</v>
      </c>
      <c r="AA778" s="8" t="s">
        <v>42</v>
      </c>
      <c r="AB778" s="6" t="s">
        <v>42</v>
      </c>
    </row>
    <row r="779" spans="1:28">
      <c r="A779" s="9">
        <v>772</v>
      </c>
      <c r="B779" s="9" t="s">
        <v>1071</v>
      </c>
      <c r="C779" s="9" t="s">
        <v>953</v>
      </c>
      <c r="D779" s="9" t="s">
        <v>652</v>
      </c>
      <c r="E779" s="9" t="s">
        <v>33</v>
      </c>
      <c r="F779" s="7" t="s">
        <v>50</v>
      </c>
      <c r="G779" s="7" t="s">
        <v>51</v>
      </c>
      <c r="H779" s="7" t="s">
        <v>51</v>
      </c>
      <c r="I779" s="9">
        <v>140</v>
      </c>
      <c r="J779" s="9" t="s">
        <v>279</v>
      </c>
      <c r="K779" s="9" t="s">
        <v>53</v>
      </c>
      <c r="L779" s="11">
        <v>1</v>
      </c>
      <c r="M779" s="14">
        <v>8000.0</v>
      </c>
      <c r="N779" s="14"/>
      <c r="O779" s="16">
        <f>IF(M779&gt;0, N779/M779, 0)</f>
        <v>0</v>
      </c>
      <c r="P779" s="14">
        <f>M779-N779</f>
        <v>8000</v>
      </c>
      <c r="Q779" s="14">
        <f>L779*M779</f>
        <v>8000</v>
      </c>
      <c r="R779" s="14">
        <f>L779*N779</f>
        <v>0</v>
      </c>
      <c r="S779" s="14">
        <f>L779*P779</f>
        <v>8000</v>
      </c>
      <c r="T779" s="14"/>
      <c r="U779" s="14">
        <f>L779*T779</f>
        <v>0</v>
      </c>
      <c r="V779" s="14">
        <f>S779-U779</f>
        <v>8000</v>
      </c>
      <c r="W779" s="16">
        <f>IF(S779&gt;0, V779/S779, 0)</f>
        <v>1</v>
      </c>
      <c r="X779" s="7" t="s">
        <v>39</v>
      </c>
      <c r="Y779" s="9" t="s">
        <v>40</v>
      </c>
      <c r="Z779" s="9" t="s">
        <v>41</v>
      </c>
      <c r="AA779" s="9" t="s">
        <v>42</v>
      </c>
      <c r="AB779" s="7" t="s">
        <v>42</v>
      </c>
    </row>
    <row r="780" spans="1:28">
      <c r="A780" s="8">
        <v>773</v>
      </c>
      <c r="B780" s="8" t="s">
        <v>1072</v>
      </c>
      <c r="C780" s="8" t="s">
        <v>953</v>
      </c>
      <c r="D780" s="8" t="s">
        <v>652</v>
      </c>
      <c r="E780" s="8" t="s">
        <v>33</v>
      </c>
      <c r="F780" s="6" t="s">
        <v>50</v>
      </c>
      <c r="G780" s="6" t="s">
        <v>51</v>
      </c>
      <c r="H780" s="6" t="s">
        <v>51</v>
      </c>
      <c r="I780" s="8">
        <v>164</v>
      </c>
      <c r="J780" s="8" t="s">
        <v>404</v>
      </c>
      <c r="K780" s="8" t="s">
        <v>53</v>
      </c>
      <c r="L780" s="10">
        <v>1</v>
      </c>
      <c r="M780" s="13">
        <v>8000.0</v>
      </c>
      <c r="N780" s="13"/>
      <c r="O780" s="15">
        <f>IF(M780&gt;0, N780/M780, 0)</f>
        <v>0</v>
      </c>
      <c r="P780" s="13">
        <f>M780-N780</f>
        <v>8000</v>
      </c>
      <c r="Q780" s="13">
        <f>L780*M780</f>
        <v>8000</v>
      </c>
      <c r="R780" s="13">
        <f>L780*N780</f>
        <v>0</v>
      </c>
      <c r="S780" s="13">
        <f>L780*P780</f>
        <v>8000</v>
      </c>
      <c r="T780" s="13"/>
      <c r="U780" s="13">
        <f>L780*T780</f>
        <v>0</v>
      </c>
      <c r="V780" s="13">
        <f>S780-U780</f>
        <v>8000</v>
      </c>
      <c r="W780" s="15">
        <f>IF(S780&gt;0, V780/S780, 0)</f>
        <v>1</v>
      </c>
      <c r="X780" s="6" t="s">
        <v>39</v>
      </c>
      <c r="Y780" s="8" t="s">
        <v>40</v>
      </c>
      <c r="Z780" s="8" t="s">
        <v>41</v>
      </c>
      <c r="AA780" s="8" t="s">
        <v>42</v>
      </c>
      <c r="AB780" s="6" t="s">
        <v>42</v>
      </c>
    </row>
    <row r="781" spans="1:28">
      <c r="A781" s="9">
        <v>774</v>
      </c>
      <c r="B781" s="9" t="s">
        <v>1073</v>
      </c>
      <c r="C781" s="9" t="s">
        <v>953</v>
      </c>
      <c r="D781" s="9" t="s">
        <v>652</v>
      </c>
      <c r="E781" s="9" t="s">
        <v>33</v>
      </c>
      <c r="F781" s="7" t="s">
        <v>50</v>
      </c>
      <c r="G781" s="7" t="s">
        <v>35</v>
      </c>
      <c r="H781" s="7" t="s">
        <v>36</v>
      </c>
      <c r="I781" s="9">
        <v>170</v>
      </c>
      <c r="J781" s="9" t="s">
        <v>642</v>
      </c>
      <c r="K781" s="9" t="s">
        <v>53</v>
      </c>
      <c r="L781" s="11">
        <v>2</v>
      </c>
      <c r="M781" s="14">
        <v>7000.0</v>
      </c>
      <c r="N781" s="14"/>
      <c r="O781" s="16">
        <f>IF(M781&gt;0, N781/M781, 0)</f>
        <v>0</v>
      </c>
      <c r="P781" s="14">
        <f>M781-N781</f>
        <v>7000</v>
      </c>
      <c r="Q781" s="14">
        <f>L781*M781</f>
        <v>14000</v>
      </c>
      <c r="R781" s="14">
        <f>L781*N781</f>
        <v>0</v>
      </c>
      <c r="S781" s="14">
        <f>L781*P781</f>
        <v>14000</v>
      </c>
      <c r="T781" s="14"/>
      <c r="U781" s="14">
        <f>L781*T781</f>
        <v>0</v>
      </c>
      <c r="V781" s="14">
        <f>S781-U781</f>
        <v>14000</v>
      </c>
      <c r="W781" s="16">
        <f>IF(S781&gt;0, V781/S781, 0)</f>
        <v>1</v>
      </c>
      <c r="X781" s="7" t="s">
        <v>39</v>
      </c>
      <c r="Y781" s="9" t="s">
        <v>40</v>
      </c>
      <c r="Z781" s="9" t="s">
        <v>41</v>
      </c>
      <c r="AA781" s="9" t="s">
        <v>42</v>
      </c>
      <c r="AB781" s="7" t="s">
        <v>42</v>
      </c>
    </row>
    <row r="782" spans="1:28">
      <c r="A782" s="8">
        <v>775</v>
      </c>
      <c r="B782" s="8" t="s">
        <v>1074</v>
      </c>
      <c r="C782" s="8" t="s">
        <v>953</v>
      </c>
      <c r="D782" s="8" t="s">
        <v>652</v>
      </c>
      <c r="E782" s="8" t="s">
        <v>33</v>
      </c>
      <c r="F782" s="6" t="s">
        <v>50</v>
      </c>
      <c r="G782" s="6" t="s">
        <v>35</v>
      </c>
      <c r="H782" s="6" t="s">
        <v>36</v>
      </c>
      <c r="I782" s="8">
        <v>146</v>
      </c>
      <c r="J782" s="8" t="s">
        <v>257</v>
      </c>
      <c r="K782" s="8" t="s">
        <v>53</v>
      </c>
      <c r="L782" s="10">
        <v>2</v>
      </c>
      <c r="M782" s="13">
        <v>7000.0</v>
      </c>
      <c r="N782" s="13"/>
      <c r="O782" s="15">
        <f>IF(M782&gt;0, N782/M782, 0)</f>
        <v>0</v>
      </c>
      <c r="P782" s="13">
        <f>M782-N782</f>
        <v>7000</v>
      </c>
      <c r="Q782" s="13">
        <f>L782*M782</f>
        <v>14000</v>
      </c>
      <c r="R782" s="13">
        <f>L782*N782</f>
        <v>0</v>
      </c>
      <c r="S782" s="13">
        <f>L782*P782</f>
        <v>14000</v>
      </c>
      <c r="T782" s="13"/>
      <c r="U782" s="13">
        <f>L782*T782</f>
        <v>0</v>
      </c>
      <c r="V782" s="13">
        <f>S782-U782</f>
        <v>14000</v>
      </c>
      <c r="W782" s="15">
        <f>IF(S782&gt;0, V782/S782, 0)</f>
        <v>1</v>
      </c>
      <c r="X782" s="6" t="s">
        <v>39</v>
      </c>
      <c r="Y782" s="8" t="s">
        <v>40</v>
      </c>
      <c r="Z782" s="8" t="s">
        <v>41</v>
      </c>
      <c r="AA782" s="8" t="s">
        <v>42</v>
      </c>
      <c r="AB782" s="6" t="s">
        <v>42</v>
      </c>
    </row>
    <row r="783" spans="1:28">
      <c r="A783" s="9">
        <v>776</v>
      </c>
      <c r="B783" s="9" t="s">
        <v>1075</v>
      </c>
      <c r="C783" s="9" t="s">
        <v>953</v>
      </c>
      <c r="D783" s="9" t="s">
        <v>652</v>
      </c>
      <c r="E783" s="9" t="s">
        <v>33</v>
      </c>
      <c r="F783" s="7" t="s">
        <v>34</v>
      </c>
      <c r="G783" s="7" t="s">
        <v>45</v>
      </c>
      <c r="H783" s="7" t="s">
        <v>46</v>
      </c>
      <c r="I783" s="9">
        <v>176</v>
      </c>
      <c r="J783" s="9" t="s">
        <v>424</v>
      </c>
      <c r="K783" s="9" t="s">
        <v>38</v>
      </c>
      <c r="L783" s="11">
        <v>1</v>
      </c>
      <c r="M783" s="14">
        <v>18000.0</v>
      </c>
      <c r="N783" s="14"/>
      <c r="O783" s="16">
        <f>IF(M783&gt;0, N783/M783, 0)</f>
        <v>0</v>
      </c>
      <c r="P783" s="14">
        <f>M783-N783</f>
        <v>18000</v>
      </c>
      <c r="Q783" s="14">
        <f>L783*M783</f>
        <v>18000</v>
      </c>
      <c r="R783" s="14">
        <f>L783*N783</f>
        <v>0</v>
      </c>
      <c r="S783" s="14">
        <f>L783*P783</f>
        <v>18000</v>
      </c>
      <c r="T783" s="14"/>
      <c r="U783" s="14">
        <f>L783*T783</f>
        <v>0</v>
      </c>
      <c r="V783" s="14">
        <f>S783-U783</f>
        <v>18000</v>
      </c>
      <c r="W783" s="16">
        <f>IF(S783&gt;0, V783/S783, 0)</f>
        <v>1</v>
      </c>
      <c r="X783" s="7" t="s">
        <v>39</v>
      </c>
      <c r="Y783" s="9" t="s">
        <v>40</v>
      </c>
      <c r="Z783" s="9" t="s">
        <v>41</v>
      </c>
      <c r="AA783" s="9" t="s">
        <v>42</v>
      </c>
      <c r="AB783" s="7" t="s">
        <v>42</v>
      </c>
    </row>
    <row r="784" spans="1:28">
      <c r="A784" s="8">
        <v>777</v>
      </c>
      <c r="B784" s="8" t="s">
        <v>1076</v>
      </c>
      <c r="C784" s="8" t="s">
        <v>953</v>
      </c>
      <c r="D784" s="8" t="s">
        <v>652</v>
      </c>
      <c r="E784" s="8" t="s">
        <v>33</v>
      </c>
      <c r="F784" s="6" t="s">
        <v>34</v>
      </c>
      <c r="G784" s="6" t="s">
        <v>51</v>
      </c>
      <c r="H784" s="6" t="s">
        <v>51</v>
      </c>
      <c r="I784" s="8">
        <v>176</v>
      </c>
      <c r="J784" s="8" t="s">
        <v>418</v>
      </c>
      <c r="K784" s="8" t="s">
        <v>38</v>
      </c>
      <c r="L784" s="10">
        <v>1</v>
      </c>
      <c r="M784" s="13">
        <v>8500.0</v>
      </c>
      <c r="N784" s="13"/>
      <c r="O784" s="15">
        <f>IF(M784&gt;0, N784/M784, 0)</f>
        <v>0</v>
      </c>
      <c r="P784" s="13">
        <f>M784-N784</f>
        <v>8500</v>
      </c>
      <c r="Q784" s="13">
        <f>L784*M784</f>
        <v>8500</v>
      </c>
      <c r="R784" s="13">
        <f>L784*N784</f>
        <v>0</v>
      </c>
      <c r="S784" s="13">
        <f>L784*P784</f>
        <v>8500</v>
      </c>
      <c r="T784" s="13"/>
      <c r="U784" s="13">
        <f>L784*T784</f>
        <v>0</v>
      </c>
      <c r="V784" s="13">
        <f>S784-U784</f>
        <v>8500</v>
      </c>
      <c r="W784" s="15">
        <f>IF(S784&gt;0, V784/S784, 0)</f>
        <v>1</v>
      </c>
      <c r="X784" s="6" t="s">
        <v>39</v>
      </c>
      <c r="Y784" s="8" t="s">
        <v>40</v>
      </c>
      <c r="Z784" s="8" t="s">
        <v>41</v>
      </c>
      <c r="AA784" s="8" t="s">
        <v>42</v>
      </c>
      <c r="AB784" s="6" t="s">
        <v>42</v>
      </c>
    </row>
    <row r="785" spans="1:28">
      <c r="A785" s="9">
        <v>778</v>
      </c>
      <c r="B785" s="9" t="s">
        <v>1077</v>
      </c>
      <c r="C785" s="9" t="s">
        <v>953</v>
      </c>
      <c r="D785" s="9" t="s">
        <v>652</v>
      </c>
      <c r="E785" s="9" t="s">
        <v>33</v>
      </c>
      <c r="F785" s="7" t="s">
        <v>34</v>
      </c>
      <c r="G785" s="7" t="s">
        <v>35</v>
      </c>
      <c r="H785" s="7" t="s">
        <v>36</v>
      </c>
      <c r="I785" s="9">
        <v>176</v>
      </c>
      <c r="J785" s="9" t="s">
        <v>352</v>
      </c>
      <c r="K785" s="9" t="s">
        <v>38</v>
      </c>
      <c r="L785" s="11">
        <v>2</v>
      </c>
      <c r="M785" s="14">
        <v>8000.0</v>
      </c>
      <c r="N785" s="14"/>
      <c r="O785" s="16">
        <f>IF(M785&gt;0, N785/M785, 0)</f>
        <v>0</v>
      </c>
      <c r="P785" s="14">
        <f>M785-N785</f>
        <v>8000</v>
      </c>
      <c r="Q785" s="14">
        <f>L785*M785</f>
        <v>16000</v>
      </c>
      <c r="R785" s="14">
        <f>L785*N785</f>
        <v>0</v>
      </c>
      <c r="S785" s="14">
        <f>L785*P785</f>
        <v>16000</v>
      </c>
      <c r="T785" s="14"/>
      <c r="U785" s="14">
        <f>L785*T785</f>
        <v>0</v>
      </c>
      <c r="V785" s="14">
        <f>S785-U785</f>
        <v>16000</v>
      </c>
      <c r="W785" s="16">
        <f>IF(S785&gt;0, V785/S785, 0)</f>
        <v>1</v>
      </c>
      <c r="X785" s="7" t="s">
        <v>39</v>
      </c>
      <c r="Y785" s="9" t="s">
        <v>40</v>
      </c>
      <c r="Z785" s="9" t="s">
        <v>41</v>
      </c>
      <c r="AA785" s="9" t="s">
        <v>42</v>
      </c>
      <c r="AB785" s="7" t="s">
        <v>42</v>
      </c>
    </row>
    <row r="786" spans="1:28">
      <c r="A786" s="8">
        <v>779</v>
      </c>
      <c r="B786" s="8" t="s">
        <v>1078</v>
      </c>
      <c r="C786" s="8" t="s">
        <v>953</v>
      </c>
      <c r="D786" s="8" t="s">
        <v>652</v>
      </c>
      <c r="E786" s="8" t="s">
        <v>33</v>
      </c>
      <c r="F786" s="6" t="s">
        <v>34</v>
      </c>
      <c r="G786" s="6" t="s">
        <v>35</v>
      </c>
      <c r="H786" s="6" t="s">
        <v>36</v>
      </c>
      <c r="I786" s="8">
        <v>170</v>
      </c>
      <c r="J786" s="8" t="s">
        <v>142</v>
      </c>
      <c r="K786" s="8" t="s">
        <v>38</v>
      </c>
      <c r="L786" s="10">
        <v>4</v>
      </c>
      <c r="M786" s="13">
        <v>8000.0</v>
      </c>
      <c r="N786" s="13"/>
      <c r="O786" s="15">
        <f>IF(M786&gt;0, N786/M786, 0)</f>
        <v>0</v>
      </c>
      <c r="P786" s="13">
        <f>M786-N786</f>
        <v>8000</v>
      </c>
      <c r="Q786" s="13">
        <f>L786*M786</f>
        <v>32000</v>
      </c>
      <c r="R786" s="13">
        <f>L786*N786</f>
        <v>0</v>
      </c>
      <c r="S786" s="13">
        <f>L786*P786</f>
        <v>32000</v>
      </c>
      <c r="T786" s="13"/>
      <c r="U786" s="13">
        <f>L786*T786</f>
        <v>0</v>
      </c>
      <c r="V786" s="13">
        <f>S786-U786</f>
        <v>32000</v>
      </c>
      <c r="W786" s="15">
        <f>IF(S786&gt;0, V786/S786, 0)</f>
        <v>1</v>
      </c>
      <c r="X786" s="6" t="s">
        <v>39</v>
      </c>
      <c r="Y786" s="8" t="s">
        <v>40</v>
      </c>
      <c r="Z786" s="8" t="s">
        <v>41</v>
      </c>
      <c r="AA786" s="8" t="s">
        <v>42</v>
      </c>
      <c r="AB786" s="6" t="s">
        <v>42</v>
      </c>
    </row>
    <row r="787" spans="1:28">
      <c r="A787" s="9">
        <v>780</v>
      </c>
      <c r="B787" s="9" t="s">
        <v>1079</v>
      </c>
      <c r="C787" s="9" t="s">
        <v>1080</v>
      </c>
      <c r="D787" s="9" t="s">
        <v>652</v>
      </c>
      <c r="E787" s="9" t="s">
        <v>68</v>
      </c>
      <c r="F787" s="7" t="s">
        <v>50</v>
      </c>
      <c r="G787" s="7" t="s">
        <v>69</v>
      </c>
      <c r="H787" s="7" t="s">
        <v>69</v>
      </c>
      <c r="I787" s="9">
        <v>146</v>
      </c>
      <c r="J787" s="9" t="s">
        <v>382</v>
      </c>
      <c r="K787" s="9" t="s">
        <v>38</v>
      </c>
      <c r="L787" s="11">
        <v>1</v>
      </c>
      <c r="M787" s="14">
        <v>18000.0</v>
      </c>
      <c r="N787" s="14"/>
      <c r="O787" s="16">
        <f>IF(M787&gt;0, N787/M787, 0)</f>
        <v>0</v>
      </c>
      <c r="P787" s="14">
        <f>M787-N787</f>
        <v>18000</v>
      </c>
      <c r="Q787" s="14">
        <f>L787*M787</f>
        <v>18000</v>
      </c>
      <c r="R787" s="14">
        <f>L787*N787</f>
        <v>0</v>
      </c>
      <c r="S787" s="14">
        <f>L787*P787</f>
        <v>18000</v>
      </c>
      <c r="T787" s="14"/>
      <c r="U787" s="14">
        <f>L787*T787</f>
        <v>0</v>
      </c>
      <c r="V787" s="14">
        <f>S787-U787</f>
        <v>18000</v>
      </c>
      <c r="W787" s="16">
        <f>IF(S787&gt;0, V787/S787, 0)</f>
        <v>1</v>
      </c>
      <c r="X787" s="7" t="s">
        <v>39</v>
      </c>
      <c r="Y787" s="9" t="s">
        <v>40</v>
      </c>
      <c r="Z787" s="9" t="s">
        <v>71</v>
      </c>
      <c r="AA787" s="9" t="s">
        <v>42</v>
      </c>
      <c r="AB787" s="7" t="s">
        <v>42</v>
      </c>
    </row>
    <row r="788" spans="1:28">
      <c r="A788" s="8">
        <v>781</v>
      </c>
      <c r="B788" s="8" t="s">
        <v>1081</v>
      </c>
      <c r="C788" s="8" t="s">
        <v>1080</v>
      </c>
      <c r="D788" s="8" t="s">
        <v>652</v>
      </c>
      <c r="E788" s="8" t="s">
        <v>33</v>
      </c>
      <c r="F788" s="6" t="s">
        <v>50</v>
      </c>
      <c r="G788" s="6" t="s">
        <v>69</v>
      </c>
      <c r="H788" s="6" t="s">
        <v>69</v>
      </c>
      <c r="I788" s="8">
        <v>140</v>
      </c>
      <c r="J788" s="8" t="s">
        <v>225</v>
      </c>
      <c r="K788" s="8" t="s">
        <v>38</v>
      </c>
      <c r="L788" s="10">
        <v>1</v>
      </c>
      <c r="M788" s="13">
        <v>16000.0</v>
      </c>
      <c r="N788" s="13"/>
      <c r="O788" s="15">
        <f>IF(M788&gt;0, N788/M788, 0)</f>
        <v>0</v>
      </c>
      <c r="P788" s="13">
        <f>M788-N788</f>
        <v>16000</v>
      </c>
      <c r="Q788" s="13">
        <f>L788*M788</f>
        <v>16000</v>
      </c>
      <c r="R788" s="13">
        <f>L788*N788</f>
        <v>0</v>
      </c>
      <c r="S788" s="13">
        <f>L788*P788</f>
        <v>16000</v>
      </c>
      <c r="T788" s="13"/>
      <c r="U788" s="13">
        <f>L788*T788</f>
        <v>0</v>
      </c>
      <c r="V788" s="13">
        <f>S788-U788</f>
        <v>16000</v>
      </c>
      <c r="W788" s="15">
        <f>IF(S788&gt;0, V788/S788, 0)</f>
        <v>1</v>
      </c>
      <c r="X788" s="6" t="s">
        <v>39</v>
      </c>
      <c r="Y788" s="8" t="s">
        <v>40</v>
      </c>
      <c r="Z788" s="8" t="s">
        <v>41</v>
      </c>
      <c r="AA788" s="8" t="s">
        <v>42</v>
      </c>
      <c r="AB788" s="6" t="s">
        <v>42</v>
      </c>
    </row>
    <row r="789" spans="1:28">
      <c r="A789" s="9">
        <v>782</v>
      </c>
      <c r="B789" s="9" t="s">
        <v>1082</v>
      </c>
      <c r="C789" s="9" t="s">
        <v>1080</v>
      </c>
      <c r="D789" s="9" t="s">
        <v>652</v>
      </c>
      <c r="E789" s="9" t="s">
        <v>33</v>
      </c>
      <c r="F789" s="7" t="s">
        <v>50</v>
      </c>
      <c r="G789" s="7" t="s">
        <v>69</v>
      </c>
      <c r="H789" s="7" t="s">
        <v>69</v>
      </c>
      <c r="I789" s="9">
        <v>134</v>
      </c>
      <c r="J789" s="9" t="s">
        <v>209</v>
      </c>
      <c r="K789" s="9" t="s">
        <v>38</v>
      </c>
      <c r="L789" s="11">
        <v>1</v>
      </c>
      <c r="M789" s="14">
        <v>16000.0</v>
      </c>
      <c r="N789" s="14"/>
      <c r="O789" s="16">
        <f>IF(M789&gt;0, N789/M789, 0)</f>
        <v>0</v>
      </c>
      <c r="P789" s="14">
        <f>M789-N789</f>
        <v>16000</v>
      </c>
      <c r="Q789" s="14">
        <f>L789*M789</f>
        <v>16000</v>
      </c>
      <c r="R789" s="14">
        <f>L789*N789</f>
        <v>0</v>
      </c>
      <c r="S789" s="14">
        <f>L789*P789</f>
        <v>16000</v>
      </c>
      <c r="T789" s="14"/>
      <c r="U789" s="14">
        <f>L789*T789</f>
        <v>0</v>
      </c>
      <c r="V789" s="14">
        <f>S789-U789</f>
        <v>16000</v>
      </c>
      <c r="W789" s="16">
        <f>IF(S789&gt;0, V789/S789, 0)</f>
        <v>1</v>
      </c>
      <c r="X789" s="7" t="s">
        <v>39</v>
      </c>
      <c r="Y789" s="9" t="s">
        <v>40</v>
      </c>
      <c r="Z789" s="9" t="s">
        <v>41</v>
      </c>
      <c r="AA789" s="9" t="s">
        <v>42</v>
      </c>
      <c r="AB789" s="7" t="s">
        <v>42</v>
      </c>
    </row>
    <row r="790" spans="1:28">
      <c r="A790" s="8">
        <v>783</v>
      </c>
      <c r="B790" s="8" t="s">
        <v>1083</v>
      </c>
      <c r="C790" s="8" t="s">
        <v>1080</v>
      </c>
      <c r="D790" s="8" t="s">
        <v>652</v>
      </c>
      <c r="E790" s="8" t="s">
        <v>33</v>
      </c>
      <c r="F790" s="6" t="s">
        <v>50</v>
      </c>
      <c r="G790" s="6" t="s">
        <v>35</v>
      </c>
      <c r="H790" s="6" t="s">
        <v>36</v>
      </c>
      <c r="I790" s="8">
        <v>134</v>
      </c>
      <c r="J790" s="8" t="s">
        <v>177</v>
      </c>
      <c r="K790" s="8" t="s">
        <v>53</v>
      </c>
      <c r="L790" s="10">
        <v>2</v>
      </c>
      <c r="M790" s="13">
        <v>7000.0</v>
      </c>
      <c r="N790" s="13"/>
      <c r="O790" s="15">
        <f>IF(M790&gt;0, N790/M790, 0)</f>
        <v>0</v>
      </c>
      <c r="P790" s="13">
        <f>M790-N790</f>
        <v>7000</v>
      </c>
      <c r="Q790" s="13">
        <f>L790*M790</f>
        <v>14000</v>
      </c>
      <c r="R790" s="13">
        <f>L790*N790</f>
        <v>0</v>
      </c>
      <c r="S790" s="13">
        <f>L790*P790</f>
        <v>14000</v>
      </c>
      <c r="T790" s="13"/>
      <c r="U790" s="13">
        <f>L790*T790</f>
        <v>0</v>
      </c>
      <c r="V790" s="13">
        <f>S790-U790</f>
        <v>14000</v>
      </c>
      <c r="W790" s="15">
        <f>IF(S790&gt;0, V790/S790, 0)</f>
        <v>1</v>
      </c>
      <c r="X790" s="6" t="s">
        <v>39</v>
      </c>
      <c r="Y790" s="8" t="s">
        <v>40</v>
      </c>
      <c r="Z790" s="8" t="s">
        <v>41</v>
      </c>
      <c r="AA790" s="8" t="s">
        <v>42</v>
      </c>
      <c r="AB790" s="6" t="s">
        <v>42</v>
      </c>
    </row>
    <row r="791" spans="1:28">
      <c r="A791" s="9">
        <v>784</v>
      </c>
      <c r="B791" s="9" t="s">
        <v>1084</v>
      </c>
      <c r="C791" s="9" t="s">
        <v>1080</v>
      </c>
      <c r="D791" s="9" t="s">
        <v>652</v>
      </c>
      <c r="E791" s="9" t="s">
        <v>33</v>
      </c>
      <c r="F791" s="7" t="s">
        <v>34</v>
      </c>
      <c r="G791" s="7" t="s">
        <v>35</v>
      </c>
      <c r="H791" s="7" t="s">
        <v>36</v>
      </c>
      <c r="I791" s="9">
        <v>170</v>
      </c>
      <c r="J791" s="9" t="s">
        <v>142</v>
      </c>
      <c r="K791" s="9" t="s">
        <v>38</v>
      </c>
      <c r="L791" s="11">
        <v>4</v>
      </c>
      <c r="M791" s="14">
        <v>8000.0</v>
      </c>
      <c r="N791" s="14"/>
      <c r="O791" s="16">
        <f>IF(M791&gt;0, N791/M791, 0)</f>
        <v>0</v>
      </c>
      <c r="P791" s="14">
        <f>M791-N791</f>
        <v>8000</v>
      </c>
      <c r="Q791" s="14">
        <f>L791*M791</f>
        <v>32000</v>
      </c>
      <c r="R791" s="14">
        <f>L791*N791</f>
        <v>0</v>
      </c>
      <c r="S791" s="14">
        <f>L791*P791</f>
        <v>32000</v>
      </c>
      <c r="T791" s="14"/>
      <c r="U791" s="14">
        <f>L791*T791</f>
        <v>0</v>
      </c>
      <c r="V791" s="14">
        <f>S791-U791</f>
        <v>32000</v>
      </c>
      <c r="W791" s="16">
        <f>IF(S791&gt;0, V791/S791, 0)</f>
        <v>1</v>
      </c>
      <c r="X791" s="7" t="s">
        <v>39</v>
      </c>
      <c r="Y791" s="9" t="s">
        <v>40</v>
      </c>
      <c r="Z791" s="9" t="s">
        <v>41</v>
      </c>
      <c r="AA791" s="9" t="s">
        <v>42</v>
      </c>
      <c r="AB791" s="7" t="s">
        <v>42</v>
      </c>
    </row>
    <row r="792" spans="1:28">
      <c r="A792" s="8">
        <v>785</v>
      </c>
      <c r="B792" s="8" t="s">
        <v>1085</v>
      </c>
      <c r="C792" s="8" t="s">
        <v>1080</v>
      </c>
      <c r="D792" s="8" t="s">
        <v>652</v>
      </c>
      <c r="E792" s="8" t="s">
        <v>33</v>
      </c>
      <c r="F792" s="6" t="s">
        <v>34</v>
      </c>
      <c r="G792" s="6" t="s">
        <v>63</v>
      </c>
      <c r="H792" s="6" t="s">
        <v>148</v>
      </c>
      <c r="I792" s="8">
        <v>170</v>
      </c>
      <c r="J792" s="8" t="s">
        <v>149</v>
      </c>
      <c r="K792" s="8" t="s">
        <v>38</v>
      </c>
      <c r="L792" s="10">
        <v>2</v>
      </c>
      <c r="M792" s="13">
        <v>9500.0</v>
      </c>
      <c r="N792" s="13"/>
      <c r="O792" s="15">
        <f>IF(M792&gt;0, N792/M792, 0)</f>
        <v>0</v>
      </c>
      <c r="P792" s="13">
        <f>M792-N792</f>
        <v>9500</v>
      </c>
      <c r="Q792" s="13">
        <f>L792*M792</f>
        <v>19000</v>
      </c>
      <c r="R792" s="13">
        <f>L792*N792</f>
        <v>0</v>
      </c>
      <c r="S792" s="13">
        <f>L792*P792</f>
        <v>19000</v>
      </c>
      <c r="T792" s="13"/>
      <c r="U792" s="13">
        <f>L792*T792</f>
        <v>0</v>
      </c>
      <c r="V792" s="13">
        <f>S792-U792</f>
        <v>19000</v>
      </c>
      <c r="W792" s="15">
        <f>IF(S792&gt;0, V792/S792, 0)</f>
        <v>1</v>
      </c>
      <c r="X792" s="6" t="s">
        <v>39</v>
      </c>
      <c r="Y792" s="8" t="s">
        <v>40</v>
      </c>
      <c r="Z792" s="8" t="s">
        <v>41</v>
      </c>
      <c r="AA792" s="8" t="s">
        <v>42</v>
      </c>
      <c r="AB792" s="6" t="s">
        <v>42</v>
      </c>
    </row>
    <row r="793" spans="1:28">
      <c r="A793" s="9">
        <v>786</v>
      </c>
      <c r="B793" s="9" t="s">
        <v>1086</v>
      </c>
      <c r="C793" s="9" t="s">
        <v>1080</v>
      </c>
      <c r="D793" s="9" t="s">
        <v>652</v>
      </c>
      <c r="E793" s="9" t="s">
        <v>33</v>
      </c>
      <c r="F793" s="7" t="s">
        <v>50</v>
      </c>
      <c r="G793" s="7" t="s">
        <v>51</v>
      </c>
      <c r="H793" s="7" t="s">
        <v>51</v>
      </c>
      <c r="I793" s="9">
        <v>146</v>
      </c>
      <c r="J793" s="9" t="s">
        <v>254</v>
      </c>
      <c r="K793" s="9" t="s">
        <v>53</v>
      </c>
      <c r="L793" s="11">
        <v>1</v>
      </c>
      <c r="M793" s="14">
        <v>8000.0</v>
      </c>
      <c r="N793" s="14"/>
      <c r="O793" s="16">
        <f>IF(M793&gt;0, N793/M793, 0)</f>
        <v>0</v>
      </c>
      <c r="P793" s="14">
        <f>M793-N793</f>
        <v>8000</v>
      </c>
      <c r="Q793" s="14">
        <f>L793*M793</f>
        <v>8000</v>
      </c>
      <c r="R793" s="14">
        <f>L793*N793</f>
        <v>0</v>
      </c>
      <c r="S793" s="14">
        <f>L793*P793</f>
        <v>8000</v>
      </c>
      <c r="T793" s="14"/>
      <c r="U793" s="14">
        <f>L793*T793</f>
        <v>0</v>
      </c>
      <c r="V793" s="14">
        <f>S793-U793</f>
        <v>8000</v>
      </c>
      <c r="W793" s="16">
        <f>IF(S793&gt;0, V793/S793, 0)</f>
        <v>1</v>
      </c>
      <c r="X793" s="7" t="s">
        <v>39</v>
      </c>
      <c r="Y793" s="9" t="s">
        <v>40</v>
      </c>
      <c r="Z793" s="9" t="s">
        <v>41</v>
      </c>
      <c r="AA793" s="9" t="s">
        <v>42</v>
      </c>
      <c r="AB793" s="7" t="s">
        <v>42</v>
      </c>
    </row>
    <row r="794" spans="1:28">
      <c r="A794" s="8">
        <v>787</v>
      </c>
      <c r="B794" s="8" t="s">
        <v>1087</v>
      </c>
      <c r="C794" s="8" t="s">
        <v>1080</v>
      </c>
      <c r="D794" s="8" t="s">
        <v>652</v>
      </c>
      <c r="E794" s="8" t="s">
        <v>68</v>
      </c>
      <c r="F794" s="6" t="s">
        <v>50</v>
      </c>
      <c r="G794" s="6" t="s">
        <v>56</v>
      </c>
      <c r="H794" s="6" t="s">
        <v>56</v>
      </c>
      <c r="I794" s="8">
        <v>146</v>
      </c>
      <c r="J794" s="8" t="s">
        <v>751</v>
      </c>
      <c r="K794" s="8" t="s">
        <v>38</v>
      </c>
      <c r="L794" s="10">
        <v>1</v>
      </c>
      <c r="M794" s="13">
        <v>8000.0</v>
      </c>
      <c r="N794" s="13"/>
      <c r="O794" s="15">
        <f>IF(M794&gt;0, N794/M794, 0)</f>
        <v>0</v>
      </c>
      <c r="P794" s="13">
        <f>M794-N794</f>
        <v>8000</v>
      </c>
      <c r="Q794" s="13">
        <f>L794*M794</f>
        <v>8000</v>
      </c>
      <c r="R794" s="13">
        <f>L794*N794</f>
        <v>0</v>
      </c>
      <c r="S794" s="13">
        <f>L794*P794</f>
        <v>8000</v>
      </c>
      <c r="T794" s="13"/>
      <c r="U794" s="13">
        <f>L794*T794</f>
        <v>0</v>
      </c>
      <c r="V794" s="13">
        <f>S794-U794</f>
        <v>8000</v>
      </c>
      <c r="W794" s="15">
        <f>IF(S794&gt;0, V794/S794, 0)</f>
        <v>1</v>
      </c>
      <c r="X794" s="6" t="s">
        <v>39</v>
      </c>
      <c r="Y794" s="8" t="s">
        <v>40</v>
      </c>
      <c r="Z794" s="8" t="s">
        <v>71</v>
      </c>
      <c r="AA794" s="8" t="s">
        <v>42</v>
      </c>
      <c r="AB794" s="6" t="s">
        <v>42</v>
      </c>
    </row>
    <row r="795" spans="1:28">
      <c r="A795" s="9">
        <v>788</v>
      </c>
      <c r="B795" s="9" t="s">
        <v>1088</v>
      </c>
      <c r="C795" s="9" t="s">
        <v>1080</v>
      </c>
      <c r="D795" s="9" t="s">
        <v>652</v>
      </c>
      <c r="E795" s="9" t="s">
        <v>68</v>
      </c>
      <c r="F795" s="7" t="s">
        <v>50</v>
      </c>
      <c r="G795" s="7" t="s">
        <v>63</v>
      </c>
      <c r="H795" s="7" t="s">
        <v>148</v>
      </c>
      <c r="I795" s="9">
        <v>146</v>
      </c>
      <c r="J795" s="9" t="s">
        <v>167</v>
      </c>
      <c r="K795" s="9" t="s">
        <v>38</v>
      </c>
      <c r="L795" s="11">
        <v>1</v>
      </c>
      <c r="M795" s="14">
        <v>10000.0</v>
      </c>
      <c r="N795" s="14"/>
      <c r="O795" s="16">
        <f>IF(M795&gt;0, N795/M795, 0)</f>
        <v>0</v>
      </c>
      <c r="P795" s="14">
        <f>M795-N795</f>
        <v>10000</v>
      </c>
      <c r="Q795" s="14">
        <f>L795*M795</f>
        <v>10000</v>
      </c>
      <c r="R795" s="14">
        <f>L795*N795</f>
        <v>0</v>
      </c>
      <c r="S795" s="14">
        <f>L795*P795</f>
        <v>10000</v>
      </c>
      <c r="T795" s="14"/>
      <c r="U795" s="14">
        <f>L795*T795</f>
        <v>0</v>
      </c>
      <c r="V795" s="14">
        <f>S795-U795</f>
        <v>10000</v>
      </c>
      <c r="W795" s="16">
        <f>IF(S795&gt;0, V795/S795, 0)</f>
        <v>1</v>
      </c>
      <c r="X795" s="7" t="s">
        <v>39</v>
      </c>
      <c r="Y795" s="9" t="s">
        <v>40</v>
      </c>
      <c r="Z795" s="9" t="s">
        <v>71</v>
      </c>
      <c r="AA795" s="9" t="s">
        <v>42</v>
      </c>
      <c r="AB795" s="7" t="s">
        <v>42</v>
      </c>
    </row>
    <row r="796" spans="1:28">
      <c r="A796" s="8">
        <v>789</v>
      </c>
      <c r="B796" s="8" t="s">
        <v>1089</v>
      </c>
      <c r="C796" s="8" t="s">
        <v>1080</v>
      </c>
      <c r="D796" s="8" t="s">
        <v>652</v>
      </c>
      <c r="E796" s="8" t="s">
        <v>33</v>
      </c>
      <c r="F796" s="6" t="s">
        <v>50</v>
      </c>
      <c r="G796" s="6" t="s">
        <v>69</v>
      </c>
      <c r="H796" s="6" t="s">
        <v>69</v>
      </c>
      <c r="I796" s="8">
        <v>152</v>
      </c>
      <c r="J796" s="8" t="s">
        <v>350</v>
      </c>
      <c r="K796" s="8" t="s">
        <v>38</v>
      </c>
      <c r="L796" s="10">
        <v>1</v>
      </c>
      <c r="M796" s="13">
        <v>16000.0</v>
      </c>
      <c r="N796" s="13"/>
      <c r="O796" s="15">
        <f>IF(M796&gt;0, N796/M796, 0)</f>
        <v>0</v>
      </c>
      <c r="P796" s="13">
        <f>M796-N796</f>
        <v>16000</v>
      </c>
      <c r="Q796" s="13">
        <f>L796*M796</f>
        <v>16000</v>
      </c>
      <c r="R796" s="13">
        <f>L796*N796</f>
        <v>0</v>
      </c>
      <c r="S796" s="13">
        <f>L796*P796</f>
        <v>16000</v>
      </c>
      <c r="T796" s="13"/>
      <c r="U796" s="13">
        <f>L796*T796</f>
        <v>0</v>
      </c>
      <c r="V796" s="13">
        <f>S796-U796</f>
        <v>16000</v>
      </c>
      <c r="W796" s="15">
        <f>IF(S796&gt;0, V796/S796, 0)</f>
        <v>1</v>
      </c>
      <c r="X796" s="6" t="s">
        <v>39</v>
      </c>
      <c r="Y796" s="8" t="s">
        <v>40</v>
      </c>
      <c r="Z796" s="8" t="s">
        <v>41</v>
      </c>
      <c r="AA796" s="8" t="s">
        <v>42</v>
      </c>
      <c r="AB796" s="6" t="s">
        <v>42</v>
      </c>
    </row>
    <row r="797" spans="1:28">
      <c r="A797" s="9">
        <v>790</v>
      </c>
      <c r="B797" s="9" t="s">
        <v>1090</v>
      </c>
      <c r="C797" s="9" t="s">
        <v>1080</v>
      </c>
      <c r="D797" s="9" t="s">
        <v>652</v>
      </c>
      <c r="E797" s="9" t="s">
        <v>33</v>
      </c>
      <c r="F797" s="7" t="s">
        <v>50</v>
      </c>
      <c r="G797" s="7" t="s">
        <v>35</v>
      </c>
      <c r="H797" s="7" t="s">
        <v>36</v>
      </c>
      <c r="I797" s="9">
        <v>146</v>
      </c>
      <c r="J797" s="9" t="s">
        <v>257</v>
      </c>
      <c r="K797" s="9" t="s">
        <v>53</v>
      </c>
      <c r="L797" s="11">
        <v>2</v>
      </c>
      <c r="M797" s="14">
        <v>7000.0</v>
      </c>
      <c r="N797" s="14"/>
      <c r="O797" s="16">
        <f>IF(M797&gt;0, N797/M797, 0)</f>
        <v>0</v>
      </c>
      <c r="P797" s="14">
        <f>M797-N797</f>
        <v>7000</v>
      </c>
      <c r="Q797" s="14">
        <f>L797*M797</f>
        <v>14000</v>
      </c>
      <c r="R797" s="14">
        <f>L797*N797</f>
        <v>0</v>
      </c>
      <c r="S797" s="14">
        <f>L797*P797</f>
        <v>14000</v>
      </c>
      <c r="T797" s="14"/>
      <c r="U797" s="14">
        <f>L797*T797</f>
        <v>0</v>
      </c>
      <c r="V797" s="14">
        <f>S797-U797</f>
        <v>14000</v>
      </c>
      <c r="W797" s="16">
        <f>IF(S797&gt;0, V797/S797, 0)</f>
        <v>1</v>
      </c>
      <c r="X797" s="7" t="s">
        <v>39</v>
      </c>
      <c r="Y797" s="9" t="s">
        <v>40</v>
      </c>
      <c r="Z797" s="9" t="s">
        <v>41</v>
      </c>
      <c r="AA797" s="9" t="s">
        <v>42</v>
      </c>
      <c r="AB797" s="7" t="s">
        <v>42</v>
      </c>
    </row>
    <row r="798" spans="1:28">
      <c r="A798" s="8">
        <v>791</v>
      </c>
      <c r="B798" s="8" t="s">
        <v>1091</v>
      </c>
      <c r="C798" s="8" t="s">
        <v>1080</v>
      </c>
      <c r="D798" s="8" t="s">
        <v>652</v>
      </c>
      <c r="E798" s="8" t="s">
        <v>33</v>
      </c>
      <c r="F798" s="6" t="s">
        <v>50</v>
      </c>
      <c r="G798" s="6" t="s">
        <v>51</v>
      </c>
      <c r="H798" s="6" t="s">
        <v>51</v>
      </c>
      <c r="I798" s="8">
        <v>146</v>
      </c>
      <c r="J798" s="8" t="s">
        <v>254</v>
      </c>
      <c r="K798" s="8" t="s">
        <v>53</v>
      </c>
      <c r="L798" s="10">
        <v>1</v>
      </c>
      <c r="M798" s="13">
        <v>8000.0</v>
      </c>
      <c r="N798" s="13"/>
      <c r="O798" s="15">
        <f>IF(M798&gt;0, N798/M798, 0)</f>
        <v>0</v>
      </c>
      <c r="P798" s="13">
        <f>M798-N798</f>
        <v>8000</v>
      </c>
      <c r="Q798" s="13">
        <f>L798*M798</f>
        <v>8000</v>
      </c>
      <c r="R798" s="13">
        <f>L798*N798</f>
        <v>0</v>
      </c>
      <c r="S798" s="13">
        <f>L798*P798</f>
        <v>8000</v>
      </c>
      <c r="T798" s="13"/>
      <c r="U798" s="13">
        <f>L798*T798</f>
        <v>0</v>
      </c>
      <c r="V798" s="13">
        <f>S798-U798</f>
        <v>8000</v>
      </c>
      <c r="W798" s="15">
        <f>IF(S798&gt;0, V798/S798, 0)</f>
        <v>1</v>
      </c>
      <c r="X798" s="6" t="s">
        <v>39</v>
      </c>
      <c r="Y798" s="8" t="s">
        <v>40</v>
      </c>
      <c r="Z798" s="8" t="s">
        <v>41</v>
      </c>
      <c r="AA798" s="8" t="s">
        <v>42</v>
      </c>
      <c r="AB798" s="6" t="s">
        <v>42</v>
      </c>
    </row>
    <row r="799" spans="1:28">
      <c r="A799" s="9">
        <v>792</v>
      </c>
      <c r="B799" s="9" t="s">
        <v>1092</v>
      </c>
      <c r="C799" s="9" t="s">
        <v>1080</v>
      </c>
      <c r="D799" s="9" t="s">
        <v>652</v>
      </c>
      <c r="E799" s="9" t="s">
        <v>33</v>
      </c>
      <c r="F799" s="7" t="s">
        <v>34</v>
      </c>
      <c r="G799" s="7" t="s">
        <v>45</v>
      </c>
      <c r="H799" s="7" t="s">
        <v>46</v>
      </c>
      <c r="I799" s="9">
        <v>152</v>
      </c>
      <c r="J799" s="9" t="s">
        <v>345</v>
      </c>
      <c r="K799" s="9" t="s">
        <v>38</v>
      </c>
      <c r="L799" s="11">
        <v>1</v>
      </c>
      <c r="M799" s="14">
        <v>18000.0</v>
      </c>
      <c r="N799" s="14"/>
      <c r="O799" s="16">
        <f>IF(M799&gt;0, N799/M799, 0)</f>
        <v>0</v>
      </c>
      <c r="P799" s="14">
        <f>M799-N799</f>
        <v>18000</v>
      </c>
      <c r="Q799" s="14">
        <f>L799*M799</f>
        <v>18000</v>
      </c>
      <c r="R799" s="14">
        <f>L799*N799</f>
        <v>0</v>
      </c>
      <c r="S799" s="14">
        <f>L799*P799</f>
        <v>18000</v>
      </c>
      <c r="T799" s="14"/>
      <c r="U799" s="14">
        <f>L799*T799</f>
        <v>0</v>
      </c>
      <c r="V799" s="14">
        <f>S799-U799</f>
        <v>18000</v>
      </c>
      <c r="W799" s="16">
        <f>IF(S799&gt;0, V799/S799, 0)</f>
        <v>1</v>
      </c>
      <c r="X799" s="7" t="s">
        <v>39</v>
      </c>
      <c r="Y799" s="9" t="s">
        <v>40</v>
      </c>
      <c r="Z799" s="9" t="s">
        <v>41</v>
      </c>
      <c r="AA799" s="9" t="s">
        <v>42</v>
      </c>
      <c r="AB799" s="7" t="s">
        <v>42</v>
      </c>
    </row>
    <row r="800" spans="1:28">
      <c r="A800" s="8">
        <v>793</v>
      </c>
      <c r="B800" s="8" t="s">
        <v>1093</v>
      </c>
      <c r="C800" s="8" t="s">
        <v>1080</v>
      </c>
      <c r="D800" s="8" t="s">
        <v>652</v>
      </c>
      <c r="E800" s="8" t="s">
        <v>33</v>
      </c>
      <c r="F800" s="6" t="s">
        <v>34</v>
      </c>
      <c r="G800" s="6" t="s">
        <v>63</v>
      </c>
      <c r="H800" s="6" t="s">
        <v>148</v>
      </c>
      <c r="I800" s="8">
        <v>170</v>
      </c>
      <c r="J800" s="8" t="s">
        <v>149</v>
      </c>
      <c r="K800" s="8" t="s">
        <v>38</v>
      </c>
      <c r="L800" s="10">
        <v>1</v>
      </c>
      <c r="M800" s="13">
        <v>9500.0</v>
      </c>
      <c r="N800" s="13"/>
      <c r="O800" s="15">
        <f>IF(M800&gt;0, N800/M800, 0)</f>
        <v>0</v>
      </c>
      <c r="P800" s="13">
        <f>M800-N800</f>
        <v>9500</v>
      </c>
      <c r="Q800" s="13">
        <f>L800*M800</f>
        <v>9500</v>
      </c>
      <c r="R800" s="13">
        <f>L800*N800</f>
        <v>0</v>
      </c>
      <c r="S800" s="13">
        <f>L800*P800</f>
        <v>9500</v>
      </c>
      <c r="T800" s="13"/>
      <c r="U800" s="13">
        <f>L800*T800</f>
        <v>0</v>
      </c>
      <c r="V800" s="13">
        <f>S800-U800</f>
        <v>9500</v>
      </c>
      <c r="W800" s="15">
        <f>IF(S800&gt;0, V800/S800, 0)</f>
        <v>1</v>
      </c>
      <c r="X800" s="6" t="s">
        <v>39</v>
      </c>
      <c r="Y800" s="8" t="s">
        <v>40</v>
      </c>
      <c r="Z800" s="8" t="s">
        <v>41</v>
      </c>
      <c r="AA800" s="8" t="s">
        <v>42</v>
      </c>
      <c r="AB800" s="6" t="s">
        <v>42</v>
      </c>
    </row>
    <row r="801" spans="1:28">
      <c r="A801" s="9">
        <v>794</v>
      </c>
      <c r="B801" s="9" t="s">
        <v>1094</v>
      </c>
      <c r="C801" s="9" t="s">
        <v>1080</v>
      </c>
      <c r="D801" s="9" t="s">
        <v>652</v>
      </c>
      <c r="E801" s="9" t="s">
        <v>33</v>
      </c>
      <c r="F801" s="7" t="s">
        <v>34</v>
      </c>
      <c r="G801" s="7" t="s">
        <v>69</v>
      </c>
      <c r="H801" s="7" t="s">
        <v>69</v>
      </c>
      <c r="I801" s="9">
        <v>176</v>
      </c>
      <c r="J801" s="9" t="s">
        <v>203</v>
      </c>
      <c r="K801" s="9" t="s">
        <v>38</v>
      </c>
      <c r="L801" s="11">
        <v>1</v>
      </c>
      <c r="M801" s="14">
        <v>16500.0</v>
      </c>
      <c r="N801" s="14"/>
      <c r="O801" s="16">
        <f>IF(M801&gt;0, N801/M801, 0)</f>
        <v>0</v>
      </c>
      <c r="P801" s="14">
        <f>M801-N801</f>
        <v>16500</v>
      </c>
      <c r="Q801" s="14">
        <f>L801*M801</f>
        <v>16500</v>
      </c>
      <c r="R801" s="14">
        <f>L801*N801</f>
        <v>0</v>
      </c>
      <c r="S801" s="14">
        <f>L801*P801</f>
        <v>16500</v>
      </c>
      <c r="T801" s="14"/>
      <c r="U801" s="14">
        <f>L801*T801</f>
        <v>0</v>
      </c>
      <c r="V801" s="14">
        <f>S801-U801</f>
        <v>16500</v>
      </c>
      <c r="W801" s="16">
        <f>IF(S801&gt;0, V801/S801, 0)</f>
        <v>1</v>
      </c>
      <c r="X801" s="7" t="s">
        <v>39</v>
      </c>
      <c r="Y801" s="9" t="s">
        <v>40</v>
      </c>
      <c r="Z801" s="9" t="s">
        <v>41</v>
      </c>
      <c r="AA801" s="9" t="s">
        <v>42</v>
      </c>
      <c r="AB801" s="7" t="s">
        <v>42</v>
      </c>
    </row>
    <row r="802" spans="1:28">
      <c r="A802" s="8">
        <v>795</v>
      </c>
      <c r="B802" s="8" t="s">
        <v>1095</v>
      </c>
      <c r="C802" s="8" t="s">
        <v>1080</v>
      </c>
      <c r="D802" s="8" t="s">
        <v>652</v>
      </c>
      <c r="E802" s="8" t="s">
        <v>33</v>
      </c>
      <c r="F802" s="6" t="s">
        <v>34</v>
      </c>
      <c r="G802" s="6" t="s">
        <v>35</v>
      </c>
      <c r="H802" s="6" t="s">
        <v>36</v>
      </c>
      <c r="I802" s="8">
        <v>176</v>
      </c>
      <c r="J802" s="8" t="s">
        <v>352</v>
      </c>
      <c r="K802" s="8" t="s">
        <v>38</v>
      </c>
      <c r="L802" s="10">
        <v>2</v>
      </c>
      <c r="M802" s="13">
        <v>8000.0</v>
      </c>
      <c r="N802" s="13"/>
      <c r="O802" s="15">
        <f>IF(M802&gt;0, N802/M802, 0)</f>
        <v>0</v>
      </c>
      <c r="P802" s="13">
        <f>M802-N802</f>
        <v>8000</v>
      </c>
      <c r="Q802" s="13">
        <f>L802*M802</f>
        <v>16000</v>
      </c>
      <c r="R802" s="13">
        <f>L802*N802</f>
        <v>0</v>
      </c>
      <c r="S802" s="13">
        <f>L802*P802</f>
        <v>16000</v>
      </c>
      <c r="T802" s="13"/>
      <c r="U802" s="13">
        <f>L802*T802</f>
        <v>0</v>
      </c>
      <c r="V802" s="13">
        <f>S802-U802</f>
        <v>16000</v>
      </c>
      <c r="W802" s="15">
        <f>IF(S802&gt;0, V802/S802, 0)</f>
        <v>1</v>
      </c>
      <c r="X802" s="6" t="s">
        <v>39</v>
      </c>
      <c r="Y802" s="8" t="s">
        <v>40</v>
      </c>
      <c r="Z802" s="8" t="s">
        <v>41</v>
      </c>
      <c r="AA802" s="8" t="s">
        <v>42</v>
      </c>
      <c r="AB802" s="6" t="s">
        <v>42</v>
      </c>
    </row>
    <row r="803" spans="1:28">
      <c r="A803" s="9">
        <v>796</v>
      </c>
      <c r="B803" s="9" t="s">
        <v>1096</v>
      </c>
      <c r="C803" s="9" t="s">
        <v>1080</v>
      </c>
      <c r="D803" s="9" t="s">
        <v>652</v>
      </c>
      <c r="E803" s="9" t="s">
        <v>33</v>
      </c>
      <c r="F803" s="7" t="s">
        <v>34</v>
      </c>
      <c r="G803" s="7" t="s">
        <v>51</v>
      </c>
      <c r="H803" s="7" t="s">
        <v>51</v>
      </c>
      <c r="I803" s="9">
        <v>176</v>
      </c>
      <c r="J803" s="9" t="s">
        <v>418</v>
      </c>
      <c r="K803" s="9" t="s">
        <v>38</v>
      </c>
      <c r="L803" s="11">
        <v>1</v>
      </c>
      <c r="M803" s="14">
        <v>8500.0</v>
      </c>
      <c r="N803" s="14"/>
      <c r="O803" s="16">
        <f>IF(M803&gt;0, N803/M803, 0)</f>
        <v>0</v>
      </c>
      <c r="P803" s="14">
        <f>M803-N803</f>
        <v>8500</v>
      </c>
      <c r="Q803" s="14">
        <f>L803*M803</f>
        <v>8500</v>
      </c>
      <c r="R803" s="14">
        <f>L803*N803</f>
        <v>0</v>
      </c>
      <c r="S803" s="14">
        <f>L803*P803</f>
        <v>8500</v>
      </c>
      <c r="T803" s="14"/>
      <c r="U803" s="14">
        <f>L803*T803</f>
        <v>0</v>
      </c>
      <c r="V803" s="14">
        <f>S803-U803</f>
        <v>8500</v>
      </c>
      <c r="W803" s="16">
        <f>IF(S803&gt;0, V803/S803, 0)</f>
        <v>1</v>
      </c>
      <c r="X803" s="7" t="s">
        <v>39</v>
      </c>
      <c r="Y803" s="9" t="s">
        <v>40</v>
      </c>
      <c r="Z803" s="9" t="s">
        <v>41</v>
      </c>
      <c r="AA803" s="9" t="s">
        <v>42</v>
      </c>
      <c r="AB803" s="7" t="s">
        <v>42</v>
      </c>
    </row>
    <row r="804" spans="1:28">
      <c r="A804" s="8">
        <v>797</v>
      </c>
      <c r="B804" s="8" t="s">
        <v>1097</v>
      </c>
      <c r="C804" s="8" t="s">
        <v>1080</v>
      </c>
      <c r="D804" s="8" t="s">
        <v>652</v>
      </c>
      <c r="E804" s="8" t="s">
        <v>33</v>
      </c>
      <c r="F804" s="6" t="s">
        <v>34</v>
      </c>
      <c r="G804" s="6" t="s">
        <v>56</v>
      </c>
      <c r="H804" s="6" t="s">
        <v>56</v>
      </c>
      <c r="I804" s="8">
        <v>170</v>
      </c>
      <c r="J804" s="8" t="s">
        <v>212</v>
      </c>
      <c r="K804" s="8" t="s">
        <v>38</v>
      </c>
      <c r="L804" s="10">
        <v>1</v>
      </c>
      <c r="M804" s="13">
        <v>9000.0</v>
      </c>
      <c r="N804" s="13"/>
      <c r="O804" s="15">
        <f>IF(M804&gt;0, N804/M804, 0)</f>
        <v>0</v>
      </c>
      <c r="P804" s="13">
        <f>M804-N804</f>
        <v>9000</v>
      </c>
      <c r="Q804" s="13">
        <f>L804*M804</f>
        <v>9000</v>
      </c>
      <c r="R804" s="13">
        <f>L804*N804</f>
        <v>0</v>
      </c>
      <c r="S804" s="13">
        <f>L804*P804</f>
        <v>9000</v>
      </c>
      <c r="T804" s="13"/>
      <c r="U804" s="13">
        <f>L804*T804</f>
        <v>0</v>
      </c>
      <c r="V804" s="13">
        <f>S804-U804</f>
        <v>9000</v>
      </c>
      <c r="W804" s="15">
        <f>IF(S804&gt;0, V804/S804, 0)</f>
        <v>1</v>
      </c>
      <c r="X804" s="6" t="s">
        <v>39</v>
      </c>
      <c r="Y804" s="8" t="s">
        <v>40</v>
      </c>
      <c r="Z804" s="8" t="s">
        <v>41</v>
      </c>
      <c r="AA804" s="8" t="s">
        <v>42</v>
      </c>
      <c r="AB804" s="6" t="s">
        <v>42</v>
      </c>
    </row>
    <row r="805" spans="1:28">
      <c r="A805" s="9">
        <v>798</v>
      </c>
      <c r="B805" s="9" t="s">
        <v>1098</v>
      </c>
      <c r="C805" s="9" t="s">
        <v>1080</v>
      </c>
      <c r="D805" s="9" t="s">
        <v>652</v>
      </c>
      <c r="E805" s="9" t="s">
        <v>33</v>
      </c>
      <c r="F805" s="7" t="s">
        <v>50</v>
      </c>
      <c r="G805" s="7" t="s">
        <v>35</v>
      </c>
      <c r="H805" s="7" t="s">
        <v>36</v>
      </c>
      <c r="I805" s="9">
        <v>128</v>
      </c>
      <c r="J805" s="9" t="s">
        <v>156</v>
      </c>
      <c r="K805" s="9" t="s">
        <v>53</v>
      </c>
      <c r="L805" s="11">
        <v>1</v>
      </c>
      <c r="M805" s="14">
        <v>7000.0</v>
      </c>
      <c r="N805" s="14"/>
      <c r="O805" s="16">
        <f>IF(M805&gt;0, N805/M805, 0)</f>
        <v>0</v>
      </c>
      <c r="P805" s="14">
        <f>M805-N805</f>
        <v>7000</v>
      </c>
      <c r="Q805" s="14">
        <f>L805*M805</f>
        <v>7000</v>
      </c>
      <c r="R805" s="14">
        <f>L805*N805</f>
        <v>0</v>
      </c>
      <c r="S805" s="14">
        <f>L805*P805</f>
        <v>7000</v>
      </c>
      <c r="T805" s="14"/>
      <c r="U805" s="14">
        <f>L805*T805</f>
        <v>0</v>
      </c>
      <c r="V805" s="14">
        <f>S805-U805</f>
        <v>7000</v>
      </c>
      <c r="W805" s="16">
        <f>IF(S805&gt;0, V805/S805, 0)</f>
        <v>1</v>
      </c>
      <c r="X805" s="7" t="s">
        <v>39</v>
      </c>
      <c r="Y805" s="9" t="s">
        <v>40</v>
      </c>
      <c r="Z805" s="9" t="s">
        <v>41</v>
      </c>
      <c r="AA805" s="9" t="s">
        <v>42</v>
      </c>
      <c r="AB805" s="7" t="s">
        <v>42</v>
      </c>
    </row>
    <row r="806" spans="1:28">
      <c r="A806" s="8">
        <v>799</v>
      </c>
      <c r="B806" s="8" t="s">
        <v>1099</v>
      </c>
      <c r="C806" s="8" t="s">
        <v>1080</v>
      </c>
      <c r="D806" s="8" t="s">
        <v>652</v>
      </c>
      <c r="E806" s="8" t="s">
        <v>33</v>
      </c>
      <c r="F806" s="6" t="s">
        <v>34</v>
      </c>
      <c r="G806" s="6" t="s">
        <v>35</v>
      </c>
      <c r="H806" s="6" t="s">
        <v>36</v>
      </c>
      <c r="I806" s="8">
        <v>170</v>
      </c>
      <c r="J806" s="8" t="s">
        <v>142</v>
      </c>
      <c r="K806" s="8" t="s">
        <v>38</v>
      </c>
      <c r="L806" s="10">
        <v>1</v>
      </c>
      <c r="M806" s="13">
        <v>8000.0</v>
      </c>
      <c r="N806" s="13"/>
      <c r="O806" s="15">
        <f>IF(M806&gt;0, N806/M806, 0)</f>
        <v>0</v>
      </c>
      <c r="P806" s="13">
        <f>M806-N806</f>
        <v>8000</v>
      </c>
      <c r="Q806" s="13">
        <f>L806*M806</f>
        <v>8000</v>
      </c>
      <c r="R806" s="13">
        <f>L806*N806</f>
        <v>0</v>
      </c>
      <c r="S806" s="13">
        <f>L806*P806</f>
        <v>8000</v>
      </c>
      <c r="T806" s="13"/>
      <c r="U806" s="13">
        <f>L806*T806</f>
        <v>0</v>
      </c>
      <c r="V806" s="13">
        <f>S806-U806</f>
        <v>8000</v>
      </c>
      <c r="W806" s="15">
        <f>IF(S806&gt;0, V806/S806, 0)</f>
        <v>1</v>
      </c>
      <c r="X806" s="6" t="s">
        <v>39</v>
      </c>
      <c r="Y806" s="8" t="s">
        <v>40</v>
      </c>
      <c r="Z806" s="8" t="s">
        <v>41</v>
      </c>
      <c r="AA806" s="8" t="s">
        <v>42</v>
      </c>
      <c r="AB806" s="6" t="s">
        <v>42</v>
      </c>
    </row>
    <row r="807" spans="1:28">
      <c r="A807" s="9">
        <v>800</v>
      </c>
      <c r="B807" s="9" t="s">
        <v>1100</v>
      </c>
      <c r="C807" s="9" t="s">
        <v>1080</v>
      </c>
      <c r="D807" s="9" t="s">
        <v>652</v>
      </c>
      <c r="E807" s="9" t="s">
        <v>33</v>
      </c>
      <c r="F807" s="7" t="s">
        <v>34</v>
      </c>
      <c r="G807" s="7" t="s">
        <v>35</v>
      </c>
      <c r="H807" s="7" t="s">
        <v>73</v>
      </c>
      <c r="I807" s="9">
        <v>170</v>
      </c>
      <c r="J807" s="9" t="s">
        <v>648</v>
      </c>
      <c r="K807" s="9" t="s">
        <v>38</v>
      </c>
      <c r="L807" s="11">
        <v>1</v>
      </c>
      <c r="M807" s="14">
        <v>9000.0</v>
      </c>
      <c r="N807" s="14"/>
      <c r="O807" s="16">
        <f>IF(M807&gt;0, N807/M807, 0)</f>
        <v>0</v>
      </c>
      <c r="P807" s="14">
        <f>M807-N807</f>
        <v>9000</v>
      </c>
      <c r="Q807" s="14">
        <f>L807*M807</f>
        <v>9000</v>
      </c>
      <c r="R807" s="14">
        <f>L807*N807</f>
        <v>0</v>
      </c>
      <c r="S807" s="14">
        <f>L807*P807</f>
        <v>9000</v>
      </c>
      <c r="T807" s="14"/>
      <c r="U807" s="14">
        <f>L807*T807</f>
        <v>0</v>
      </c>
      <c r="V807" s="14">
        <f>S807-U807</f>
        <v>9000</v>
      </c>
      <c r="W807" s="16">
        <f>IF(S807&gt;0, V807/S807, 0)</f>
        <v>1</v>
      </c>
      <c r="X807" s="7" t="s">
        <v>39</v>
      </c>
      <c r="Y807" s="9" t="s">
        <v>40</v>
      </c>
      <c r="Z807" s="9" t="s">
        <v>41</v>
      </c>
      <c r="AA807" s="9" t="s">
        <v>42</v>
      </c>
      <c r="AB807" s="7" t="s">
        <v>42</v>
      </c>
    </row>
    <row r="808" spans="1:28">
      <c r="A808" s="8">
        <v>801</v>
      </c>
      <c r="B808" s="8" t="s">
        <v>1101</v>
      </c>
      <c r="C808" s="8" t="s">
        <v>1080</v>
      </c>
      <c r="D808" s="8" t="s">
        <v>652</v>
      </c>
      <c r="E808" s="8" t="s">
        <v>33</v>
      </c>
      <c r="F808" s="6" t="s">
        <v>34</v>
      </c>
      <c r="G808" s="6" t="s">
        <v>35</v>
      </c>
      <c r="H808" s="6" t="s">
        <v>36</v>
      </c>
      <c r="I808" s="8">
        <v>170</v>
      </c>
      <c r="J808" s="8" t="s">
        <v>142</v>
      </c>
      <c r="K808" s="8" t="s">
        <v>38</v>
      </c>
      <c r="L808" s="10">
        <v>1</v>
      </c>
      <c r="M808" s="13">
        <v>8000.0</v>
      </c>
      <c r="N808" s="13"/>
      <c r="O808" s="15">
        <f>IF(M808&gt;0, N808/M808, 0)</f>
        <v>0</v>
      </c>
      <c r="P808" s="13">
        <f>M808-N808</f>
        <v>8000</v>
      </c>
      <c r="Q808" s="13">
        <f>L808*M808</f>
        <v>8000</v>
      </c>
      <c r="R808" s="13">
        <f>L808*N808</f>
        <v>0</v>
      </c>
      <c r="S808" s="13">
        <f>L808*P808</f>
        <v>8000</v>
      </c>
      <c r="T808" s="13"/>
      <c r="U808" s="13">
        <f>L808*T808</f>
        <v>0</v>
      </c>
      <c r="V808" s="13">
        <f>S808-U808</f>
        <v>8000</v>
      </c>
      <c r="W808" s="15">
        <f>IF(S808&gt;0, V808/S808, 0)</f>
        <v>1</v>
      </c>
      <c r="X808" s="6" t="s">
        <v>39</v>
      </c>
      <c r="Y808" s="8" t="s">
        <v>40</v>
      </c>
      <c r="Z808" s="8" t="s">
        <v>41</v>
      </c>
      <c r="AA808" s="8" t="s">
        <v>42</v>
      </c>
      <c r="AB808" s="6" t="s">
        <v>42</v>
      </c>
    </row>
    <row r="809" spans="1:28">
      <c r="A809" s="9">
        <v>802</v>
      </c>
      <c r="B809" s="9" t="s">
        <v>1102</v>
      </c>
      <c r="C809" s="9" t="s">
        <v>1080</v>
      </c>
      <c r="D809" s="9" t="s">
        <v>652</v>
      </c>
      <c r="E809" s="9" t="s">
        <v>33</v>
      </c>
      <c r="F809" s="7" t="s">
        <v>50</v>
      </c>
      <c r="G809" s="7" t="s">
        <v>69</v>
      </c>
      <c r="H809" s="7" t="s">
        <v>69</v>
      </c>
      <c r="I809" s="9">
        <v>140</v>
      </c>
      <c r="J809" s="9" t="s">
        <v>225</v>
      </c>
      <c r="K809" s="9" t="s">
        <v>38</v>
      </c>
      <c r="L809" s="11">
        <v>1</v>
      </c>
      <c r="M809" s="14">
        <v>16000.0</v>
      </c>
      <c r="N809" s="14"/>
      <c r="O809" s="16">
        <f>IF(M809&gt;0, N809/M809, 0)</f>
        <v>0</v>
      </c>
      <c r="P809" s="14">
        <f>M809-N809</f>
        <v>16000</v>
      </c>
      <c r="Q809" s="14">
        <f>L809*M809</f>
        <v>16000</v>
      </c>
      <c r="R809" s="14">
        <f>L809*N809</f>
        <v>0</v>
      </c>
      <c r="S809" s="14">
        <f>L809*P809</f>
        <v>16000</v>
      </c>
      <c r="T809" s="14"/>
      <c r="U809" s="14">
        <f>L809*T809</f>
        <v>0</v>
      </c>
      <c r="V809" s="14">
        <f>S809-U809</f>
        <v>16000</v>
      </c>
      <c r="W809" s="16">
        <f>IF(S809&gt;0, V809/S809, 0)</f>
        <v>1</v>
      </c>
      <c r="X809" s="7" t="s">
        <v>39</v>
      </c>
      <c r="Y809" s="9" t="s">
        <v>40</v>
      </c>
      <c r="Z809" s="9" t="s">
        <v>41</v>
      </c>
      <c r="AA809" s="9" t="s">
        <v>42</v>
      </c>
      <c r="AB809" s="7" t="s">
        <v>42</v>
      </c>
    </row>
    <row r="810" spans="1:28">
      <c r="A810" s="8">
        <v>803</v>
      </c>
      <c r="B810" s="8" t="s">
        <v>1103</v>
      </c>
      <c r="C810" s="8" t="s">
        <v>1080</v>
      </c>
      <c r="D810" s="8" t="s">
        <v>652</v>
      </c>
      <c r="E810" s="8" t="s">
        <v>33</v>
      </c>
      <c r="F810" s="6" t="s">
        <v>50</v>
      </c>
      <c r="G810" s="6" t="s">
        <v>51</v>
      </c>
      <c r="H810" s="6" t="s">
        <v>51</v>
      </c>
      <c r="I810" s="8">
        <v>134</v>
      </c>
      <c r="J810" s="8" t="s">
        <v>175</v>
      </c>
      <c r="K810" s="8" t="s">
        <v>53</v>
      </c>
      <c r="L810" s="10">
        <v>1</v>
      </c>
      <c r="M810" s="13">
        <v>8000.0</v>
      </c>
      <c r="N810" s="13"/>
      <c r="O810" s="15">
        <f>IF(M810&gt;0, N810/M810, 0)</f>
        <v>0</v>
      </c>
      <c r="P810" s="13">
        <f>M810-N810</f>
        <v>8000</v>
      </c>
      <c r="Q810" s="13">
        <f>L810*M810</f>
        <v>8000</v>
      </c>
      <c r="R810" s="13">
        <f>L810*N810</f>
        <v>0</v>
      </c>
      <c r="S810" s="13">
        <f>L810*P810</f>
        <v>8000</v>
      </c>
      <c r="T810" s="13"/>
      <c r="U810" s="13">
        <f>L810*T810</f>
        <v>0</v>
      </c>
      <c r="V810" s="13">
        <f>S810-U810</f>
        <v>8000</v>
      </c>
      <c r="W810" s="15">
        <f>IF(S810&gt;0, V810/S810, 0)</f>
        <v>1</v>
      </c>
      <c r="X810" s="6" t="s">
        <v>39</v>
      </c>
      <c r="Y810" s="8" t="s">
        <v>40</v>
      </c>
      <c r="Z810" s="8" t="s">
        <v>41</v>
      </c>
      <c r="AA810" s="8" t="s">
        <v>42</v>
      </c>
      <c r="AB810" s="6" t="s">
        <v>42</v>
      </c>
    </row>
    <row r="811" spans="1:28">
      <c r="A811" s="9">
        <v>804</v>
      </c>
      <c r="B811" s="9" t="s">
        <v>1104</v>
      </c>
      <c r="C811" s="9" t="s">
        <v>1080</v>
      </c>
      <c r="D811" s="9" t="s">
        <v>652</v>
      </c>
      <c r="E811" s="9" t="s">
        <v>33</v>
      </c>
      <c r="F811" s="7" t="s">
        <v>50</v>
      </c>
      <c r="G811" s="7" t="s">
        <v>35</v>
      </c>
      <c r="H811" s="7" t="s">
        <v>36</v>
      </c>
      <c r="I811" s="9">
        <v>134</v>
      </c>
      <c r="J811" s="9" t="s">
        <v>177</v>
      </c>
      <c r="K811" s="9" t="s">
        <v>53</v>
      </c>
      <c r="L811" s="11">
        <v>1</v>
      </c>
      <c r="M811" s="14">
        <v>7000.0</v>
      </c>
      <c r="N811" s="14"/>
      <c r="O811" s="16">
        <f>IF(M811&gt;0, N811/M811, 0)</f>
        <v>0</v>
      </c>
      <c r="P811" s="14">
        <f>M811-N811</f>
        <v>7000</v>
      </c>
      <c r="Q811" s="14">
        <f>L811*M811</f>
        <v>7000</v>
      </c>
      <c r="R811" s="14">
        <f>L811*N811</f>
        <v>0</v>
      </c>
      <c r="S811" s="14">
        <f>L811*P811</f>
        <v>7000</v>
      </c>
      <c r="T811" s="14"/>
      <c r="U811" s="14">
        <f>L811*T811</f>
        <v>0</v>
      </c>
      <c r="V811" s="14">
        <f>S811-U811</f>
        <v>7000</v>
      </c>
      <c r="W811" s="16">
        <f>IF(S811&gt;0, V811/S811, 0)</f>
        <v>1</v>
      </c>
      <c r="X811" s="7" t="s">
        <v>39</v>
      </c>
      <c r="Y811" s="9" t="s">
        <v>40</v>
      </c>
      <c r="Z811" s="9" t="s">
        <v>41</v>
      </c>
      <c r="AA811" s="9" t="s">
        <v>42</v>
      </c>
      <c r="AB811" s="7" t="s">
        <v>42</v>
      </c>
    </row>
    <row r="812" spans="1:28">
      <c r="A812" s="8">
        <v>805</v>
      </c>
      <c r="B812" s="8" t="s">
        <v>1105</v>
      </c>
      <c r="C812" s="8" t="s">
        <v>1080</v>
      </c>
      <c r="D812" s="8" t="s">
        <v>652</v>
      </c>
      <c r="E812" s="8" t="s">
        <v>33</v>
      </c>
      <c r="F812" s="6" t="s">
        <v>50</v>
      </c>
      <c r="G812" s="6" t="s">
        <v>45</v>
      </c>
      <c r="H812" s="6" t="s">
        <v>46</v>
      </c>
      <c r="I812" s="8">
        <v>140</v>
      </c>
      <c r="J812" s="8" t="s">
        <v>414</v>
      </c>
      <c r="K812" s="8" t="s">
        <v>38</v>
      </c>
      <c r="L812" s="10">
        <v>1</v>
      </c>
      <c r="M812" s="13">
        <v>18000.0</v>
      </c>
      <c r="N812" s="13"/>
      <c r="O812" s="15">
        <f>IF(M812&gt;0, N812/M812, 0)</f>
        <v>0</v>
      </c>
      <c r="P812" s="13">
        <f>M812-N812</f>
        <v>18000</v>
      </c>
      <c r="Q812" s="13">
        <f>L812*M812</f>
        <v>18000</v>
      </c>
      <c r="R812" s="13">
        <f>L812*N812</f>
        <v>0</v>
      </c>
      <c r="S812" s="13">
        <f>L812*P812</f>
        <v>18000</v>
      </c>
      <c r="T812" s="13"/>
      <c r="U812" s="13">
        <f>L812*T812</f>
        <v>0</v>
      </c>
      <c r="V812" s="13">
        <f>S812-U812</f>
        <v>18000</v>
      </c>
      <c r="W812" s="15">
        <f>IF(S812&gt;0, V812/S812, 0)</f>
        <v>1</v>
      </c>
      <c r="X812" s="6" t="s">
        <v>39</v>
      </c>
      <c r="Y812" s="8" t="s">
        <v>40</v>
      </c>
      <c r="Z812" s="8" t="s">
        <v>41</v>
      </c>
      <c r="AA812" s="8" t="s">
        <v>42</v>
      </c>
      <c r="AB812" s="6" t="s">
        <v>42</v>
      </c>
    </row>
    <row r="813" spans="1:28">
      <c r="A813" s="9">
        <v>806</v>
      </c>
      <c r="B813" s="9" t="s">
        <v>1106</v>
      </c>
      <c r="C813" s="9" t="s">
        <v>1080</v>
      </c>
      <c r="D813" s="9" t="s">
        <v>652</v>
      </c>
      <c r="E813" s="9" t="s">
        <v>33</v>
      </c>
      <c r="F813" s="7" t="s">
        <v>50</v>
      </c>
      <c r="G813" s="7" t="s">
        <v>51</v>
      </c>
      <c r="H813" s="7" t="s">
        <v>51</v>
      </c>
      <c r="I813" s="9">
        <v>134</v>
      </c>
      <c r="J813" s="9" t="s">
        <v>175</v>
      </c>
      <c r="K813" s="9" t="s">
        <v>53</v>
      </c>
      <c r="L813" s="11">
        <v>1</v>
      </c>
      <c r="M813" s="14">
        <v>8000.0</v>
      </c>
      <c r="N813" s="14"/>
      <c r="O813" s="16">
        <f>IF(M813&gt;0, N813/M813, 0)</f>
        <v>0</v>
      </c>
      <c r="P813" s="14">
        <f>M813-N813</f>
        <v>8000</v>
      </c>
      <c r="Q813" s="14">
        <f>L813*M813</f>
        <v>8000</v>
      </c>
      <c r="R813" s="14">
        <f>L813*N813</f>
        <v>0</v>
      </c>
      <c r="S813" s="14">
        <f>L813*P813</f>
        <v>8000</v>
      </c>
      <c r="T813" s="14"/>
      <c r="U813" s="14">
        <f>L813*T813</f>
        <v>0</v>
      </c>
      <c r="V813" s="14">
        <f>S813-U813</f>
        <v>8000</v>
      </c>
      <c r="W813" s="16">
        <f>IF(S813&gt;0, V813/S813, 0)</f>
        <v>1</v>
      </c>
      <c r="X813" s="7" t="s">
        <v>39</v>
      </c>
      <c r="Y813" s="9" t="s">
        <v>40</v>
      </c>
      <c r="Z813" s="9" t="s">
        <v>41</v>
      </c>
      <c r="AA813" s="9" t="s">
        <v>42</v>
      </c>
      <c r="AB813" s="7" t="s">
        <v>42</v>
      </c>
    </row>
    <row r="814" spans="1:28">
      <c r="A814" s="8">
        <v>807</v>
      </c>
      <c r="B814" s="8" t="s">
        <v>1107</v>
      </c>
      <c r="C814" s="8" t="s">
        <v>1080</v>
      </c>
      <c r="D814" s="8" t="s">
        <v>652</v>
      </c>
      <c r="E814" s="8" t="s">
        <v>33</v>
      </c>
      <c r="F814" s="6" t="s">
        <v>50</v>
      </c>
      <c r="G814" s="6" t="s">
        <v>35</v>
      </c>
      <c r="H814" s="6" t="s">
        <v>36</v>
      </c>
      <c r="I814" s="8">
        <v>140</v>
      </c>
      <c r="J814" s="8" t="s">
        <v>223</v>
      </c>
      <c r="K814" s="8" t="s">
        <v>53</v>
      </c>
      <c r="L814" s="10">
        <v>2</v>
      </c>
      <c r="M814" s="13">
        <v>7000.0</v>
      </c>
      <c r="N814" s="13"/>
      <c r="O814" s="15">
        <f>IF(M814&gt;0, N814/M814, 0)</f>
        <v>0</v>
      </c>
      <c r="P814" s="13">
        <f>M814-N814</f>
        <v>7000</v>
      </c>
      <c r="Q814" s="13">
        <f>L814*M814</f>
        <v>14000</v>
      </c>
      <c r="R814" s="13">
        <f>L814*N814</f>
        <v>0</v>
      </c>
      <c r="S814" s="13">
        <f>L814*P814</f>
        <v>14000</v>
      </c>
      <c r="T814" s="13"/>
      <c r="U814" s="13">
        <f>L814*T814</f>
        <v>0</v>
      </c>
      <c r="V814" s="13">
        <f>S814-U814</f>
        <v>14000</v>
      </c>
      <c r="W814" s="15">
        <f>IF(S814&gt;0, V814/S814, 0)</f>
        <v>1</v>
      </c>
      <c r="X814" s="6" t="s">
        <v>39</v>
      </c>
      <c r="Y814" s="8" t="s">
        <v>40</v>
      </c>
      <c r="Z814" s="8" t="s">
        <v>41</v>
      </c>
      <c r="AA814" s="8" t="s">
        <v>42</v>
      </c>
      <c r="AB814" s="6" t="s">
        <v>42</v>
      </c>
    </row>
    <row r="815" spans="1:28">
      <c r="A815" s="9">
        <v>808</v>
      </c>
      <c r="B815" s="9" t="s">
        <v>1108</v>
      </c>
      <c r="C815" s="9" t="s">
        <v>1080</v>
      </c>
      <c r="D815" s="9" t="s">
        <v>652</v>
      </c>
      <c r="E815" s="9" t="s">
        <v>33</v>
      </c>
      <c r="F815" s="7" t="s">
        <v>50</v>
      </c>
      <c r="G815" s="7" t="s">
        <v>69</v>
      </c>
      <c r="H815" s="7" t="s">
        <v>69</v>
      </c>
      <c r="I815" s="9">
        <v>146</v>
      </c>
      <c r="J815" s="9" t="s">
        <v>382</v>
      </c>
      <c r="K815" s="9" t="s">
        <v>38</v>
      </c>
      <c r="L815" s="11">
        <v>1</v>
      </c>
      <c r="M815" s="14">
        <v>18000.0</v>
      </c>
      <c r="N815" s="14"/>
      <c r="O815" s="16">
        <f>IF(M815&gt;0, N815/M815, 0)</f>
        <v>0</v>
      </c>
      <c r="P815" s="14">
        <f>M815-N815</f>
        <v>18000</v>
      </c>
      <c r="Q815" s="14">
        <f>L815*M815</f>
        <v>18000</v>
      </c>
      <c r="R815" s="14">
        <f>L815*N815</f>
        <v>0</v>
      </c>
      <c r="S815" s="14">
        <f>L815*P815</f>
        <v>18000</v>
      </c>
      <c r="T815" s="14"/>
      <c r="U815" s="14">
        <f>L815*T815</f>
        <v>0</v>
      </c>
      <c r="V815" s="14">
        <f>S815-U815</f>
        <v>18000</v>
      </c>
      <c r="W815" s="16">
        <f>IF(S815&gt;0, V815/S815, 0)</f>
        <v>1</v>
      </c>
      <c r="X815" s="7" t="s">
        <v>39</v>
      </c>
      <c r="Y815" s="9" t="s">
        <v>40</v>
      </c>
      <c r="Z815" s="9" t="s">
        <v>41</v>
      </c>
      <c r="AA815" s="9" t="s">
        <v>42</v>
      </c>
      <c r="AB815" s="7" t="s">
        <v>42</v>
      </c>
    </row>
    <row r="816" spans="1:28">
      <c r="A816" s="8">
        <v>809</v>
      </c>
      <c r="B816" s="8" t="s">
        <v>1109</v>
      </c>
      <c r="C816" s="8" t="s">
        <v>1080</v>
      </c>
      <c r="D816" s="8" t="s">
        <v>652</v>
      </c>
      <c r="E816" s="8" t="s">
        <v>33</v>
      </c>
      <c r="F816" s="6" t="s">
        <v>50</v>
      </c>
      <c r="G816" s="6" t="s">
        <v>51</v>
      </c>
      <c r="H816" s="6" t="s">
        <v>51</v>
      </c>
      <c r="I816" s="8">
        <v>134</v>
      </c>
      <c r="J816" s="8" t="s">
        <v>175</v>
      </c>
      <c r="K816" s="8" t="s">
        <v>53</v>
      </c>
      <c r="L816" s="10">
        <v>1</v>
      </c>
      <c r="M816" s="13">
        <v>8000.0</v>
      </c>
      <c r="N816" s="13"/>
      <c r="O816" s="15">
        <f>IF(M816&gt;0, N816/M816, 0)</f>
        <v>0</v>
      </c>
      <c r="P816" s="13">
        <f>M816-N816</f>
        <v>8000</v>
      </c>
      <c r="Q816" s="13">
        <f>L816*M816</f>
        <v>8000</v>
      </c>
      <c r="R816" s="13">
        <f>L816*N816</f>
        <v>0</v>
      </c>
      <c r="S816" s="13">
        <f>L816*P816</f>
        <v>8000</v>
      </c>
      <c r="T816" s="13"/>
      <c r="U816" s="13">
        <f>L816*T816</f>
        <v>0</v>
      </c>
      <c r="V816" s="13">
        <f>S816-U816</f>
        <v>8000</v>
      </c>
      <c r="W816" s="15">
        <f>IF(S816&gt;0, V816/S816, 0)</f>
        <v>1</v>
      </c>
      <c r="X816" s="6" t="s">
        <v>39</v>
      </c>
      <c r="Y816" s="8" t="s">
        <v>40</v>
      </c>
      <c r="Z816" s="8" t="s">
        <v>41</v>
      </c>
      <c r="AA816" s="8" t="s">
        <v>42</v>
      </c>
      <c r="AB816" s="6" t="s">
        <v>42</v>
      </c>
    </row>
    <row r="817" spans="1:28">
      <c r="A817" s="9">
        <v>810</v>
      </c>
      <c r="B817" s="9" t="s">
        <v>1110</v>
      </c>
      <c r="C817" s="9" t="s">
        <v>1080</v>
      </c>
      <c r="D817" s="9" t="s">
        <v>652</v>
      </c>
      <c r="E817" s="9" t="s">
        <v>33</v>
      </c>
      <c r="F817" s="7" t="s">
        <v>34</v>
      </c>
      <c r="G817" s="7" t="s">
        <v>51</v>
      </c>
      <c r="H817" s="7" t="s">
        <v>51</v>
      </c>
      <c r="I817" s="9">
        <v>158</v>
      </c>
      <c r="J817" s="9" t="s">
        <v>122</v>
      </c>
      <c r="K817" s="9" t="s">
        <v>38</v>
      </c>
      <c r="L817" s="11">
        <v>1</v>
      </c>
      <c r="M817" s="14">
        <v>9000.0</v>
      </c>
      <c r="N817" s="14"/>
      <c r="O817" s="16">
        <f>IF(M817&gt;0, N817/M817, 0)</f>
        <v>0</v>
      </c>
      <c r="P817" s="14">
        <f>M817-N817</f>
        <v>9000</v>
      </c>
      <c r="Q817" s="14">
        <f>L817*M817</f>
        <v>9000</v>
      </c>
      <c r="R817" s="14">
        <f>L817*N817</f>
        <v>0</v>
      </c>
      <c r="S817" s="14">
        <f>L817*P817</f>
        <v>9000</v>
      </c>
      <c r="T817" s="14"/>
      <c r="U817" s="14">
        <f>L817*T817</f>
        <v>0</v>
      </c>
      <c r="V817" s="14">
        <f>S817-U817</f>
        <v>9000</v>
      </c>
      <c r="W817" s="16">
        <f>IF(S817&gt;0, V817/S817, 0)</f>
        <v>1</v>
      </c>
      <c r="X817" s="7" t="s">
        <v>39</v>
      </c>
      <c r="Y817" s="9" t="s">
        <v>40</v>
      </c>
      <c r="Z817" s="9" t="s">
        <v>41</v>
      </c>
      <c r="AA817" s="9" t="s">
        <v>42</v>
      </c>
      <c r="AB817" s="7" t="s">
        <v>42</v>
      </c>
    </row>
    <row r="818" spans="1:28">
      <c r="A818" s="8">
        <v>811</v>
      </c>
      <c r="B818" s="8" t="s">
        <v>1111</v>
      </c>
      <c r="C818" s="8" t="s">
        <v>1080</v>
      </c>
      <c r="D818" s="8" t="s">
        <v>652</v>
      </c>
      <c r="E818" s="8" t="s">
        <v>33</v>
      </c>
      <c r="F818" s="6" t="s">
        <v>34</v>
      </c>
      <c r="G818" s="6" t="s">
        <v>45</v>
      </c>
      <c r="H818" s="6" t="s">
        <v>46</v>
      </c>
      <c r="I818" s="8">
        <v>170</v>
      </c>
      <c r="J818" s="8" t="s">
        <v>181</v>
      </c>
      <c r="K818" s="8" t="s">
        <v>38</v>
      </c>
      <c r="L818" s="10">
        <v>2</v>
      </c>
      <c r="M818" s="13">
        <v>18000.0</v>
      </c>
      <c r="N818" s="13"/>
      <c r="O818" s="15">
        <f>IF(M818&gt;0, N818/M818, 0)</f>
        <v>0</v>
      </c>
      <c r="P818" s="13">
        <f>M818-N818</f>
        <v>18000</v>
      </c>
      <c r="Q818" s="13">
        <f>L818*M818</f>
        <v>36000</v>
      </c>
      <c r="R818" s="13">
        <f>L818*N818</f>
        <v>0</v>
      </c>
      <c r="S818" s="13">
        <f>L818*P818</f>
        <v>36000</v>
      </c>
      <c r="T818" s="13"/>
      <c r="U818" s="13">
        <f>L818*T818</f>
        <v>0</v>
      </c>
      <c r="V818" s="13">
        <f>S818-U818</f>
        <v>36000</v>
      </c>
      <c r="W818" s="15">
        <f>IF(S818&gt;0, V818/S818, 0)</f>
        <v>1</v>
      </c>
      <c r="X818" s="6" t="s">
        <v>39</v>
      </c>
      <c r="Y818" s="8" t="s">
        <v>40</v>
      </c>
      <c r="Z818" s="8" t="s">
        <v>41</v>
      </c>
      <c r="AA818" s="8" t="s">
        <v>42</v>
      </c>
      <c r="AB818" s="6" t="s">
        <v>42</v>
      </c>
    </row>
    <row r="819" spans="1:28">
      <c r="A819" s="9">
        <v>812</v>
      </c>
      <c r="B819" s="9" t="s">
        <v>1112</v>
      </c>
      <c r="C819" s="9" t="s">
        <v>1080</v>
      </c>
      <c r="D819" s="9" t="s">
        <v>652</v>
      </c>
      <c r="E819" s="9" t="s">
        <v>33</v>
      </c>
      <c r="F819" s="7" t="s">
        <v>34</v>
      </c>
      <c r="G819" s="7" t="s">
        <v>45</v>
      </c>
      <c r="H819" s="7" t="s">
        <v>46</v>
      </c>
      <c r="I819" s="9">
        <v>164</v>
      </c>
      <c r="J819" s="9" t="s">
        <v>318</v>
      </c>
      <c r="K819" s="9" t="s">
        <v>38</v>
      </c>
      <c r="L819" s="11">
        <v>1</v>
      </c>
      <c r="M819" s="14">
        <v>18000.0</v>
      </c>
      <c r="N819" s="14"/>
      <c r="O819" s="16">
        <f>IF(M819&gt;0, N819/M819, 0)</f>
        <v>0</v>
      </c>
      <c r="P819" s="14">
        <f>M819-N819</f>
        <v>18000</v>
      </c>
      <c r="Q819" s="14">
        <f>L819*M819</f>
        <v>18000</v>
      </c>
      <c r="R819" s="14">
        <f>L819*N819</f>
        <v>0</v>
      </c>
      <c r="S819" s="14">
        <f>L819*P819</f>
        <v>18000</v>
      </c>
      <c r="T819" s="14"/>
      <c r="U819" s="14">
        <f>L819*T819</f>
        <v>0</v>
      </c>
      <c r="V819" s="14">
        <f>S819-U819</f>
        <v>18000</v>
      </c>
      <c r="W819" s="16">
        <f>IF(S819&gt;0, V819/S819, 0)</f>
        <v>1</v>
      </c>
      <c r="X819" s="7" t="s">
        <v>39</v>
      </c>
      <c r="Y819" s="9" t="s">
        <v>40</v>
      </c>
      <c r="Z819" s="9" t="s">
        <v>41</v>
      </c>
      <c r="AA819" s="9" t="s">
        <v>42</v>
      </c>
      <c r="AB819" s="7" t="s">
        <v>42</v>
      </c>
    </row>
    <row r="820" spans="1:28">
      <c r="A820" s="8">
        <v>813</v>
      </c>
      <c r="B820" s="8" t="s">
        <v>1113</v>
      </c>
      <c r="C820" s="8" t="s">
        <v>1080</v>
      </c>
      <c r="D820" s="8" t="s">
        <v>652</v>
      </c>
      <c r="E820" s="8" t="s">
        <v>33</v>
      </c>
      <c r="F820" s="6" t="s">
        <v>34</v>
      </c>
      <c r="G820" s="6" t="s">
        <v>56</v>
      </c>
      <c r="H820" s="6" t="s">
        <v>56</v>
      </c>
      <c r="I820" s="8">
        <v>158</v>
      </c>
      <c r="J820" s="8" t="s">
        <v>128</v>
      </c>
      <c r="K820" s="8" t="s">
        <v>38</v>
      </c>
      <c r="L820" s="10">
        <v>1</v>
      </c>
      <c r="M820" s="13">
        <v>9000.0</v>
      </c>
      <c r="N820" s="13"/>
      <c r="O820" s="15">
        <f>IF(M820&gt;0, N820/M820, 0)</f>
        <v>0</v>
      </c>
      <c r="P820" s="13">
        <f>M820-N820</f>
        <v>9000</v>
      </c>
      <c r="Q820" s="13">
        <f>L820*M820</f>
        <v>9000</v>
      </c>
      <c r="R820" s="13">
        <f>L820*N820</f>
        <v>0</v>
      </c>
      <c r="S820" s="13">
        <f>L820*P820</f>
        <v>9000</v>
      </c>
      <c r="T820" s="13"/>
      <c r="U820" s="13">
        <f>L820*T820</f>
        <v>0</v>
      </c>
      <c r="V820" s="13">
        <f>S820-U820</f>
        <v>9000</v>
      </c>
      <c r="W820" s="15">
        <f>IF(S820&gt;0, V820/S820, 0)</f>
        <v>1</v>
      </c>
      <c r="X820" s="6" t="s">
        <v>39</v>
      </c>
      <c r="Y820" s="8" t="s">
        <v>40</v>
      </c>
      <c r="Z820" s="8" t="s">
        <v>41</v>
      </c>
      <c r="AA820" s="8" t="s">
        <v>42</v>
      </c>
      <c r="AB820" s="6" t="s">
        <v>42</v>
      </c>
    </row>
    <row r="821" spans="1:28">
      <c r="A821" s="9">
        <v>814</v>
      </c>
      <c r="B821" s="9" t="s">
        <v>1114</v>
      </c>
      <c r="C821" s="9" t="s">
        <v>1080</v>
      </c>
      <c r="D821" s="9" t="s">
        <v>652</v>
      </c>
      <c r="E821" s="9" t="s">
        <v>33</v>
      </c>
      <c r="F821" s="7" t="s">
        <v>34</v>
      </c>
      <c r="G821" s="7" t="s">
        <v>45</v>
      </c>
      <c r="H821" s="7" t="s">
        <v>46</v>
      </c>
      <c r="I821" s="9">
        <v>164</v>
      </c>
      <c r="J821" s="9" t="s">
        <v>318</v>
      </c>
      <c r="K821" s="9" t="s">
        <v>38</v>
      </c>
      <c r="L821" s="11">
        <v>1</v>
      </c>
      <c r="M821" s="14">
        <v>18000.0</v>
      </c>
      <c r="N821" s="14"/>
      <c r="O821" s="16">
        <f>IF(M821&gt;0, N821/M821, 0)</f>
        <v>0</v>
      </c>
      <c r="P821" s="14">
        <f>M821-N821</f>
        <v>18000</v>
      </c>
      <c r="Q821" s="14">
        <f>L821*M821</f>
        <v>18000</v>
      </c>
      <c r="R821" s="14">
        <f>L821*N821</f>
        <v>0</v>
      </c>
      <c r="S821" s="14">
        <f>L821*P821</f>
        <v>18000</v>
      </c>
      <c r="T821" s="14"/>
      <c r="U821" s="14">
        <f>L821*T821</f>
        <v>0</v>
      </c>
      <c r="V821" s="14">
        <f>S821-U821</f>
        <v>18000</v>
      </c>
      <c r="W821" s="16">
        <f>IF(S821&gt;0, V821/S821, 0)</f>
        <v>1</v>
      </c>
      <c r="X821" s="7" t="s">
        <v>39</v>
      </c>
      <c r="Y821" s="9" t="s">
        <v>40</v>
      </c>
      <c r="Z821" s="9" t="s">
        <v>41</v>
      </c>
      <c r="AA821" s="9" t="s">
        <v>42</v>
      </c>
      <c r="AB821" s="7" t="s">
        <v>42</v>
      </c>
    </row>
    <row r="822" spans="1:28">
      <c r="A822" s="8">
        <v>815</v>
      </c>
      <c r="B822" s="8" t="s">
        <v>1115</v>
      </c>
      <c r="C822" s="8" t="s">
        <v>1080</v>
      </c>
      <c r="D822" s="8" t="s">
        <v>652</v>
      </c>
      <c r="E822" s="8" t="s">
        <v>33</v>
      </c>
      <c r="F822" s="6" t="s">
        <v>34</v>
      </c>
      <c r="G822" s="6" t="s">
        <v>35</v>
      </c>
      <c r="H822" s="6" t="s">
        <v>36</v>
      </c>
      <c r="I822" s="8">
        <v>164</v>
      </c>
      <c r="J822" s="8" t="s">
        <v>77</v>
      </c>
      <c r="K822" s="8" t="s">
        <v>38</v>
      </c>
      <c r="L822" s="10">
        <v>1</v>
      </c>
      <c r="M822" s="13">
        <v>8000.0</v>
      </c>
      <c r="N822" s="13"/>
      <c r="O822" s="15">
        <f>IF(M822&gt;0, N822/M822, 0)</f>
        <v>0</v>
      </c>
      <c r="P822" s="13">
        <f>M822-N822</f>
        <v>8000</v>
      </c>
      <c r="Q822" s="13">
        <f>L822*M822</f>
        <v>8000</v>
      </c>
      <c r="R822" s="13">
        <f>L822*N822</f>
        <v>0</v>
      </c>
      <c r="S822" s="13">
        <f>L822*P822</f>
        <v>8000</v>
      </c>
      <c r="T822" s="13"/>
      <c r="U822" s="13">
        <f>L822*T822</f>
        <v>0</v>
      </c>
      <c r="V822" s="13">
        <f>S822-U822</f>
        <v>8000</v>
      </c>
      <c r="W822" s="15">
        <f>IF(S822&gt;0, V822/S822, 0)</f>
        <v>1</v>
      </c>
      <c r="X822" s="6" t="s">
        <v>39</v>
      </c>
      <c r="Y822" s="8" t="s">
        <v>40</v>
      </c>
      <c r="Z822" s="8" t="s">
        <v>41</v>
      </c>
      <c r="AA822" s="8" t="s">
        <v>42</v>
      </c>
      <c r="AB822" s="6" t="s">
        <v>42</v>
      </c>
    </row>
    <row r="823" spans="1:28">
      <c r="A823" s="9">
        <v>816</v>
      </c>
      <c r="B823" s="9" t="s">
        <v>1116</v>
      </c>
      <c r="C823" s="9" t="s">
        <v>1080</v>
      </c>
      <c r="D823" s="9" t="s">
        <v>652</v>
      </c>
      <c r="E823" s="9" t="s">
        <v>68</v>
      </c>
      <c r="F823" s="7" t="s">
        <v>34</v>
      </c>
      <c r="G823" s="7" t="s">
        <v>35</v>
      </c>
      <c r="H823" s="7" t="s">
        <v>36</v>
      </c>
      <c r="I823" s="9">
        <v>158</v>
      </c>
      <c r="J823" s="9" t="s">
        <v>37</v>
      </c>
      <c r="K823" s="9" t="s">
        <v>38</v>
      </c>
      <c r="L823" s="11">
        <v>1</v>
      </c>
      <c r="M823" s="14">
        <v>10000.0</v>
      </c>
      <c r="N823" s="14"/>
      <c r="O823" s="16">
        <f>IF(M823&gt;0, N823/M823, 0)</f>
        <v>0</v>
      </c>
      <c r="P823" s="14">
        <f>M823-N823</f>
        <v>10000</v>
      </c>
      <c r="Q823" s="14">
        <f>L823*M823</f>
        <v>10000</v>
      </c>
      <c r="R823" s="14">
        <f>L823*N823</f>
        <v>0</v>
      </c>
      <c r="S823" s="14">
        <f>L823*P823</f>
        <v>10000</v>
      </c>
      <c r="T823" s="14"/>
      <c r="U823" s="14">
        <f>L823*T823</f>
        <v>0</v>
      </c>
      <c r="V823" s="14">
        <f>S823-U823</f>
        <v>10000</v>
      </c>
      <c r="W823" s="16">
        <f>IF(S823&gt;0, V823/S823, 0)</f>
        <v>1</v>
      </c>
      <c r="X823" s="7" t="s">
        <v>39</v>
      </c>
      <c r="Y823" s="9" t="s">
        <v>40</v>
      </c>
      <c r="Z823" s="9" t="s">
        <v>71</v>
      </c>
      <c r="AA823" s="9" t="s">
        <v>42</v>
      </c>
      <c r="AB823" s="7" t="s">
        <v>42</v>
      </c>
    </row>
    <row r="824" spans="1:28">
      <c r="A824" s="8">
        <v>817</v>
      </c>
      <c r="B824" s="8" t="s">
        <v>1117</v>
      </c>
      <c r="C824" s="8" t="s">
        <v>1080</v>
      </c>
      <c r="D824" s="8" t="s">
        <v>652</v>
      </c>
      <c r="E824" s="8" t="s">
        <v>68</v>
      </c>
      <c r="F824" s="6" t="s">
        <v>34</v>
      </c>
      <c r="G824" s="6" t="s">
        <v>69</v>
      </c>
      <c r="H824" s="6" t="s">
        <v>69</v>
      </c>
      <c r="I824" s="8">
        <v>158</v>
      </c>
      <c r="J824" s="8" t="s">
        <v>260</v>
      </c>
      <c r="K824" s="8" t="s">
        <v>38</v>
      </c>
      <c r="L824" s="10">
        <v>1</v>
      </c>
      <c r="M824" s="13">
        <v>18000.0</v>
      </c>
      <c r="N824" s="13"/>
      <c r="O824" s="15">
        <f>IF(M824&gt;0, N824/M824, 0)</f>
        <v>0</v>
      </c>
      <c r="P824" s="13">
        <f>M824-N824</f>
        <v>18000</v>
      </c>
      <c r="Q824" s="13">
        <f>L824*M824</f>
        <v>18000</v>
      </c>
      <c r="R824" s="13">
        <f>L824*N824</f>
        <v>0</v>
      </c>
      <c r="S824" s="13">
        <f>L824*P824</f>
        <v>18000</v>
      </c>
      <c r="T824" s="13"/>
      <c r="U824" s="13">
        <f>L824*T824</f>
        <v>0</v>
      </c>
      <c r="V824" s="13">
        <f>S824-U824</f>
        <v>18000</v>
      </c>
      <c r="W824" s="15">
        <f>IF(S824&gt;0, V824/S824, 0)</f>
        <v>1</v>
      </c>
      <c r="X824" s="6" t="s">
        <v>39</v>
      </c>
      <c r="Y824" s="8" t="s">
        <v>40</v>
      </c>
      <c r="Z824" s="8" t="s">
        <v>71</v>
      </c>
      <c r="AA824" s="8" t="s">
        <v>42</v>
      </c>
      <c r="AB824" s="6" t="s">
        <v>42</v>
      </c>
    </row>
    <row r="825" spans="1:28">
      <c r="A825" s="9">
        <v>818</v>
      </c>
      <c r="B825" s="9" t="s">
        <v>1118</v>
      </c>
      <c r="C825" s="9" t="s">
        <v>1080</v>
      </c>
      <c r="D825" s="9" t="s">
        <v>652</v>
      </c>
      <c r="E825" s="9" t="s">
        <v>33</v>
      </c>
      <c r="F825" s="7" t="s">
        <v>34</v>
      </c>
      <c r="G825" s="7" t="s">
        <v>56</v>
      </c>
      <c r="H825" s="7" t="s">
        <v>56</v>
      </c>
      <c r="I825" s="9">
        <v>152</v>
      </c>
      <c r="J825" s="9" t="s">
        <v>329</v>
      </c>
      <c r="K825" s="9" t="s">
        <v>38</v>
      </c>
      <c r="L825" s="11">
        <v>1</v>
      </c>
      <c r="M825" s="14">
        <v>7500.0</v>
      </c>
      <c r="N825" s="14"/>
      <c r="O825" s="16">
        <f>IF(M825&gt;0, N825/M825, 0)</f>
        <v>0</v>
      </c>
      <c r="P825" s="14">
        <f>M825-N825</f>
        <v>7500</v>
      </c>
      <c r="Q825" s="14">
        <f>L825*M825</f>
        <v>7500</v>
      </c>
      <c r="R825" s="14">
        <f>L825*N825</f>
        <v>0</v>
      </c>
      <c r="S825" s="14">
        <f>L825*P825</f>
        <v>7500</v>
      </c>
      <c r="T825" s="14"/>
      <c r="U825" s="14">
        <f>L825*T825</f>
        <v>0</v>
      </c>
      <c r="V825" s="14">
        <f>S825-U825</f>
        <v>7500</v>
      </c>
      <c r="W825" s="16">
        <f>IF(S825&gt;0, V825/S825, 0)</f>
        <v>1</v>
      </c>
      <c r="X825" s="7" t="s">
        <v>39</v>
      </c>
      <c r="Y825" s="9" t="s">
        <v>40</v>
      </c>
      <c r="Z825" s="9" t="s">
        <v>41</v>
      </c>
      <c r="AA825" s="9" t="s">
        <v>42</v>
      </c>
      <c r="AB825" s="7" t="s">
        <v>42</v>
      </c>
    </row>
    <row r="826" spans="1:28">
      <c r="A826" s="8">
        <v>819</v>
      </c>
      <c r="B826" s="8" t="s">
        <v>1119</v>
      </c>
      <c r="C826" s="8" t="s">
        <v>1080</v>
      </c>
      <c r="D826" s="8" t="s">
        <v>652</v>
      </c>
      <c r="E826" s="8" t="s">
        <v>33</v>
      </c>
      <c r="F826" s="6" t="s">
        <v>34</v>
      </c>
      <c r="G826" s="6" t="s">
        <v>35</v>
      </c>
      <c r="H826" s="6" t="s">
        <v>36</v>
      </c>
      <c r="I826" s="8">
        <v>164</v>
      </c>
      <c r="J826" s="8" t="s">
        <v>77</v>
      </c>
      <c r="K826" s="8" t="s">
        <v>38</v>
      </c>
      <c r="L826" s="10">
        <v>1</v>
      </c>
      <c r="M826" s="13">
        <v>8000.0</v>
      </c>
      <c r="N826" s="13"/>
      <c r="O826" s="15">
        <f>IF(M826&gt;0, N826/M826, 0)</f>
        <v>0</v>
      </c>
      <c r="P826" s="13">
        <f>M826-N826</f>
        <v>8000</v>
      </c>
      <c r="Q826" s="13">
        <f>L826*M826</f>
        <v>8000</v>
      </c>
      <c r="R826" s="13">
        <f>L826*N826</f>
        <v>0</v>
      </c>
      <c r="S826" s="13">
        <f>L826*P826</f>
        <v>8000</v>
      </c>
      <c r="T826" s="13"/>
      <c r="U826" s="13">
        <f>L826*T826</f>
        <v>0</v>
      </c>
      <c r="V826" s="13">
        <f>S826-U826</f>
        <v>8000</v>
      </c>
      <c r="W826" s="15">
        <f>IF(S826&gt;0, V826/S826, 0)</f>
        <v>1</v>
      </c>
      <c r="X826" s="6" t="s">
        <v>39</v>
      </c>
      <c r="Y826" s="8" t="s">
        <v>40</v>
      </c>
      <c r="Z826" s="8" t="s">
        <v>41</v>
      </c>
      <c r="AA826" s="8" t="s">
        <v>42</v>
      </c>
      <c r="AB826" s="6" t="s">
        <v>42</v>
      </c>
    </row>
    <row r="827" spans="1:28">
      <c r="A827" s="9">
        <v>820</v>
      </c>
      <c r="B827" s="9" t="s">
        <v>1120</v>
      </c>
      <c r="C827" s="9" t="s">
        <v>1080</v>
      </c>
      <c r="D827" s="9" t="s">
        <v>652</v>
      </c>
      <c r="E827" s="9" t="s">
        <v>68</v>
      </c>
      <c r="F827" s="7" t="s">
        <v>50</v>
      </c>
      <c r="G827" s="7" t="s">
        <v>63</v>
      </c>
      <c r="H827" s="7" t="s">
        <v>148</v>
      </c>
      <c r="I827" s="9">
        <v>140</v>
      </c>
      <c r="J827" s="9" t="s">
        <v>221</v>
      </c>
      <c r="K827" s="9" t="s">
        <v>38</v>
      </c>
      <c r="L827" s="11">
        <v>1</v>
      </c>
      <c r="M827" s="14">
        <v>10000.0</v>
      </c>
      <c r="N827" s="14"/>
      <c r="O827" s="16">
        <f>IF(M827&gt;0, N827/M827, 0)</f>
        <v>0</v>
      </c>
      <c r="P827" s="14">
        <f>M827-N827</f>
        <v>10000</v>
      </c>
      <c r="Q827" s="14">
        <f>L827*M827</f>
        <v>10000</v>
      </c>
      <c r="R827" s="14">
        <f>L827*N827</f>
        <v>0</v>
      </c>
      <c r="S827" s="14">
        <f>L827*P827</f>
        <v>10000</v>
      </c>
      <c r="T827" s="14"/>
      <c r="U827" s="14">
        <f>L827*T827</f>
        <v>0</v>
      </c>
      <c r="V827" s="14">
        <f>S827-U827</f>
        <v>10000</v>
      </c>
      <c r="W827" s="16">
        <f>IF(S827&gt;0, V827/S827, 0)</f>
        <v>1</v>
      </c>
      <c r="X827" s="7" t="s">
        <v>39</v>
      </c>
      <c r="Y827" s="9" t="s">
        <v>40</v>
      </c>
      <c r="Z827" s="9" t="s">
        <v>71</v>
      </c>
      <c r="AA827" s="9" t="s">
        <v>42</v>
      </c>
      <c r="AB827" s="7" t="s">
        <v>42</v>
      </c>
    </row>
    <row r="828" spans="1:28">
      <c r="A828" s="8">
        <v>821</v>
      </c>
      <c r="B828" s="8" t="s">
        <v>1121</v>
      </c>
      <c r="C828" s="8" t="s">
        <v>1080</v>
      </c>
      <c r="D828" s="8" t="s">
        <v>652</v>
      </c>
      <c r="E828" s="8" t="s">
        <v>68</v>
      </c>
      <c r="F828" s="6" t="s">
        <v>50</v>
      </c>
      <c r="G828" s="6" t="s">
        <v>56</v>
      </c>
      <c r="H828" s="6" t="s">
        <v>56</v>
      </c>
      <c r="I828" s="8">
        <v>140</v>
      </c>
      <c r="J828" s="8" t="s">
        <v>597</v>
      </c>
      <c r="K828" s="8" t="s">
        <v>38</v>
      </c>
      <c r="L828" s="10">
        <v>1</v>
      </c>
      <c r="M828" s="13">
        <v>8000.0</v>
      </c>
      <c r="N828" s="13"/>
      <c r="O828" s="15">
        <f>IF(M828&gt;0, N828/M828, 0)</f>
        <v>0</v>
      </c>
      <c r="P828" s="13">
        <f>M828-N828</f>
        <v>8000</v>
      </c>
      <c r="Q828" s="13">
        <f>L828*M828</f>
        <v>8000</v>
      </c>
      <c r="R828" s="13">
        <f>L828*N828</f>
        <v>0</v>
      </c>
      <c r="S828" s="13">
        <f>L828*P828</f>
        <v>8000</v>
      </c>
      <c r="T828" s="13"/>
      <c r="U828" s="13">
        <f>L828*T828</f>
        <v>0</v>
      </c>
      <c r="V828" s="13">
        <f>S828-U828</f>
        <v>8000</v>
      </c>
      <c r="W828" s="15">
        <f>IF(S828&gt;0, V828/S828, 0)</f>
        <v>1</v>
      </c>
      <c r="X828" s="6" t="s">
        <v>39</v>
      </c>
      <c r="Y828" s="8" t="s">
        <v>40</v>
      </c>
      <c r="Z828" s="8" t="s">
        <v>71</v>
      </c>
      <c r="AA828" s="8" t="s">
        <v>42</v>
      </c>
      <c r="AB828" s="6" t="s">
        <v>42</v>
      </c>
    </row>
    <row r="829" spans="1:28">
      <c r="A829" s="9">
        <v>822</v>
      </c>
      <c r="B829" s="9" t="s">
        <v>1122</v>
      </c>
      <c r="C829" s="9" t="s">
        <v>1080</v>
      </c>
      <c r="D829" s="9" t="s">
        <v>652</v>
      </c>
      <c r="E829" s="9" t="s">
        <v>33</v>
      </c>
      <c r="F829" s="7" t="s">
        <v>50</v>
      </c>
      <c r="G829" s="7" t="s">
        <v>51</v>
      </c>
      <c r="H829" s="7" t="s">
        <v>51</v>
      </c>
      <c r="I829" s="9">
        <v>140</v>
      </c>
      <c r="J829" s="9" t="s">
        <v>279</v>
      </c>
      <c r="K829" s="9" t="s">
        <v>53</v>
      </c>
      <c r="L829" s="11">
        <v>1</v>
      </c>
      <c r="M829" s="14">
        <v>8000.0</v>
      </c>
      <c r="N829" s="14"/>
      <c r="O829" s="16">
        <f>IF(M829&gt;0, N829/M829, 0)</f>
        <v>0</v>
      </c>
      <c r="P829" s="14">
        <f>M829-N829</f>
        <v>8000</v>
      </c>
      <c r="Q829" s="14">
        <f>L829*M829</f>
        <v>8000</v>
      </c>
      <c r="R829" s="14">
        <f>L829*N829</f>
        <v>0</v>
      </c>
      <c r="S829" s="14">
        <f>L829*P829</f>
        <v>8000</v>
      </c>
      <c r="T829" s="14"/>
      <c r="U829" s="14">
        <f>L829*T829</f>
        <v>0</v>
      </c>
      <c r="V829" s="14">
        <f>S829-U829</f>
        <v>8000</v>
      </c>
      <c r="W829" s="16">
        <f>IF(S829&gt;0, V829/S829, 0)</f>
        <v>1</v>
      </c>
      <c r="X829" s="7" t="s">
        <v>39</v>
      </c>
      <c r="Y829" s="9" t="s">
        <v>40</v>
      </c>
      <c r="Z829" s="9" t="s">
        <v>41</v>
      </c>
      <c r="AA829" s="9" t="s">
        <v>42</v>
      </c>
      <c r="AB829" s="7" t="s">
        <v>42</v>
      </c>
    </row>
    <row r="830" spans="1:28">
      <c r="A830" s="8">
        <v>823</v>
      </c>
      <c r="B830" s="8" t="s">
        <v>1123</v>
      </c>
      <c r="C830" s="8" t="s">
        <v>1080</v>
      </c>
      <c r="D830" s="8" t="s">
        <v>652</v>
      </c>
      <c r="E830" s="8" t="s">
        <v>33</v>
      </c>
      <c r="F830" s="6" t="s">
        <v>50</v>
      </c>
      <c r="G830" s="6" t="s">
        <v>69</v>
      </c>
      <c r="H830" s="6" t="s">
        <v>69</v>
      </c>
      <c r="I830" s="8">
        <v>140</v>
      </c>
      <c r="J830" s="8" t="s">
        <v>225</v>
      </c>
      <c r="K830" s="8" t="s">
        <v>38</v>
      </c>
      <c r="L830" s="10">
        <v>1</v>
      </c>
      <c r="M830" s="13">
        <v>16000.0</v>
      </c>
      <c r="N830" s="13"/>
      <c r="O830" s="15">
        <f>IF(M830&gt;0, N830/M830, 0)</f>
        <v>0</v>
      </c>
      <c r="P830" s="13">
        <f>M830-N830</f>
        <v>16000</v>
      </c>
      <c r="Q830" s="13">
        <f>L830*M830</f>
        <v>16000</v>
      </c>
      <c r="R830" s="13">
        <f>L830*N830</f>
        <v>0</v>
      </c>
      <c r="S830" s="13">
        <f>L830*P830</f>
        <v>16000</v>
      </c>
      <c r="T830" s="13"/>
      <c r="U830" s="13">
        <f>L830*T830</f>
        <v>0</v>
      </c>
      <c r="V830" s="13">
        <f>S830-U830</f>
        <v>16000</v>
      </c>
      <c r="W830" s="15">
        <f>IF(S830&gt;0, V830/S830, 0)</f>
        <v>1</v>
      </c>
      <c r="X830" s="6" t="s">
        <v>39</v>
      </c>
      <c r="Y830" s="8" t="s">
        <v>40</v>
      </c>
      <c r="Z830" s="8" t="s">
        <v>41</v>
      </c>
      <c r="AA830" s="8" t="s">
        <v>42</v>
      </c>
      <c r="AB830" s="6" t="s">
        <v>42</v>
      </c>
    </row>
    <row r="831" spans="1:28">
      <c r="A831" s="9">
        <v>824</v>
      </c>
      <c r="B831" s="9" t="s">
        <v>1124</v>
      </c>
      <c r="C831" s="9" t="s">
        <v>1080</v>
      </c>
      <c r="D831" s="9" t="s">
        <v>652</v>
      </c>
      <c r="E831" s="9" t="s">
        <v>33</v>
      </c>
      <c r="F831" s="7" t="s">
        <v>50</v>
      </c>
      <c r="G831" s="7" t="s">
        <v>35</v>
      </c>
      <c r="H831" s="7" t="s">
        <v>36</v>
      </c>
      <c r="I831" s="9">
        <v>140</v>
      </c>
      <c r="J831" s="9" t="s">
        <v>223</v>
      </c>
      <c r="K831" s="9" t="s">
        <v>53</v>
      </c>
      <c r="L831" s="11">
        <v>2</v>
      </c>
      <c r="M831" s="14">
        <v>7000.0</v>
      </c>
      <c r="N831" s="14"/>
      <c r="O831" s="16">
        <f>IF(M831&gt;0, N831/M831, 0)</f>
        <v>0</v>
      </c>
      <c r="P831" s="14">
        <f>M831-N831</f>
        <v>7000</v>
      </c>
      <c r="Q831" s="14">
        <f>L831*M831</f>
        <v>14000</v>
      </c>
      <c r="R831" s="14">
        <f>L831*N831</f>
        <v>0</v>
      </c>
      <c r="S831" s="14">
        <f>L831*P831</f>
        <v>14000</v>
      </c>
      <c r="T831" s="14"/>
      <c r="U831" s="14">
        <f>L831*T831</f>
        <v>0</v>
      </c>
      <c r="V831" s="14">
        <f>S831-U831</f>
        <v>14000</v>
      </c>
      <c r="W831" s="16">
        <f>IF(S831&gt;0, V831/S831, 0)</f>
        <v>1</v>
      </c>
      <c r="X831" s="7" t="s">
        <v>39</v>
      </c>
      <c r="Y831" s="9" t="s">
        <v>40</v>
      </c>
      <c r="Z831" s="9" t="s">
        <v>41</v>
      </c>
      <c r="AA831" s="9" t="s">
        <v>42</v>
      </c>
      <c r="AB831" s="7" t="s">
        <v>42</v>
      </c>
    </row>
    <row r="832" spans="1:28">
      <c r="A832" s="8">
        <v>825</v>
      </c>
      <c r="B832" s="8" t="s">
        <v>1125</v>
      </c>
      <c r="C832" s="8" t="s">
        <v>1080</v>
      </c>
      <c r="D832" s="8" t="s">
        <v>652</v>
      </c>
      <c r="E832" s="8" t="s">
        <v>33</v>
      </c>
      <c r="F832" s="6" t="s">
        <v>50</v>
      </c>
      <c r="G832" s="6" t="s">
        <v>69</v>
      </c>
      <c r="H832" s="6" t="s">
        <v>69</v>
      </c>
      <c r="I832" s="8">
        <v>128</v>
      </c>
      <c r="J832" s="8" t="s">
        <v>110</v>
      </c>
      <c r="K832" s="8" t="s">
        <v>38</v>
      </c>
      <c r="L832" s="10">
        <v>1</v>
      </c>
      <c r="M832" s="13">
        <v>16000.0</v>
      </c>
      <c r="N832" s="13"/>
      <c r="O832" s="15">
        <f>IF(M832&gt;0, N832/M832, 0)</f>
        <v>0</v>
      </c>
      <c r="P832" s="13">
        <f>M832-N832</f>
        <v>16000</v>
      </c>
      <c r="Q832" s="13">
        <f>L832*M832</f>
        <v>16000</v>
      </c>
      <c r="R832" s="13">
        <f>L832*N832</f>
        <v>0</v>
      </c>
      <c r="S832" s="13">
        <f>L832*P832</f>
        <v>16000</v>
      </c>
      <c r="T832" s="13"/>
      <c r="U832" s="13">
        <f>L832*T832</f>
        <v>0</v>
      </c>
      <c r="V832" s="13">
        <f>S832-U832</f>
        <v>16000</v>
      </c>
      <c r="W832" s="15">
        <f>IF(S832&gt;0, V832/S832, 0)</f>
        <v>1</v>
      </c>
      <c r="X832" s="6" t="s">
        <v>39</v>
      </c>
      <c r="Y832" s="8" t="s">
        <v>40</v>
      </c>
      <c r="Z832" s="8" t="s">
        <v>41</v>
      </c>
      <c r="AA832" s="8" t="s">
        <v>42</v>
      </c>
      <c r="AB832" s="6" t="s">
        <v>42</v>
      </c>
    </row>
    <row r="833" spans="1:28">
      <c r="A833" s="9">
        <v>826</v>
      </c>
      <c r="B833" s="9" t="s">
        <v>1126</v>
      </c>
      <c r="C833" s="9" t="s">
        <v>1080</v>
      </c>
      <c r="D833" s="9" t="s">
        <v>652</v>
      </c>
      <c r="E833" s="9" t="s">
        <v>33</v>
      </c>
      <c r="F833" s="7" t="s">
        <v>50</v>
      </c>
      <c r="G833" s="7" t="s">
        <v>69</v>
      </c>
      <c r="H833" s="7" t="s">
        <v>69</v>
      </c>
      <c r="I833" s="9">
        <v>152</v>
      </c>
      <c r="J833" s="9" t="s">
        <v>350</v>
      </c>
      <c r="K833" s="9" t="s">
        <v>38</v>
      </c>
      <c r="L833" s="11">
        <v>1</v>
      </c>
      <c r="M833" s="14">
        <v>16000.0</v>
      </c>
      <c r="N833" s="14"/>
      <c r="O833" s="16">
        <f>IF(M833&gt;0, N833/M833, 0)</f>
        <v>0</v>
      </c>
      <c r="P833" s="14">
        <f>M833-N833</f>
        <v>16000</v>
      </c>
      <c r="Q833" s="14">
        <f>L833*M833</f>
        <v>16000</v>
      </c>
      <c r="R833" s="14">
        <f>L833*N833</f>
        <v>0</v>
      </c>
      <c r="S833" s="14">
        <f>L833*P833</f>
        <v>16000</v>
      </c>
      <c r="T833" s="14"/>
      <c r="U833" s="14">
        <f>L833*T833</f>
        <v>0</v>
      </c>
      <c r="V833" s="14">
        <f>S833-U833</f>
        <v>16000</v>
      </c>
      <c r="W833" s="16">
        <f>IF(S833&gt;0, V833/S833, 0)</f>
        <v>1</v>
      </c>
      <c r="X833" s="7" t="s">
        <v>39</v>
      </c>
      <c r="Y833" s="9" t="s">
        <v>40</v>
      </c>
      <c r="Z833" s="9" t="s">
        <v>41</v>
      </c>
      <c r="AA833" s="9" t="s">
        <v>42</v>
      </c>
      <c r="AB833" s="7" t="s">
        <v>42</v>
      </c>
    </row>
    <row r="834" spans="1:28">
      <c r="A834" s="8">
        <v>827</v>
      </c>
      <c r="B834" s="8" t="s">
        <v>1127</v>
      </c>
      <c r="C834" s="8" t="s">
        <v>1080</v>
      </c>
      <c r="D834" s="8" t="s">
        <v>652</v>
      </c>
      <c r="E834" s="8" t="s">
        <v>33</v>
      </c>
      <c r="F834" s="6" t="s">
        <v>50</v>
      </c>
      <c r="G834" s="6" t="s">
        <v>35</v>
      </c>
      <c r="H834" s="6" t="s">
        <v>36</v>
      </c>
      <c r="I834" s="8">
        <v>128</v>
      </c>
      <c r="J834" s="8" t="s">
        <v>156</v>
      </c>
      <c r="K834" s="8" t="s">
        <v>53</v>
      </c>
      <c r="L834" s="10">
        <v>1</v>
      </c>
      <c r="M834" s="13">
        <v>7000.0</v>
      </c>
      <c r="N834" s="13"/>
      <c r="O834" s="15">
        <f>IF(M834&gt;0, N834/M834, 0)</f>
        <v>0</v>
      </c>
      <c r="P834" s="13">
        <f>M834-N834</f>
        <v>7000</v>
      </c>
      <c r="Q834" s="13">
        <f>L834*M834</f>
        <v>7000</v>
      </c>
      <c r="R834" s="13">
        <f>L834*N834</f>
        <v>0</v>
      </c>
      <c r="S834" s="13">
        <f>L834*P834</f>
        <v>7000</v>
      </c>
      <c r="T834" s="13"/>
      <c r="U834" s="13">
        <f>L834*T834</f>
        <v>0</v>
      </c>
      <c r="V834" s="13">
        <f>S834-U834</f>
        <v>7000</v>
      </c>
      <c r="W834" s="15">
        <f>IF(S834&gt;0, V834/S834, 0)</f>
        <v>1</v>
      </c>
      <c r="X834" s="6" t="s">
        <v>39</v>
      </c>
      <c r="Y834" s="8" t="s">
        <v>40</v>
      </c>
      <c r="Z834" s="8" t="s">
        <v>41</v>
      </c>
      <c r="AA834" s="8" t="s">
        <v>42</v>
      </c>
      <c r="AB834" s="6" t="s">
        <v>42</v>
      </c>
    </row>
    <row r="835" spans="1:28">
      <c r="A835" s="9">
        <v>828</v>
      </c>
      <c r="B835" s="9" t="s">
        <v>1128</v>
      </c>
      <c r="C835" s="9" t="s">
        <v>1080</v>
      </c>
      <c r="D835" s="9" t="s">
        <v>652</v>
      </c>
      <c r="E835" s="9" t="s">
        <v>33</v>
      </c>
      <c r="F835" s="7" t="s">
        <v>50</v>
      </c>
      <c r="G835" s="7" t="s">
        <v>35</v>
      </c>
      <c r="H835" s="7" t="s">
        <v>36</v>
      </c>
      <c r="I835" s="9">
        <v>146</v>
      </c>
      <c r="J835" s="9" t="s">
        <v>257</v>
      </c>
      <c r="K835" s="9" t="s">
        <v>53</v>
      </c>
      <c r="L835" s="11">
        <v>1</v>
      </c>
      <c r="M835" s="14">
        <v>7000.0</v>
      </c>
      <c r="N835" s="14"/>
      <c r="O835" s="16">
        <f>IF(M835&gt;0, N835/M835, 0)</f>
        <v>0</v>
      </c>
      <c r="P835" s="14">
        <f>M835-N835</f>
        <v>7000</v>
      </c>
      <c r="Q835" s="14">
        <f>L835*M835</f>
        <v>7000</v>
      </c>
      <c r="R835" s="14">
        <f>L835*N835</f>
        <v>0</v>
      </c>
      <c r="S835" s="14">
        <f>L835*P835</f>
        <v>7000</v>
      </c>
      <c r="T835" s="14"/>
      <c r="U835" s="14">
        <f>L835*T835</f>
        <v>0</v>
      </c>
      <c r="V835" s="14">
        <f>S835-U835</f>
        <v>7000</v>
      </c>
      <c r="W835" s="16">
        <f>IF(S835&gt;0, V835/S835, 0)</f>
        <v>1</v>
      </c>
      <c r="X835" s="7" t="s">
        <v>39</v>
      </c>
      <c r="Y835" s="9" t="s">
        <v>40</v>
      </c>
      <c r="Z835" s="9" t="s">
        <v>41</v>
      </c>
      <c r="AA835" s="9" t="s">
        <v>42</v>
      </c>
      <c r="AB835" s="7" t="s">
        <v>42</v>
      </c>
    </row>
    <row r="836" spans="1:28">
      <c r="A836" s="8">
        <v>829</v>
      </c>
      <c r="B836" s="8" t="s">
        <v>1129</v>
      </c>
      <c r="C836" s="8" t="s">
        <v>1080</v>
      </c>
      <c r="D836" s="8" t="s">
        <v>652</v>
      </c>
      <c r="E836" s="8" t="s">
        <v>33</v>
      </c>
      <c r="F836" s="6" t="s">
        <v>50</v>
      </c>
      <c r="G836" s="6" t="s">
        <v>51</v>
      </c>
      <c r="H836" s="6" t="s">
        <v>51</v>
      </c>
      <c r="I836" s="8">
        <v>140</v>
      </c>
      <c r="J836" s="8" t="s">
        <v>279</v>
      </c>
      <c r="K836" s="8" t="s">
        <v>53</v>
      </c>
      <c r="L836" s="10">
        <v>1</v>
      </c>
      <c r="M836" s="13">
        <v>9000.0</v>
      </c>
      <c r="N836" s="13"/>
      <c r="O836" s="15">
        <f>IF(M836&gt;0, N836/M836, 0)</f>
        <v>0</v>
      </c>
      <c r="P836" s="13">
        <f>M836-N836</f>
        <v>9000</v>
      </c>
      <c r="Q836" s="13">
        <f>L836*M836</f>
        <v>9000</v>
      </c>
      <c r="R836" s="13">
        <f>L836*N836</f>
        <v>0</v>
      </c>
      <c r="S836" s="13">
        <f>L836*P836</f>
        <v>9000</v>
      </c>
      <c r="T836" s="13"/>
      <c r="U836" s="13">
        <f>L836*T836</f>
        <v>0</v>
      </c>
      <c r="V836" s="13">
        <f>S836-U836</f>
        <v>9000</v>
      </c>
      <c r="W836" s="15">
        <f>IF(S836&gt;0, V836/S836, 0)</f>
        <v>1</v>
      </c>
      <c r="X836" s="6" t="s">
        <v>39</v>
      </c>
      <c r="Y836" s="8" t="s">
        <v>40</v>
      </c>
      <c r="Z836" s="8" t="s">
        <v>41</v>
      </c>
      <c r="AA836" s="8" t="s">
        <v>42</v>
      </c>
      <c r="AB836" s="6" t="s">
        <v>42</v>
      </c>
    </row>
    <row r="837" spans="1:28">
      <c r="A837" s="9">
        <v>830</v>
      </c>
      <c r="B837" s="9" t="s">
        <v>1130</v>
      </c>
      <c r="C837" s="9" t="s">
        <v>1080</v>
      </c>
      <c r="D837" s="9" t="s">
        <v>652</v>
      </c>
      <c r="E837" s="9" t="s">
        <v>33</v>
      </c>
      <c r="F837" s="7" t="s">
        <v>50</v>
      </c>
      <c r="G837" s="7" t="s">
        <v>69</v>
      </c>
      <c r="H837" s="7" t="s">
        <v>69</v>
      </c>
      <c r="I837" s="9">
        <v>146</v>
      </c>
      <c r="J837" s="9" t="s">
        <v>382</v>
      </c>
      <c r="K837" s="9" t="s">
        <v>38</v>
      </c>
      <c r="L837" s="11">
        <v>1</v>
      </c>
      <c r="M837" s="14">
        <v>16000.0</v>
      </c>
      <c r="N837" s="14"/>
      <c r="O837" s="16">
        <f>IF(M837&gt;0, N837/M837, 0)</f>
        <v>0</v>
      </c>
      <c r="P837" s="14">
        <f>M837-N837</f>
        <v>16000</v>
      </c>
      <c r="Q837" s="14">
        <f>L837*M837</f>
        <v>16000</v>
      </c>
      <c r="R837" s="14">
        <f>L837*N837</f>
        <v>0</v>
      </c>
      <c r="S837" s="14">
        <f>L837*P837</f>
        <v>16000</v>
      </c>
      <c r="T837" s="14"/>
      <c r="U837" s="14">
        <f>L837*T837</f>
        <v>0</v>
      </c>
      <c r="V837" s="14">
        <f>S837-U837</f>
        <v>16000</v>
      </c>
      <c r="W837" s="16">
        <f>IF(S837&gt;0, V837/S837, 0)</f>
        <v>1</v>
      </c>
      <c r="X837" s="7" t="s">
        <v>39</v>
      </c>
      <c r="Y837" s="9" t="s">
        <v>40</v>
      </c>
      <c r="Z837" s="9" t="s">
        <v>41</v>
      </c>
      <c r="AA837" s="9" t="s">
        <v>42</v>
      </c>
      <c r="AB837" s="7" t="s">
        <v>42</v>
      </c>
    </row>
    <row r="838" spans="1:28">
      <c r="A838" s="8">
        <v>831</v>
      </c>
      <c r="B838" s="8" t="s">
        <v>1131</v>
      </c>
      <c r="C838" s="8" t="s">
        <v>1080</v>
      </c>
      <c r="D838" s="8" t="s">
        <v>652</v>
      </c>
      <c r="E838" s="8" t="s">
        <v>33</v>
      </c>
      <c r="F838" s="6" t="s">
        <v>50</v>
      </c>
      <c r="G838" s="6" t="s">
        <v>35</v>
      </c>
      <c r="H838" s="6" t="s">
        <v>36</v>
      </c>
      <c r="I838" s="8">
        <v>140</v>
      </c>
      <c r="J838" s="8" t="s">
        <v>223</v>
      </c>
      <c r="K838" s="8" t="s">
        <v>53</v>
      </c>
      <c r="L838" s="10">
        <v>2</v>
      </c>
      <c r="M838" s="13">
        <v>8000.0</v>
      </c>
      <c r="N838" s="13"/>
      <c r="O838" s="15">
        <f>IF(M838&gt;0, N838/M838, 0)</f>
        <v>0</v>
      </c>
      <c r="P838" s="13">
        <f>M838-N838</f>
        <v>8000</v>
      </c>
      <c r="Q838" s="13">
        <f>L838*M838</f>
        <v>16000</v>
      </c>
      <c r="R838" s="13">
        <f>L838*N838</f>
        <v>0</v>
      </c>
      <c r="S838" s="13">
        <f>L838*P838</f>
        <v>16000</v>
      </c>
      <c r="T838" s="13"/>
      <c r="U838" s="13">
        <f>L838*T838</f>
        <v>0</v>
      </c>
      <c r="V838" s="13">
        <f>S838-U838</f>
        <v>16000</v>
      </c>
      <c r="W838" s="15">
        <f>IF(S838&gt;0, V838/S838, 0)</f>
        <v>1</v>
      </c>
      <c r="X838" s="6" t="s">
        <v>39</v>
      </c>
      <c r="Y838" s="8" t="s">
        <v>40</v>
      </c>
      <c r="Z838" s="8" t="s">
        <v>41</v>
      </c>
      <c r="AA838" s="8" t="s">
        <v>42</v>
      </c>
      <c r="AB838" s="6" t="s">
        <v>42</v>
      </c>
    </row>
    <row r="839" spans="1:28">
      <c r="A839" s="9">
        <v>832</v>
      </c>
      <c r="B839" s="9" t="s">
        <v>1132</v>
      </c>
      <c r="C839" s="9" t="s">
        <v>1080</v>
      </c>
      <c r="D839" s="9" t="s">
        <v>652</v>
      </c>
      <c r="E839" s="9" t="s">
        <v>33</v>
      </c>
      <c r="F839" s="7" t="s">
        <v>50</v>
      </c>
      <c r="G839" s="7" t="s">
        <v>63</v>
      </c>
      <c r="H839" s="7" t="s">
        <v>148</v>
      </c>
      <c r="I839" s="9">
        <v>122</v>
      </c>
      <c r="J839" s="9" t="s">
        <v>241</v>
      </c>
      <c r="K839" s="9" t="s">
        <v>38</v>
      </c>
      <c r="L839" s="11">
        <v>1</v>
      </c>
      <c r="M839" s="14">
        <v>9000.0</v>
      </c>
      <c r="N839" s="14"/>
      <c r="O839" s="16">
        <f>IF(M839&gt;0, N839/M839, 0)</f>
        <v>0</v>
      </c>
      <c r="P839" s="14">
        <f>M839-N839</f>
        <v>9000</v>
      </c>
      <c r="Q839" s="14">
        <f>L839*M839</f>
        <v>9000</v>
      </c>
      <c r="R839" s="14">
        <f>L839*N839</f>
        <v>0</v>
      </c>
      <c r="S839" s="14">
        <f>L839*P839</f>
        <v>9000</v>
      </c>
      <c r="T839" s="14"/>
      <c r="U839" s="14">
        <f>L839*T839</f>
        <v>0</v>
      </c>
      <c r="V839" s="14">
        <f>S839-U839</f>
        <v>9000</v>
      </c>
      <c r="W839" s="16">
        <f>IF(S839&gt;0, V839/S839, 0)</f>
        <v>1</v>
      </c>
      <c r="X839" s="7" t="s">
        <v>39</v>
      </c>
      <c r="Y839" s="9" t="s">
        <v>40</v>
      </c>
      <c r="Z839" s="9" t="s">
        <v>41</v>
      </c>
      <c r="AA839" s="9" t="s">
        <v>42</v>
      </c>
      <c r="AB839" s="7" t="s">
        <v>42</v>
      </c>
    </row>
    <row r="840" spans="1:28">
      <c r="A840" s="8">
        <v>833</v>
      </c>
      <c r="B840" s="8" t="s">
        <v>1133</v>
      </c>
      <c r="C840" s="8" t="s">
        <v>1080</v>
      </c>
      <c r="D840" s="8" t="s">
        <v>652</v>
      </c>
      <c r="E840" s="8" t="s">
        <v>33</v>
      </c>
      <c r="F840" s="6" t="s">
        <v>50</v>
      </c>
      <c r="G840" s="6" t="s">
        <v>69</v>
      </c>
      <c r="H840" s="6" t="s">
        <v>69</v>
      </c>
      <c r="I840" s="8">
        <v>128</v>
      </c>
      <c r="J840" s="8" t="s">
        <v>110</v>
      </c>
      <c r="K840" s="8" t="s">
        <v>38</v>
      </c>
      <c r="L840" s="10">
        <v>1</v>
      </c>
      <c r="M840" s="13">
        <v>16000.0</v>
      </c>
      <c r="N840" s="13"/>
      <c r="O840" s="15">
        <f>IF(M840&gt;0, N840/M840, 0)</f>
        <v>0</v>
      </c>
      <c r="P840" s="13">
        <f>M840-N840</f>
        <v>16000</v>
      </c>
      <c r="Q840" s="13">
        <f>L840*M840</f>
        <v>16000</v>
      </c>
      <c r="R840" s="13">
        <f>L840*N840</f>
        <v>0</v>
      </c>
      <c r="S840" s="13">
        <f>L840*P840</f>
        <v>16000</v>
      </c>
      <c r="T840" s="13"/>
      <c r="U840" s="13">
        <f>L840*T840</f>
        <v>0</v>
      </c>
      <c r="V840" s="13">
        <f>S840-U840</f>
        <v>16000</v>
      </c>
      <c r="W840" s="15">
        <f>IF(S840&gt;0, V840/S840, 0)</f>
        <v>1</v>
      </c>
      <c r="X840" s="6" t="s">
        <v>39</v>
      </c>
      <c r="Y840" s="8" t="s">
        <v>40</v>
      </c>
      <c r="Z840" s="8" t="s">
        <v>41</v>
      </c>
      <c r="AA840" s="8" t="s">
        <v>42</v>
      </c>
      <c r="AB840" s="6" t="s">
        <v>42</v>
      </c>
    </row>
    <row r="841" spans="1:28">
      <c r="A841" s="9">
        <v>834</v>
      </c>
      <c r="B841" s="9" t="s">
        <v>1134</v>
      </c>
      <c r="C841" s="9" t="s">
        <v>1080</v>
      </c>
      <c r="D841" s="9" t="s">
        <v>652</v>
      </c>
      <c r="E841" s="9" t="s">
        <v>33</v>
      </c>
      <c r="F841" s="7" t="s">
        <v>50</v>
      </c>
      <c r="G841" s="7" t="s">
        <v>51</v>
      </c>
      <c r="H841" s="7" t="s">
        <v>51</v>
      </c>
      <c r="I841" s="9">
        <v>122</v>
      </c>
      <c r="J841" s="9" t="s">
        <v>82</v>
      </c>
      <c r="K841" s="9" t="s">
        <v>53</v>
      </c>
      <c r="L841" s="11">
        <v>1</v>
      </c>
      <c r="M841" s="14">
        <v>8000.0</v>
      </c>
      <c r="N841" s="14"/>
      <c r="O841" s="16">
        <f>IF(M841&gt;0, N841/M841, 0)</f>
        <v>0</v>
      </c>
      <c r="P841" s="14">
        <f>M841-N841</f>
        <v>8000</v>
      </c>
      <c r="Q841" s="14">
        <f>L841*M841</f>
        <v>8000</v>
      </c>
      <c r="R841" s="14">
        <f>L841*N841</f>
        <v>0</v>
      </c>
      <c r="S841" s="14">
        <f>L841*P841</f>
        <v>8000</v>
      </c>
      <c r="T841" s="14"/>
      <c r="U841" s="14">
        <f>L841*T841</f>
        <v>0</v>
      </c>
      <c r="V841" s="14">
        <f>S841-U841</f>
        <v>8000</v>
      </c>
      <c r="W841" s="16">
        <f>IF(S841&gt;0, V841/S841, 0)</f>
        <v>1</v>
      </c>
      <c r="X841" s="7" t="s">
        <v>39</v>
      </c>
      <c r="Y841" s="9" t="s">
        <v>40</v>
      </c>
      <c r="Z841" s="9" t="s">
        <v>41</v>
      </c>
      <c r="AA841" s="9" t="s">
        <v>42</v>
      </c>
      <c r="AB841" s="7" t="s">
        <v>42</v>
      </c>
    </row>
    <row r="842" spans="1:28">
      <c r="A842" s="8">
        <v>835</v>
      </c>
      <c r="B842" s="8" t="s">
        <v>1135</v>
      </c>
      <c r="C842" s="8" t="s">
        <v>1080</v>
      </c>
      <c r="D842" s="8" t="s">
        <v>652</v>
      </c>
      <c r="E842" s="8" t="s">
        <v>33</v>
      </c>
      <c r="F842" s="6" t="s">
        <v>50</v>
      </c>
      <c r="G842" s="6" t="s">
        <v>35</v>
      </c>
      <c r="H842" s="6" t="s">
        <v>36</v>
      </c>
      <c r="I842" s="8">
        <v>122</v>
      </c>
      <c r="J842" s="8" t="s">
        <v>105</v>
      </c>
      <c r="K842" s="8" t="s">
        <v>53</v>
      </c>
      <c r="L842" s="10">
        <v>1</v>
      </c>
      <c r="M842" s="13">
        <v>7000.0</v>
      </c>
      <c r="N842" s="13"/>
      <c r="O842" s="15">
        <f>IF(M842&gt;0, N842/M842, 0)</f>
        <v>0</v>
      </c>
      <c r="P842" s="13">
        <f>M842-N842</f>
        <v>7000</v>
      </c>
      <c r="Q842" s="13">
        <f>L842*M842</f>
        <v>7000</v>
      </c>
      <c r="R842" s="13">
        <f>L842*N842</f>
        <v>0</v>
      </c>
      <c r="S842" s="13">
        <f>L842*P842</f>
        <v>7000</v>
      </c>
      <c r="T842" s="13"/>
      <c r="U842" s="13">
        <f>L842*T842</f>
        <v>0</v>
      </c>
      <c r="V842" s="13">
        <f>S842-U842</f>
        <v>7000</v>
      </c>
      <c r="W842" s="15">
        <f>IF(S842&gt;0, V842/S842, 0)</f>
        <v>1</v>
      </c>
      <c r="X842" s="6" t="s">
        <v>39</v>
      </c>
      <c r="Y842" s="8" t="s">
        <v>40</v>
      </c>
      <c r="Z842" s="8" t="s">
        <v>41</v>
      </c>
      <c r="AA842" s="8" t="s">
        <v>42</v>
      </c>
      <c r="AB842" s="6" t="s">
        <v>42</v>
      </c>
    </row>
    <row r="843" spans="1:28">
      <c r="A843" s="9">
        <v>836</v>
      </c>
      <c r="B843" s="9" t="s">
        <v>1136</v>
      </c>
      <c r="C843" s="9" t="s">
        <v>1080</v>
      </c>
      <c r="D843" s="9" t="s">
        <v>652</v>
      </c>
      <c r="E843" s="9" t="s">
        <v>68</v>
      </c>
      <c r="F843" s="7" t="s">
        <v>34</v>
      </c>
      <c r="G843" s="7" t="s">
        <v>51</v>
      </c>
      <c r="H843" s="7" t="s">
        <v>51</v>
      </c>
      <c r="I843" s="9">
        <v>170</v>
      </c>
      <c r="J843" s="9" t="s">
        <v>1137</v>
      </c>
      <c r="K843" s="9" t="s">
        <v>38</v>
      </c>
      <c r="L843" s="11">
        <v>1</v>
      </c>
      <c r="M843" s="14">
        <v>10000.0</v>
      </c>
      <c r="N843" s="14"/>
      <c r="O843" s="16">
        <f>IF(M843&gt;0, N843/M843, 0)</f>
        <v>0</v>
      </c>
      <c r="P843" s="14">
        <f>M843-N843</f>
        <v>10000</v>
      </c>
      <c r="Q843" s="14">
        <f>L843*M843</f>
        <v>10000</v>
      </c>
      <c r="R843" s="14">
        <f>L843*N843</f>
        <v>0</v>
      </c>
      <c r="S843" s="14">
        <f>L843*P843</f>
        <v>10000</v>
      </c>
      <c r="T843" s="14"/>
      <c r="U843" s="14">
        <f>L843*T843</f>
        <v>0</v>
      </c>
      <c r="V843" s="14">
        <f>S843-U843</f>
        <v>10000</v>
      </c>
      <c r="W843" s="16">
        <f>IF(S843&gt;0, V843/S843, 0)</f>
        <v>1</v>
      </c>
      <c r="X843" s="7" t="s">
        <v>39</v>
      </c>
      <c r="Y843" s="9" t="s">
        <v>40</v>
      </c>
      <c r="Z843" s="9" t="s">
        <v>71</v>
      </c>
      <c r="AA843" s="9" t="s">
        <v>42</v>
      </c>
      <c r="AB843" s="7" t="s">
        <v>42</v>
      </c>
    </row>
    <row r="844" spans="1:28">
      <c r="A844" s="8">
        <v>837</v>
      </c>
      <c r="B844" s="8" t="s">
        <v>1138</v>
      </c>
      <c r="C844" s="8" t="s">
        <v>1080</v>
      </c>
      <c r="D844" s="8" t="s">
        <v>652</v>
      </c>
      <c r="E844" s="8" t="s">
        <v>68</v>
      </c>
      <c r="F844" s="6" t="s">
        <v>34</v>
      </c>
      <c r="G844" s="6" t="s">
        <v>69</v>
      </c>
      <c r="H844" s="6" t="s">
        <v>69</v>
      </c>
      <c r="I844" s="8">
        <v>170</v>
      </c>
      <c r="J844" s="8" t="s">
        <v>179</v>
      </c>
      <c r="K844" s="8" t="s">
        <v>38</v>
      </c>
      <c r="L844" s="10">
        <v>1</v>
      </c>
      <c r="M844" s="13">
        <v>18000.0</v>
      </c>
      <c r="N844" s="13"/>
      <c r="O844" s="15">
        <f>IF(M844&gt;0, N844/M844, 0)</f>
        <v>0</v>
      </c>
      <c r="P844" s="13">
        <f>M844-N844</f>
        <v>18000</v>
      </c>
      <c r="Q844" s="13">
        <f>L844*M844</f>
        <v>18000</v>
      </c>
      <c r="R844" s="13">
        <f>L844*N844</f>
        <v>0</v>
      </c>
      <c r="S844" s="13">
        <f>L844*P844</f>
        <v>18000</v>
      </c>
      <c r="T844" s="13"/>
      <c r="U844" s="13">
        <f>L844*T844</f>
        <v>0</v>
      </c>
      <c r="V844" s="13">
        <f>S844-U844</f>
        <v>18000</v>
      </c>
      <c r="W844" s="15">
        <f>IF(S844&gt;0, V844/S844, 0)</f>
        <v>1</v>
      </c>
      <c r="X844" s="6" t="s">
        <v>39</v>
      </c>
      <c r="Y844" s="8" t="s">
        <v>40</v>
      </c>
      <c r="Z844" s="8" t="s">
        <v>71</v>
      </c>
      <c r="AA844" s="8" t="s">
        <v>42</v>
      </c>
      <c r="AB844" s="6" t="s">
        <v>42</v>
      </c>
    </row>
    <row r="845" spans="1:28">
      <c r="A845" s="9">
        <v>838</v>
      </c>
      <c r="B845" s="9" t="s">
        <v>1139</v>
      </c>
      <c r="C845" s="9" t="s">
        <v>1080</v>
      </c>
      <c r="D845" s="9" t="s">
        <v>652</v>
      </c>
      <c r="E845" s="9" t="s">
        <v>33</v>
      </c>
      <c r="F845" s="7" t="s">
        <v>50</v>
      </c>
      <c r="G845" s="7" t="s">
        <v>35</v>
      </c>
      <c r="H845" s="7" t="s">
        <v>36</v>
      </c>
      <c r="I845" s="9">
        <v>152</v>
      </c>
      <c r="J845" s="9" t="s">
        <v>151</v>
      </c>
      <c r="K845" s="9" t="s">
        <v>53</v>
      </c>
      <c r="L845" s="11">
        <v>1</v>
      </c>
      <c r="M845" s="14">
        <v>7000.0</v>
      </c>
      <c r="N845" s="14"/>
      <c r="O845" s="16">
        <f>IF(M845&gt;0, N845/M845, 0)</f>
        <v>0</v>
      </c>
      <c r="P845" s="14">
        <f>M845-N845</f>
        <v>7000</v>
      </c>
      <c r="Q845" s="14">
        <f>L845*M845</f>
        <v>7000</v>
      </c>
      <c r="R845" s="14">
        <f>L845*N845</f>
        <v>0</v>
      </c>
      <c r="S845" s="14">
        <f>L845*P845</f>
        <v>7000</v>
      </c>
      <c r="T845" s="14"/>
      <c r="U845" s="14">
        <f>L845*T845</f>
        <v>0</v>
      </c>
      <c r="V845" s="14">
        <f>S845-U845</f>
        <v>7000</v>
      </c>
      <c r="W845" s="16">
        <f>IF(S845&gt;0, V845/S845, 0)</f>
        <v>1</v>
      </c>
      <c r="X845" s="7" t="s">
        <v>39</v>
      </c>
      <c r="Y845" s="9" t="s">
        <v>40</v>
      </c>
      <c r="Z845" s="9" t="s">
        <v>41</v>
      </c>
      <c r="AA845" s="9" t="s">
        <v>42</v>
      </c>
      <c r="AB845" s="7" t="s">
        <v>42</v>
      </c>
    </row>
    <row r="846" spans="1:28">
      <c r="A846" s="8">
        <v>839</v>
      </c>
      <c r="B846" s="8" t="s">
        <v>1140</v>
      </c>
      <c r="C846" s="8" t="s">
        <v>1080</v>
      </c>
      <c r="D846" s="8" t="s">
        <v>652</v>
      </c>
      <c r="E846" s="8" t="s">
        <v>33</v>
      </c>
      <c r="F846" s="6" t="s">
        <v>50</v>
      </c>
      <c r="G846" s="6" t="s">
        <v>51</v>
      </c>
      <c r="H846" s="6" t="s">
        <v>51</v>
      </c>
      <c r="I846" s="8">
        <v>140</v>
      </c>
      <c r="J846" s="8" t="s">
        <v>279</v>
      </c>
      <c r="K846" s="8" t="s">
        <v>53</v>
      </c>
      <c r="L846" s="10">
        <v>1</v>
      </c>
      <c r="M846" s="13">
        <v>8000.0</v>
      </c>
      <c r="N846" s="13"/>
      <c r="O846" s="15">
        <f>IF(M846&gt;0, N846/M846, 0)</f>
        <v>0</v>
      </c>
      <c r="P846" s="13">
        <f>M846-N846</f>
        <v>8000</v>
      </c>
      <c r="Q846" s="13">
        <f>L846*M846</f>
        <v>8000</v>
      </c>
      <c r="R846" s="13">
        <f>L846*N846</f>
        <v>0</v>
      </c>
      <c r="S846" s="13">
        <f>L846*P846</f>
        <v>8000</v>
      </c>
      <c r="T846" s="13"/>
      <c r="U846" s="13">
        <f>L846*T846</f>
        <v>0</v>
      </c>
      <c r="V846" s="13">
        <f>S846-U846</f>
        <v>8000</v>
      </c>
      <c r="W846" s="15">
        <f>IF(S846&gt;0, V846/S846, 0)</f>
        <v>1</v>
      </c>
      <c r="X846" s="6" t="s">
        <v>39</v>
      </c>
      <c r="Y846" s="8" t="s">
        <v>40</v>
      </c>
      <c r="Z846" s="8" t="s">
        <v>41</v>
      </c>
      <c r="AA846" s="8" t="s">
        <v>42</v>
      </c>
      <c r="AB846" s="6" t="s">
        <v>42</v>
      </c>
    </row>
    <row r="847" spans="1:28">
      <c r="A847" s="9">
        <v>840</v>
      </c>
      <c r="B847" s="9" t="s">
        <v>1141</v>
      </c>
      <c r="C847" s="9" t="s">
        <v>1080</v>
      </c>
      <c r="D847" s="9" t="s">
        <v>652</v>
      </c>
      <c r="E847" s="9" t="s">
        <v>33</v>
      </c>
      <c r="F847" s="7" t="s">
        <v>50</v>
      </c>
      <c r="G847" s="7" t="s">
        <v>35</v>
      </c>
      <c r="H847" s="7" t="s">
        <v>36</v>
      </c>
      <c r="I847" s="9">
        <v>140</v>
      </c>
      <c r="J847" s="9" t="s">
        <v>223</v>
      </c>
      <c r="K847" s="9" t="s">
        <v>53</v>
      </c>
      <c r="L847" s="11">
        <v>1</v>
      </c>
      <c r="M847" s="14">
        <v>7000.0</v>
      </c>
      <c r="N847" s="14"/>
      <c r="O847" s="16">
        <f>IF(M847&gt;0, N847/M847, 0)</f>
        <v>0</v>
      </c>
      <c r="P847" s="14">
        <f>M847-N847</f>
        <v>7000</v>
      </c>
      <c r="Q847" s="14">
        <f>L847*M847</f>
        <v>7000</v>
      </c>
      <c r="R847" s="14">
        <f>L847*N847</f>
        <v>0</v>
      </c>
      <c r="S847" s="14">
        <f>L847*P847</f>
        <v>7000</v>
      </c>
      <c r="T847" s="14"/>
      <c r="U847" s="14">
        <f>L847*T847</f>
        <v>0</v>
      </c>
      <c r="V847" s="14">
        <f>S847-U847</f>
        <v>7000</v>
      </c>
      <c r="W847" s="16">
        <f>IF(S847&gt;0, V847/S847, 0)</f>
        <v>1</v>
      </c>
      <c r="X847" s="7" t="s">
        <v>39</v>
      </c>
      <c r="Y847" s="9" t="s">
        <v>40</v>
      </c>
      <c r="Z847" s="9" t="s">
        <v>41</v>
      </c>
      <c r="AA847" s="9" t="s">
        <v>42</v>
      </c>
      <c r="AB847" s="7" t="s">
        <v>42</v>
      </c>
    </row>
    <row r="848" spans="1:28">
      <c r="A848" s="8">
        <v>841</v>
      </c>
      <c r="B848" s="8" t="s">
        <v>1142</v>
      </c>
      <c r="C848" s="8" t="s">
        <v>1080</v>
      </c>
      <c r="D848" s="8" t="s">
        <v>652</v>
      </c>
      <c r="E848" s="8" t="s">
        <v>33</v>
      </c>
      <c r="F848" s="6" t="s">
        <v>50</v>
      </c>
      <c r="G848" s="6" t="s">
        <v>35</v>
      </c>
      <c r="H848" s="6" t="s">
        <v>36</v>
      </c>
      <c r="I848" s="8">
        <v>122</v>
      </c>
      <c r="J848" s="8" t="s">
        <v>105</v>
      </c>
      <c r="K848" s="8" t="s">
        <v>53</v>
      </c>
      <c r="L848" s="10">
        <v>1</v>
      </c>
      <c r="M848" s="13">
        <v>7000.0</v>
      </c>
      <c r="N848" s="13"/>
      <c r="O848" s="15">
        <f>IF(M848&gt;0, N848/M848, 0)</f>
        <v>0</v>
      </c>
      <c r="P848" s="13">
        <f>M848-N848</f>
        <v>7000</v>
      </c>
      <c r="Q848" s="13">
        <f>L848*M848</f>
        <v>7000</v>
      </c>
      <c r="R848" s="13">
        <f>L848*N848</f>
        <v>0</v>
      </c>
      <c r="S848" s="13">
        <f>L848*P848</f>
        <v>7000</v>
      </c>
      <c r="T848" s="13"/>
      <c r="U848" s="13">
        <f>L848*T848</f>
        <v>0</v>
      </c>
      <c r="V848" s="13">
        <f>S848-U848</f>
        <v>7000</v>
      </c>
      <c r="W848" s="15">
        <f>IF(S848&gt;0, V848/S848, 0)</f>
        <v>1</v>
      </c>
      <c r="X848" s="6" t="s">
        <v>39</v>
      </c>
      <c r="Y848" s="8" t="s">
        <v>40</v>
      </c>
      <c r="Z848" s="8" t="s">
        <v>41</v>
      </c>
      <c r="AA848" s="8" t="s">
        <v>42</v>
      </c>
      <c r="AB848" s="6" t="s">
        <v>42</v>
      </c>
    </row>
    <row r="849" spans="1:28">
      <c r="A849" s="9">
        <v>842</v>
      </c>
      <c r="B849" s="9" t="s">
        <v>1143</v>
      </c>
      <c r="C849" s="9" t="s">
        <v>1080</v>
      </c>
      <c r="D849" s="9" t="s">
        <v>652</v>
      </c>
      <c r="E849" s="9" t="s">
        <v>33</v>
      </c>
      <c r="F849" s="7" t="s">
        <v>50</v>
      </c>
      <c r="G849" s="7" t="s">
        <v>56</v>
      </c>
      <c r="H849" s="7" t="s">
        <v>56</v>
      </c>
      <c r="I849" s="9">
        <v>110</v>
      </c>
      <c r="J849" s="9" t="s">
        <v>957</v>
      </c>
      <c r="K849" s="9" t="s">
        <v>38</v>
      </c>
      <c r="L849" s="11">
        <v>1</v>
      </c>
      <c r="M849" s="14">
        <v>8000.0</v>
      </c>
      <c r="N849" s="14"/>
      <c r="O849" s="16">
        <f>IF(M849&gt;0, N849/M849, 0)</f>
        <v>0</v>
      </c>
      <c r="P849" s="14">
        <f>M849-N849</f>
        <v>8000</v>
      </c>
      <c r="Q849" s="14">
        <f>L849*M849</f>
        <v>8000</v>
      </c>
      <c r="R849" s="14">
        <f>L849*N849</f>
        <v>0</v>
      </c>
      <c r="S849" s="14">
        <f>L849*P849</f>
        <v>8000</v>
      </c>
      <c r="T849" s="14"/>
      <c r="U849" s="14">
        <f>L849*T849</f>
        <v>0</v>
      </c>
      <c r="V849" s="14">
        <f>S849-U849</f>
        <v>8000</v>
      </c>
      <c r="W849" s="16">
        <f>IF(S849&gt;0, V849/S849, 0)</f>
        <v>1</v>
      </c>
      <c r="X849" s="7" t="s">
        <v>39</v>
      </c>
      <c r="Y849" s="9" t="s">
        <v>40</v>
      </c>
      <c r="Z849" s="9" t="s">
        <v>41</v>
      </c>
      <c r="AA849" s="9" t="s">
        <v>42</v>
      </c>
      <c r="AB849" s="7" t="s">
        <v>42</v>
      </c>
    </row>
    <row r="850" spans="1:28">
      <c r="A850" s="8">
        <v>843</v>
      </c>
      <c r="B850" s="8" t="s">
        <v>1144</v>
      </c>
      <c r="C850" s="8" t="s">
        <v>1080</v>
      </c>
      <c r="D850" s="8" t="s">
        <v>652</v>
      </c>
      <c r="E850" s="8" t="s">
        <v>33</v>
      </c>
      <c r="F850" s="6" t="s">
        <v>50</v>
      </c>
      <c r="G850" s="6" t="s">
        <v>51</v>
      </c>
      <c r="H850" s="6" t="s">
        <v>51</v>
      </c>
      <c r="I850" s="8">
        <v>122</v>
      </c>
      <c r="J850" s="8" t="s">
        <v>82</v>
      </c>
      <c r="K850" s="8" t="s">
        <v>53</v>
      </c>
      <c r="L850" s="10">
        <v>1</v>
      </c>
      <c r="M850" s="13">
        <v>8000.0</v>
      </c>
      <c r="N850" s="13"/>
      <c r="O850" s="15">
        <f>IF(M850&gt;0, N850/M850, 0)</f>
        <v>0</v>
      </c>
      <c r="P850" s="13">
        <f>M850-N850</f>
        <v>8000</v>
      </c>
      <c r="Q850" s="13">
        <f>L850*M850</f>
        <v>8000</v>
      </c>
      <c r="R850" s="13">
        <f>L850*N850</f>
        <v>0</v>
      </c>
      <c r="S850" s="13">
        <f>L850*P850</f>
        <v>8000</v>
      </c>
      <c r="T850" s="13"/>
      <c r="U850" s="13">
        <f>L850*T850</f>
        <v>0</v>
      </c>
      <c r="V850" s="13">
        <f>S850-U850</f>
        <v>8000</v>
      </c>
      <c r="W850" s="15">
        <f>IF(S850&gt;0, V850/S850, 0)</f>
        <v>1</v>
      </c>
      <c r="X850" s="6" t="s">
        <v>39</v>
      </c>
      <c r="Y850" s="8" t="s">
        <v>40</v>
      </c>
      <c r="Z850" s="8" t="s">
        <v>41</v>
      </c>
      <c r="AA850" s="8" t="s">
        <v>42</v>
      </c>
      <c r="AB850" s="6" t="s">
        <v>42</v>
      </c>
    </row>
    <row r="851" spans="1:28">
      <c r="A851" s="9">
        <v>844</v>
      </c>
      <c r="B851" s="9" t="s">
        <v>1145</v>
      </c>
      <c r="C851" s="9" t="s">
        <v>1080</v>
      </c>
      <c r="D851" s="9" t="s">
        <v>652</v>
      </c>
      <c r="E851" s="9" t="s">
        <v>33</v>
      </c>
      <c r="F851" s="7" t="s">
        <v>50</v>
      </c>
      <c r="G851" s="7" t="s">
        <v>35</v>
      </c>
      <c r="H851" s="7" t="s">
        <v>36</v>
      </c>
      <c r="I851" s="9">
        <v>128</v>
      </c>
      <c r="J851" s="9" t="s">
        <v>156</v>
      </c>
      <c r="K851" s="9" t="s">
        <v>53</v>
      </c>
      <c r="L851" s="11">
        <v>1</v>
      </c>
      <c r="M851" s="14">
        <v>7000.0</v>
      </c>
      <c r="N851" s="14"/>
      <c r="O851" s="16">
        <f>IF(M851&gt;0, N851/M851, 0)</f>
        <v>0</v>
      </c>
      <c r="P851" s="14">
        <f>M851-N851</f>
        <v>7000</v>
      </c>
      <c r="Q851" s="14">
        <f>L851*M851</f>
        <v>7000</v>
      </c>
      <c r="R851" s="14">
        <f>L851*N851</f>
        <v>0</v>
      </c>
      <c r="S851" s="14">
        <f>L851*P851</f>
        <v>7000</v>
      </c>
      <c r="T851" s="14"/>
      <c r="U851" s="14">
        <f>L851*T851</f>
        <v>0</v>
      </c>
      <c r="V851" s="14">
        <f>S851-U851</f>
        <v>7000</v>
      </c>
      <c r="W851" s="16">
        <f>IF(S851&gt;0, V851/S851, 0)</f>
        <v>1</v>
      </c>
      <c r="X851" s="7" t="s">
        <v>39</v>
      </c>
      <c r="Y851" s="9" t="s">
        <v>40</v>
      </c>
      <c r="Z851" s="9" t="s">
        <v>41</v>
      </c>
      <c r="AA851" s="9" t="s">
        <v>42</v>
      </c>
      <c r="AB851" s="7" t="s">
        <v>42</v>
      </c>
    </row>
    <row r="852" spans="1:28">
      <c r="A852" s="8">
        <v>845</v>
      </c>
      <c r="B852" s="8" t="s">
        <v>1146</v>
      </c>
      <c r="C852" s="8" t="s">
        <v>1080</v>
      </c>
      <c r="D852" s="8" t="s">
        <v>652</v>
      </c>
      <c r="E852" s="8" t="s">
        <v>33</v>
      </c>
      <c r="F852" s="6" t="s">
        <v>50</v>
      </c>
      <c r="G852" s="6" t="s">
        <v>45</v>
      </c>
      <c r="H852" s="6" t="s">
        <v>46</v>
      </c>
      <c r="I852" s="8">
        <v>128</v>
      </c>
      <c r="J852" s="8" t="s">
        <v>183</v>
      </c>
      <c r="K852" s="8" t="s">
        <v>38</v>
      </c>
      <c r="L852" s="10">
        <v>1</v>
      </c>
      <c r="M852" s="13">
        <v>18000.0</v>
      </c>
      <c r="N852" s="13"/>
      <c r="O852" s="15">
        <f>IF(M852&gt;0, N852/M852, 0)</f>
        <v>0</v>
      </c>
      <c r="P852" s="13">
        <f>M852-N852</f>
        <v>18000</v>
      </c>
      <c r="Q852" s="13">
        <f>L852*M852</f>
        <v>18000</v>
      </c>
      <c r="R852" s="13">
        <f>L852*N852</f>
        <v>0</v>
      </c>
      <c r="S852" s="13">
        <f>L852*P852</f>
        <v>18000</v>
      </c>
      <c r="T852" s="13"/>
      <c r="U852" s="13">
        <f>L852*T852</f>
        <v>0</v>
      </c>
      <c r="V852" s="13">
        <f>S852-U852</f>
        <v>18000</v>
      </c>
      <c r="W852" s="15">
        <f>IF(S852&gt;0, V852/S852, 0)</f>
        <v>1</v>
      </c>
      <c r="X852" s="6" t="s">
        <v>39</v>
      </c>
      <c r="Y852" s="8" t="s">
        <v>40</v>
      </c>
      <c r="Z852" s="8" t="s">
        <v>41</v>
      </c>
      <c r="AA852" s="8" t="s">
        <v>42</v>
      </c>
      <c r="AB852" s="6" t="s">
        <v>42</v>
      </c>
    </row>
    <row r="853" spans="1:28">
      <c r="A853" s="9">
        <v>846</v>
      </c>
      <c r="B853" s="9" t="s">
        <v>1147</v>
      </c>
      <c r="C853" s="9" t="s">
        <v>1080</v>
      </c>
      <c r="D853" s="9" t="s">
        <v>652</v>
      </c>
      <c r="E853" s="9" t="s">
        <v>33</v>
      </c>
      <c r="F853" s="7" t="s">
        <v>50</v>
      </c>
      <c r="G853" s="7" t="s">
        <v>69</v>
      </c>
      <c r="H853" s="7" t="s">
        <v>69</v>
      </c>
      <c r="I853" s="9">
        <v>128</v>
      </c>
      <c r="J853" s="9" t="s">
        <v>110</v>
      </c>
      <c r="K853" s="9" t="s">
        <v>38</v>
      </c>
      <c r="L853" s="11">
        <v>1</v>
      </c>
      <c r="M853" s="14">
        <v>16000.0</v>
      </c>
      <c r="N853" s="14"/>
      <c r="O853" s="16">
        <f>IF(M853&gt;0, N853/M853, 0)</f>
        <v>0</v>
      </c>
      <c r="P853" s="14">
        <f>M853-N853</f>
        <v>16000</v>
      </c>
      <c r="Q853" s="14">
        <f>L853*M853</f>
        <v>16000</v>
      </c>
      <c r="R853" s="14">
        <f>L853*N853</f>
        <v>0</v>
      </c>
      <c r="S853" s="14">
        <f>L853*P853</f>
        <v>16000</v>
      </c>
      <c r="T853" s="14"/>
      <c r="U853" s="14">
        <f>L853*T853</f>
        <v>0</v>
      </c>
      <c r="V853" s="14">
        <f>S853-U853</f>
        <v>16000</v>
      </c>
      <c r="W853" s="16">
        <f>IF(S853&gt;0, V853/S853, 0)</f>
        <v>1</v>
      </c>
      <c r="X853" s="7" t="s">
        <v>39</v>
      </c>
      <c r="Y853" s="9" t="s">
        <v>40</v>
      </c>
      <c r="Z853" s="9" t="s">
        <v>41</v>
      </c>
      <c r="AA853" s="9" t="s">
        <v>42</v>
      </c>
      <c r="AB853" s="7" t="s">
        <v>42</v>
      </c>
    </row>
    <row r="854" spans="1:28">
      <c r="A854" s="8">
        <v>847</v>
      </c>
      <c r="B854" s="8" t="s">
        <v>1148</v>
      </c>
      <c r="C854" s="8" t="s">
        <v>1080</v>
      </c>
      <c r="D854" s="8" t="s">
        <v>652</v>
      </c>
      <c r="E854" s="8" t="s">
        <v>33</v>
      </c>
      <c r="F854" s="6" t="s">
        <v>34</v>
      </c>
      <c r="G854" s="6" t="s">
        <v>45</v>
      </c>
      <c r="H854" s="6" t="s">
        <v>46</v>
      </c>
      <c r="I854" s="8">
        <v>164</v>
      </c>
      <c r="J854" s="8" t="s">
        <v>318</v>
      </c>
      <c r="K854" s="8" t="s">
        <v>38</v>
      </c>
      <c r="L854" s="10">
        <v>1</v>
      </c>
      <c r="M854" s="13">
        <v>18000.0</v>
      </c>
      <c r="N854" s="13"/>
      <c r="O854" s="15">
        <f>IF(M854&gt;0, N854/M854, 0)</f>
        <v>0</v>
      </c>
      <c r="P854" s="13">
        <f>M854-N854</f>
        <v>18000</v>
      </c>
      <c r="Q854" s="13">
        <f>L854*M854</f>
        <v>18000</v>
      </c>
      <c r="R854" s="13">
        <f>L854*N854</f>
        <v>0</v>
      </c>
      <c r="S854" s="13">
        <f>L854*P854</f>
        <v>18000</v>
      </c>
      <c r="T854" s="13"/>
      <c r="U854" s="13">
        <f>L854*T854</f>
        <v>0</v>
      </c>
      <c r="V854" s="13">
        <f>S854-U854</f>
        <v>18000</v>
      </c>
      <c r="W854" s="15">
        <f>IF(S854&gt;0, V854/S854, 0)</f>
        <v>1</v>
      </c>
      <c r="X854" s="6" t="s">
        <v>39</v>
      </c>
      <c r="Y854" s="8" t="s">
        <v>40</v>
      </c>
      <c r="Z854" s="8" t="s">
        <v>41</v>
      </c>
      <c r="AA854" s="8" t="s">
        <v>42</v>
      </c>
      <c r="AB854" s="6" t="s">
        <v>42</v>
      </c>
    </row>
    <row r="855" spans="1:28">
      <c r="A855" s="9">
        <v>848</v>
      </c>
      <c r="B855" s="9" t="s">
        <v>1149</v>
      </c>
      <c r="C855" s="9" t="s">
        <v>1080</v>
      </c>
      <c r="D855" s="9" t="s">
        <v>652</v>
      </c>
      <c r="E855" s="9" t="s">
        <v>33</v>
      </c>
      <c r="F855" s="7" t="s">
        <v>34</v>
      </c>
      <c r="G855" s="7" t="s">
        <v>35</v>
      </c>
      <c r="H855" s="7" t="s">
        <v>36</v>
      </c>
      <c r="I855" s="9">
        <v>164</v>
      </c>
      <c r="J855" s="9" t="s">
        <v>77</v>
      </c>
      <c r="K855" s="9" t="s">
        <v>38</v>
      </c>
      <c r="L855" s="11">
        <v>4</v>
      </c>
      <c r="M855" s="14">
        <v>8000.0</v>
      </c>
      <c r="N855" s="14"/>
      <c r="O855" s="16">
        <f>IF(M855&gt;0, N855/M855, 0)</f>
        <v>0</v>
      </c>
      <c r="P855" s="14">
        <f>M855-N855</f>
        <v>8000</v>
      </c>
      <c r="Q855" s="14">
        <f>L855*M855</f>
        <v>32000</v>
      </c>
      <c r="R855" s="14">
        <f>L855*N855</f>
        <v>0</v>
      </c>
      <c r="S855" s="14">
        <f>L855*P855</f>
        <v>32000</v>
      </c>
      <c r="T855" s="14"/>
      <c r="U855" s="14">
        <f>L855*T855</f>
        <v>0</v>
      </c>
      <c r="V855" s="14">
        <f>S855-U855</f>
        <v>32000</v>
      </c>
      <c r="W855" s="16">
        <f>IF(S855&gt;0, V855/S855, 0)</f>
        <v>1</v>
      </c>
      <c r="X855" s="7" t="s">
        <v>39</v>
      </c>
      <c r="Y855" s="9" t="s">
        <v>40</v>
      </c>
      <c r="Z855" s="9" t="s">
        <v>41</v>
      </c>
      <c r="AA855" s="9" t="s">
        <v>42</v>
      </c>
      <c r="AB855" s="7" t="s">
        <v>42</v>
      </c>
    </row>
    <row r="856" spans="1:28">
      <c r="A856" s="8">
        <v>849</v>
      </c>
      <c r="B856" s="8" t="s">
        <v>1150</v>
      </c>
      <c r="C856" s="8" t="s">
        <v>1080</v>
      </c>
      <c r="D856" s="8" t="s">
        <v>652</v>
      </c>
      <c r="E856" s="8" t="s">
        <v>33</v>
      </c>
      <c r="F856" s="6" t="s">
        <v>34</v>
      </c>
      <c r="G856" s="6" t="s">
        <v>35</v>
      </c>
      <c r="H856" s="6" t="s">
        <v>36</v>
      </c>
      <c r="I856" s="8">
        <v>176</v>
      </c>
      <c r="J856" s="8" t="s">
        <v>352</v>
      </c>
      <c r="K856" s="8" t="s">
        <v>38</v>
      </c>
      <c r="L856" s="10">
        <v>1</v>
      </c>
      <c r="M856" s="13">
        <v>8000.0</v>
      </c>
      <c r="N856" s="13"/>
      <c r="O856" s="15">
        <f>IF(M856&gt;0, N856/M856, 0)</f>
        <v>0</v>
      </c>
      <c r="P856" s="13">
        <f>M856-N856</f>
        <v>8000</v>
      </c>
      <c r="Q856" s="13">
        <f>L856*M856</f>
        <v>8000</v>
      </c>
      <c r="R856" s="13">
        <f>L856*N856</f>
        <v>0</v>
      </c>
      <c r="S856" s="13">
        <f>L856*P856</f>
        <v>8000</v>
      </c>
      <c r="T856" s="13"/>
      <c r="U856" s="13">
        <f>L856*T856</f>
        <v>0</v>
      </c>
      <c r="V856" s="13">
        <f>S856-U856</f>
        <v>8000</v>
      </c>
      <c r="W856" s="15">
        <f>IF(S856&gt;0, V856/S856, 0)</f>
        <v>1</v>
      </c>
      <c r="X856" s="6" t="s">
        <v>39</v>
      </c>
      <c r="Y856" s="8" t="s">
        <v>40</v>
      </c>
      <c r="Z856" s="8" t="s">
        <v>41</v>
      </c>
      <c r="AA856" s="8" t="s">
        <v>42</v>
      </c>
      <c r="AB856" s="6" t="s">
        <v>42</v>
      </c>
    </row>
    <row r="857" spans="1:28">
      <c r="A857" s="9">
        <v>850</v>
      </c>
      <c r="B857" s="9" t="s">
        <v>1151</v>
      </c>
      <c r="C857" s="9" t="s">
        <v>1080</v>
      </c>
      <c r="D857" s="9" t="s">
        <v>652</v>
      </c>
      <c r="E857" s="9" t="s">
        <v>68</v>
      </c>
      <c r="F857" s="7" t="s">
        <v>50</v>
      </c>
      <c r="G857" s="7" t="s">
        <v>63</v>
      </c>
      <c r="H857" s="7" t="s">
        <v>148</v>
      </c>
      <c r="I857" s="9">
        <v>134</v>
      </c>
      <c r="J857" s="9" t="s">
        <v>246</v>
      </c>
      <c r="K857" s="9" t="s">
        <v>38</v>
      </c>
      <c r="L857" s="11">
        <v>3</v>
      </c>
      <c r="M857" s="14">
        <v>10000.0</v>
      </c>
      <c r="N857" s="14"/>
      <c r="O857" s="16">
        <f>IF(M857&gt;0, N857/M857, 0)</f>
        <v>0</v>
      </c>
      <c r="P857" s="14">
        <f>M857-N857</f>
        <v>10000</v>
      </c>
      <c r="Q857" s="14">
        <f>L857*M857</f>
        <v>30000</v>
      </c>
      <c r="R857" s="14">
        <f>L857*N857</f>
        <v>0</v>
      </c>
      <c r="S857" s="14">
        <f>L857*P857</f>
        <v>30000</v>
      </c>
      <c r="T857" s="14"/>
      <c r="U857" s="14">
        <f>L857*T857</f>
        <v>0</v>
      </c>
      <c r="V857" s="14">
        <f>S857-U857</f>
        <v>30000</v>
      </c>
      <c r="W857" s="16">
        <f>IF(S857&gt;0, V857/S857, 0)</f>
        <v>1</v>
      </c>
      <c r="X857" s="7" t="s">
        <v>39</v>
      </c>
      <c r="Y857" s="9" t="s">
        <v>40</v>
      </c>
      <c r="Z857" s="9" t="s">
        <v>71</v>
      </c>
      <c r="AA857" s="9" t="s">
        <v>42</v>
      </c>
      <c r="AB857" s="7" t="s">
        <v>42</v>
      </c>
    </row>
    <row r="858" spans="1:28">
      <c r="A858" s="8">
        <v>851</v>
      </c>
      <c r="B858" s="8" t="s">
        <v>1152</v>
      </c>
      <c r="C858" s="8" t="s">
        <v>1080</v>
      </c>
      <c r="D858" s="8" t="s">
        <v>652</v>
      </c>
      <c r="E858" s="8" t="s">
        <v>68</v>
      </c>
      <c r="F858" s="6" t="s">
        <v>34</v>
      </c>
      <c r="G858" s="6" t="s">
        <v>63</v>
      </c>
      <c r="H858" s="6" t="s">
        <v>148</v>
      </c>
      <c r="I858" s="8">
        <v>152</v>
      </c>
      <c r="J858" s="8" t="s">
        <v>217</v>
      </c>
      <c r="K858" s="8" t="s">
        <v>38</v>
      </c>
      <c r="L858" s="10">
        <v>2</v>
      </c>
      <c r="M858" s="13">
        <v>11000.0</v>
      </c>
      <c r="N858" s="13"/>
      <c r="O858" s="15">
        <f>IF(M858&gt;0, N858/M858, 0)</f>
        <v>0</v>
      </c>
      <c r="P858" s="13">
        <f>M858-N858</f>
        <v>11000</v>
      </c>
      <c r="Q858" s="13">
        <f>L858*M858</f>
        <v>22000</v>
      </c>
      <c r="R858" s="13">
        <f>L858*N858</f>
        <v>0</v>
      </c>
      <c r="S858" s="13">
        <f>L858*P858</f>
        <v>22000</v>
      </c>
      <c r="T858" s="13"/>
      <c r="U858" s="13">
        <f>L858*T858</f>
        <v>0</v>
      </c>
      <c r="V858" s="13">
        <f>S858-U858</f>
        <v>22000</v>
      </c>
      <c r="W858" s="15">
        <f>IF(S858&gt;0, V858/S858, 0)</f>
        <v>1</v>
      </c>
      <c r="X858" s="6" t="s">
        <v>39</v>
      </c>
      <c r="Y858" s="8" t="s">
        <v>40</v>
      </c>
      <c r="Z858" s="8" t="s">
        <v>71</v>
      </c>
      <c r="AA858" s="8" t="s">
        <v>42</v>
      </c>
      <c r="AB858" s="6" t="s">
        <v>42</v>
      </c>
    </row>
    <row r="859" spans="1:28">
      <c r="A859" s="9">
        <v>852</v>
      </c>
      <c r="B859" s="9" t="s">
        <v>1153</v>
      </c>
      <c r="C859" s="9" t="s">
        <v>1080</v>
      </c>
      <c r="D859" s="9" t="s">
        <v>652</v>
      </c>
      <c r="E859" s="9" t="s">
        <v>33</v>
      </c>
      <c r="F859" s="7" t="s">
        <v>50</v>
      </c>
      <c r="G859" s="7" t="s">
        <v>35</v>
      </c>
      <c r="H859" s="7" t="s">
        <v>36</v>
      </c>
      <c r="I859" s="9">
        <v>146</v>
      </c>
      <c r="J859" s="9" t="s">
        <v>257</v>
      </c>
      <c r="K859" s="9" t="s">
        <v>53</v>
      </c>
      <c r="L859" s="11">
        <v>1</v>
      </c>
      <c r="M859" s="14">
        <v>7000.0</v>
      </c>
      <c r="N859" s="14"/>
      <c r="O859" s="16">
        <f>IF(M859&gt;0, N859/M859, 0)</f>
        <v>0</v>
      </c>
      <c r="P859" s="14">
        <f>M859-N859</f>
        <v>7000</v>
      </c>
      <c r="Q859" s="14">
        <f>L859*M859</f>
        <v>7000</v>
      </c>
      <c r="R859" s="14">
        <f>L859*N859</f>
        <v>0</v>
      </c>
      <c r="S859" s="14">
        <f>L859*P859</f>
        <v>7000</v>
      </c>
      <c r="T859" s="14"/>
      <c r="U859" s="14">
        <f>L859*T859</f>
        <v>0</v>
      </c>
      <c r="V859" s="14">
        <f>S859-U859</f>
        <v>7000</v>
      </c>
      <c r="W859" s="16">
        <f>IF(S859&gt;0, V859/S859, 0)</f>
        <v>1</v>
      </c>
      <c r="X859" s="7" t="s">
        <v>39</v>
      </c>
      <c r="Y859" s="9" t="s">
        <v>40</v>
      </c>
      <c r="Z859" s="9" t="s">
        <v>41</v>
      </c>
      <c r="AA859" s="9" t="s">
        <v>42</v>
      </c>
      <c r="AB859" s="7" t="s">
        <v>42</v>
      </c>
    </row>
    <row r="860" spans="1:28">
      <c r="A860" s="8">
        <v>853</v>
      </c>
      <c r="B860" s="8" t="s">
        <v>1154</v>
      </c>
      <c r="C860" s="8" t="s">
        <v>1080</v>
      </c>
      <c r="D860" s="8" t="s">
        <v>652</v>
      </c>
      <c r="E860" s="8" t="s">
        <v>33</v>
      </c>
      <c r="F860" s="6" t="s">
        <v>34</v>
      </c>
      <c r="G860" s="6" t="s">
        <v>35</v>
      </c>
      <c r="H860" s="6" t="s">
        <v>36</v>
      </c>
      <c r="I860" s="8">
        <v>164</v>
      </c>
      <c r="J860" s="8" t="s">
        <v>77</v>
      </c>
      <c r="K860" s="8" t="s">
        <v>38</v>
      </c>
      <c r="L860" s="10">
        <v>2</v>
      </c>
      <c r="M860" s="13">
        <v>8000.0</v>
      </c>
      <c r="N860" s="13"/>
      <c r="O860" s="15">
        <f>IF(M860&gt;0, N860/M860, 0)</f>
        <v>0</v>
      </c>
      <c r="P860" s="13">
        <f>M860-N860</f>
        <v>8000</v>
      </c>
      <c r="Q860" s="13">
        <f>L860*M860</f>
        <v>16000</v>
      </c>
      <c r="R860" s="13">
        <f>L860*N860</f>
        <v>0</v>
      </c>
      <c r="S860" s="13">
        <f>L860*P860</f>
        <v>16000</v>
      </c>
      <c r="T860" s="13"/>
      <c r="U860" s="13">
        <f>L860*T860</f>
        <v>0</v>
      </c>
      <c r="V860" s="13">
        <f>S860-U860</f>
        <v>16000</v>
      </c>
      <c r="W860" s="15">
        <f>IF(S860&gt;0, V860/S860, 0)</f>
        <v>1</v>
      </c>
      <c r="X860" s="6" t="s">
        <v>39</v>
      </c>
      <c r="Y860" s="8" t="s">
        <v>40</v>
      </c>
      <c r="Z860" s="8" t="s">
        <v>41</v>
      </c>
      <c r="AA860" s="8" t="s">
        <v>42</v>
      </c>
      <c r="AB860" s="6" t="s">
        <v>42</v>
      </c>
    </row>
    <row r="861" spans="1:28">
      <c r="A861" s="9">
        <v>854</v>
      </c>
      <c r="B861" s="9" t="s">
        <v>1155</v>
      </c>
      <c r="C861" s="9" t="s">
        <v>1080</v>
      </c>
      <c r="D861" s="9" t="s">
        <v>652</v>
      </c>
      <c r="E861" s="9" t="s">
        <v>33</v>
      </c>
      <c r="F861" s="7" t="s">
        <v>34</v>
      </c>
      <c r="G861" s="7" t="s">
        <v>51</v>
      </c>
      <c r="H861" s="7" t="s">
        <v>51</v>
      </c>
      <c r="I861" s="9">
        <v>164</v>
      </c>
      <c r="J861" s="9" t="s">
        <v>61</v>
      </c>
      <c r="K861" s="9" t="s">
        <v>38</v>
      </c>
      <c r="L861" s="11">
        <v>3</v>
      </c>
      <c r="M861" s="14">
        <v>8500.0</v>
      </c>
      <c r="N861" s="14"/>
      <c r="O861" s="16">
        <f>IF(M861&gt;0, N861/M861, 0)</f>
        <v>0</v>
      </c>
      <c r="P861" s="14">
        <f>M861-N861</f>
        <v>8500</v>
      </c>
      <c r="Q861" s="14">
        <f>L861*M861</f>
        <v>25500</v>
      </c>
      <c r="R861" s="14">
        <f>L861*N861</f>
        <v>0</v>
      </c>
      <c r="S861" s="14">
        <f>L861*P861</f>
        <v>25500</v>
      </c>
      <c r="T861" s="14"/>
      <c r="U861" s="14">
        <f>L861*T861</f>
        <v>0</v>
      </c>
      <c r="V861" s="14">
        <f>S861-U861</f>
        <v>25500</v>
      </c>
      <c r="W861" s="16">
        <f>IF(S861&gt;0, V861/S861, 0)</f>
        <v>1</v>
      </c>
      <c r="X861" s="7" t="s">
        <v>39</v>
      </c>
      <c r="Y861" s="9" t="s">
        <v>40</v>
      </c>
      <c r="Z861" s="9" t="s">
        <v>41</v>
      </c>
      <c r="AA861" s="9" t="s">
        <v>42</v>
      </c>
      <c r="AB861" s="7" t="s">
        <v>42</v>
      </c>
    </row>
    <row r="862" spans="1:28">
      <c r="A862" s="8">
        <v>855</v>
      </c>
      <c r="B862" s="8" t="s">
        <v>1156</v>
      </c>
      <c r="C862" s="8" t="s">
        <v>1080</v>
      </c>
      <c r="D862" s="8" t="s">
        <v>652</v>
      </c>
      <c r="E862" s="8" t="s">
        <v>68</v>
      </c>
      <c r="F862" s="6" t="s">
        <v>50</v>
      </c>
      <c r="G862" s="6" t="s">
        <v>51</v>
      </c>
      <c r="H862" s="6" t="s">
        <v>51</v>
      </c>
      <c r="I862" s="8">
        <v>164</v>
      </c>
      <c r="J862" s="8" t="s">
        <v>404</v>
      </c>
      <c r="K862" s="8" t="s">
        <v>53</v>
      </c>
      <c r="L862" s="10">
        <v>1</v>
      </c>
      <c r="M862" s="13">
        <v>9000.0</v>
      </c>
      <c r="N862" s="13"/>
      <c r="O862" s="15">
        <f>IF(M862&gt;0, N862/M862, 0)</f>
        <v>0</v>
      </c>
      <c r="P862" s="13">
        <f>M862-N862</f>
        <v>9000</v>
      </c>
      <c r="Q862" s="13">
        <f>L862*M862</f>
        <v>9000</v>
      </c>
      <c r="R862" s="13">
        <f>L862*N862</f>
        <v>0</v>
      </c>
      <c r="S862" s="13">
        <f>L862*P862</f>
        <v>9000</v>
      </c>
      <c r="T862" s="13"/>
      <c r="U862" s="13">
        <f>L862*T862</f>
        <v>0</v>
      </c>
      <c r="V862" s="13">
        <f>S862-U862</f>
        <v>9000</v>
      </c>
      <c r="W862" s="15">
        <f>IF(S862&gt;0, V862/S862, 0)</f>
        <v>1</v>
      </c>
      <c r="X862" s="6" t="s">
        <v>39</v>
      </c>
      <c r="Y862" s="8" t="s">
        <v>40</v>
      </c>
      <c r="Z862" s="8" t="s">
        <v>71</v>
      </c>
      <c r="AA862" s="8" t="s">
        <v>42</v>
      </c>
      <c r="AB862" s="6" t="s">
        <v>42</v>
      </c>
    </row>
    <row r="863" spans="1:28">
      <c r="A863" s="9">
        <v>856</v>
      </c>
      <c r="B863" s="9" t="s">
        <v>1157</v>
      </c>
      <c r="C863" s="9" t="s">
        <v>1080</v>
      </c>
      <c r="D863" s="9" t="s">
        <v>652</v>
      </c>
      <c r="E863" s="9" t="s">
        <v>33</v>
      </c>
      <c r="F863" s="7" t="s">
        <v>50</v>
      </c>
      <c r="G863" s="7" t="s">
        <v>69</v>
      </c>
      <c r="H863" s="7" t="s">
        <v>69</v>
      </c>
      <c r="I863" s="9">
        <v>152</v>
      </c>
      <c r="J863" s="9" t="s">
        <v>350</v>
      </c>
      <c r="K863" s="9" t="s">
        <v>38</v>
      </c>
      <c r="L863" s="11">
        <v>2</v>
      </c>
      <c r="M863" s="14">
        <v>16000.0</v>
      </c>
      <c r="N863" s="14"/>
      <c r="O863" s="16">
        <f>IF(M863&gt;0, N863/M863, 0)</f>
        <v>0</v>
      </c>
      <c r="P863" s="14">
        <f>M863-N863</f>
        <v>16000</v>
      </c>
      <c r="Q863" s="14">
        <f>L863*M863</f>
        <v>32000</v>
      </c>
      <c r="R863" s="14">
        <f>L863*N863</f>
        <v>0</v>
      </c>
      <c r="S863" s="14">
        <f>L863*P863</f>
        <v>32000</v>
      </c>
      <c r="T863" s="14"/>
      <c r="U863" s="14">
        <f>L863*T863</f>
        <v>0</v>
      </c>
      <c r="V863" s="14">
        <f>S863-U863</f>
        <v>32000</v>
      </c>
      <c r="W863" s="16">
        <f>IF(S863&gt;0, V863/S863, 0)</f>
        <v>1</v>
      </c>
      <c r="X863" s="7" t="s">
        <v>39</v>
      </c>
      <c r="Y863" s="9" t="s">
        <v>40</v>
      </c>
      <c r="Z863" s="9" t="s">
        <v>41</v>
      </c>
      <c r="AA863" s="9" t="s">
        <v>42</v>
      </c>
      <c r="AB863" s="7" t="s">
        <v>42</v>
      </c>
    </row>
    <row r="864" spans="1:28">
      <c r="A864" s="8">
        <v>857</v>
      </c>
      <c r="B864" s="8" t="s">
        <v>1158</v>
      </c>
      <c r="C864" s="8" t="s">
        <v>1080</v>
      </c>
      <c r="D864" s="8" t="s">
        <v>652</v>
      </c>
      <c r="E864" s="8" t="s">
        <v>33</v>
      </c>
      <c r="F864" s="6" t="s">
        <v>50</v>
      </c>
      <c r="G864" s="6" t="s">
        <v>56</v>
      </c>
      <c r="H864" s="6" t="s">
        <v>56</v>
      </c>
      <c r="I864" s="8">
        <v>152</v>
      </c>
      <c r="J864" s="8" t="s">
        <v>311</v>
      </c>
      <c r="K864" s="8" t="s">
        <v>38</v>
      </c>
      <c r="L864" s="10">
        <v>1</v>
      </c>
      <c r="M864" s="13">
        <v>7000.0</v>
      </c>
      <c r="N864" s="13"/>
      <c r="O864" s="15">
        <f>IF(M864&gt;0, N864/M864, 0)</f>
        <v>0</v>
      </c>
      <c r="P864" s="13">
        <f>M864-N864</f>
        <v>7000</v>
      </c>
      <c r="Q864" s="13">
        <f>L864*M864</f>
        <v>7000</v>
      </c>
      <c r="R864" s="13">
        <f>L864*N864</f>
        <v>0</v>
      </c>
      <c r="S864" s="13">
        <f>L864*P864</f>
        <v>7000</v>
      </c>
      <c r="T864" s="13"/>
      <c r="U864" s="13">
        <f>L864*T864</f>
        <v>0</v>
      </c>
      <c r="V864" s="13">
        <f>S864-U864</f>
        <v>7000</v>
      </c>
      <c r="W864" s="15">
        <f>IF(S864&gt;0, V864/S864, 0)</f>
        <v>1</v>
      </c>
      <c r="X864" s="6" t="s">
        <v>39</v>
      </c>
      <c r="Y864" s="8" t="s">
        <v>40</v>
      </c>
      <c r="Z864" s="8" t="s">
        <v>41</v>
      </c>
      <c r="AA864" s="8" t="s">
        <v>42</v>
      </c>
      <c r="AB864" s="6" t="s">
        <v>42</v>
      </c>
    </row>
    <row r="865" spans="1:28">
      <c r="A865" s="9">
        <v>858</v>
      </c>
      <c r="B865" s="9" t="s">
        <v>1159</v>
      </c>
      <c r="C865" s="9" t="s">
        <v>1080</v>
      </c>
      <c r="D865" s="9" t="s">
        <v>652</v>
      </c>
      <c r="E865" s="9" t="s">
        <v>33</v>
      </c>
      <c r="F865" s="7" t="s">
        <v>50</v>
      </c>
      <c r="G865" s="7" t="s">
        <v>51</v>
      </c>
      <c r="H865" s="7" t="s">
        <v>51</v>
      </c>
      <c r="I865" s="9">
        <v>152</v>
      </c>
      <c r="J865" s="9" t="s">
        <v>402</v>
      </c>
      <c r="K865" s="9" t="s">
        <v>53</v>
      </c>
      <c r="L865" s="11">
        <v>1</v>
      </c>
      <c r="M865" s="14">
        <v>8000.0</v>
      </c>
      <c r="N865" s="14"/>
      <c r="O865" s="16">
        <f>IF(M865&gt;0, N865/M865, 0)</f>
        <v>0</v>
      </c>
      <c r="P865" s="14">
        <f>M865-N865</f>
        <v>8000</v>
      </c>
      <c r="Q865" s="14">
        <f>L865*M865</f>
        <v>8000</v>
      </c>
      <c r="R865" s="14">
        <f>L865*N865</f>
        <v>0</v>
      </c>
      <c r="S865" s="14">
        <f>L865*P865</f>
        <v>8000</v>
      </c>
      <c r="T865" s="14"/>
      <c r="U865" s="14">
        <f>L865*T865</f>
        <v>0</v>
      </c>
      <c r="V865" s="14">
        <f>S865-U865</f>
        <v>8000</v>
      </c>
      <c r="W865" s="16">
        <f>IF(S865&gt;0, V865/S865, 0)</f>
        <v>1</v>
      </c>
      <c r="X865" s="7" t="s">
        <v>39</v>
      </c>
      <c r="Y865" s="9" t="s">
        <v>40</v>
      </c>
      <c r="Z865" s="9" t="s">
        <v>41</v>
      </c>
      <c r="AA865" s="9" t="s">
        <v>42</v>
      </c>
      <c r="AB865" s="7" t="s">
        <v>42</v>
      </c>
    </row>
    <row r="866" spans="1:28">
      <c r="A866" s="8">
        <v>859</v>
      </c>
      <c r="B866" s="8" t="s">
        <v>1160</v>
      </c>
      <c r="C866" s="8" t="s">
        <v>1080</v>
      </c>
      <c r="D866" s="8" t="s">
        <v>652</v>
      </c>
      <c r="E866" s="8" t="s">
        <v>33</v>
      </c>
      <c r="F866" s="6" t="s">
        <v>50</v>
      </c>
      <c r="G866" s="6" t="s">
        <v>35</v>
      </c>
      <c r="H866" s="6" t="s">
        <v>36</v>
      </c>
      <c r="I866" s="8">
        <v>158</v>
      </c>
      <c r="J866" s="8" t="s">
        <v>130</v>
      </c>
      <c r="K866" s="8" t="s">
        <v>53</v>
      </c>
      <c r="L866" s="10">
        <v>2</v>
      </c>
      <c r="M866" s="13">
        <v>7000.0</v>
      </c>
      <c r="N866" s="13"/>
      <c r="O866" s="15">
        <f>IF(M866&gt;0, N866/M866, 0)</f>
        <v>0</v>
      </c>
      <c r="P866" s="13">
        <f>M866-N866</f>
        <v>7000</v>
      </c>
      <c r="Q866" s="13">
        <f>L866*M866</f>
        <v>14000</v>
      </c>
      <c r="R866" s="13">
        <f>L866*N866</f>
        <v>0</v>
      </c>
      <c r="S866" s="13">
        <f>L866*P866</f>
        <v>14000</v>
      </c>
      <c r="T866" s="13"/>
      <c r="U866" s="13">
        <f>L866*T866</f>
        <v>0</v>
      </c>
      <c r="V866" s="13">
        <f>S866-U866</f>
        <v>14000</v>
      </c>
      <c r="W866" s="15">
        <f>IF(S866&gt;0, V866/S866, 0)</f>
        <v>1</v>
      </c>
      <c r="X866" s="6" t="s">
        <v>39</v>
      </c>
      <c r="Y866" s="8" t="s">
        <v>40</v>
      </c>
      <c r="Z866" s="8" t="s">
        <v>41</v>
      </c>
      <c r="AA866" s="8" t="s">
        <v>42</v>
      </c>
      <c r="AB866" s="6" t="s">
        <v>42</v>
      </c>
    </row>
    <row r="867" spans="1:28">
      <c r="A867" s="9">
        <v>860</v>
      </c>
      <c r="B867" s="9" t="s">
        <v>1161</v>
      </c>
      <c r="C867" s="9" t="s">
        <v>1080</v>
      </c>
      <c r="D867" s="9" t="s">
        <v>652</v>
      </c>
      <c r="E867" s="9" t="s">
        <v>33</v>
      </c>
      <c r="F867" s="7" t="s">
        <v>50</v>
      </c>
      <c r="G867" s="7" t="s">
        <v>35</v>
      </c>
      <c r="H867" s="7" t="s">
        <v>36</v>
      </c>
      <c r="I867" s="9">
        <v>152</v>
      </c>
      <c r="J867" s="9" t="s">
        <v>151</v>
      </c>
      <c r="K867" s="9" t="s">
        <v>53</v>
      </c>
      <c r="L867" s="11">
        <v>2</v>
      </c>
      <c r="M867" s="14">
        <v>7000.0</v>
      </c>
      <c r="N867" s="14"/>
      <c r="O867" s="16">
        <f>IF(M867&gt;0, N867/M867, 0)</f>
        <v>0</v>
      </c>
      <c r="P867" s="14">
        <f>M867-N867</f>
        <v>7000</v>
      </c>
      <c r="Q867" s="14">
        <f>L867*M867</f>
        <v>14000</v>
      </c>
      <c r="R867" s="14">
        <f>L867*N867</f>
        <v>0</v>
      </c>
      <c r="S867" s="14">
        <f>L867*P867</f>
        <v>14000</v>
      </c>
      <c r="T867" s="14"/>
      <c r="U867" s="14">
        <f>L867*T867</f>
        <v>0</v>
      </c>
      <c r="V867" s="14">
        <f>S867-U867</f>
        <v>14000</v>
      </c>
      <c r="W867" s="16">
        <f>IF(S867&gt;0, V867/S867, 0)</f>
        <v>1</v>
      </c>
      <c r="X867" s="7" t="s">
        <v>39</v>
      </c>
      <c r="Y867" s="9" t="s">
        <v>40</v>
      </c>
      <c r="Z867" s="9" t="s">
        <v>41</v>
      </c>
      <c r="AA867" s="9" t="s">
        <v>42</v>
      </c>
      <c r="AB867" s="7" t="s">
        <v>42</v>
      </c>
    </row>
    <row r="868" spans="1:28">
      <c r="A868" s="8">
        <v>861</v>
      </c>
      <c r="B868" s="8" t="s">
        <v>1162</v>
      </c>
      <c r="C868" s="8" t="s">
        <v>1080</v>
      </c>
      <c r="D868" s="8" t="s">
        <v>652</v>
      </c>
      <c r="E868" s="8" t="s">
        <v>33</v>
      </c>
      <c r="F868" s="6" t="s">
        <v>50</v>
      </c>
      <c r="G868" s="6" t="s">
        <v>63</v>
      </c>
      <c r="H868" s="6" t="s">
        <v>148</v>
      </c>
      <c r="I868" s="8">
        <v>146</v>
      </c>
      <c r="J868" s="8" t="s">
        <v>167</v>
      </c>
      <c r="K868" s="8" t="s">
        <v>38</v>
      </c>
      <c r="L868" s="10">
        <v>1</v>
      </c>
      <c r="M868" s="13">
        <v>10000.0</v>
      </c>
      <c r="N868" s="13"/>
      <c r="O868" s="15">
        <f>IF(M868&gt;0, N868/M868, 0)</f>
        <v>0</v>
      </c>
      <c r="P868" s="13">
        <f>M868-N868</f>
        <v>10000</v>
      </c>
      <c r="Q868" s="13">
        <f>L868*M868</f>
        <v>10000</v>
      </c>
      <c r="R868" s="13">
        <f>L868*N868</f>
        <v>0</v>
      </c>
      <c r="S868" s="13">
        <f>L868*P868</f>
        <v>10000</v>
      </c>
      <c r="T868" s="13"/>
      <c r="U868" s="13">
        <f>L868*T868</f>
        <v>0</v>
      </c>
      <c r="V868" s="13">
        <f>S868-U868</f>
        <v>10000</v>
      </c>
      <c r="W868" s="15">
        <f>IF(S868&gt;0, V868/S868, 0)</f>
        <v>1</v>
      </c>
      <c r="X868" s="6" t="s">
        <v>39</v>
      </c>
      <c r="Y868" s="8" t="s">
        <v>40</v>
      </c>
      <c r="Z868" s="8" t="s">
        <v>41</v>
      </c>
      <c r="AA868" s="8" t="s">
        <v>42</v>
      </c>
      <c r="AB868" s="6" t="s">
        <v>42</v>
      </c>
    </row>
    <row r="869" spans="1:28">
      <c r="A869" s="9">
        <v>862</v>
      </c>
      <c r="B869" s="9" t="s">
        <v>1163</v>
      </c>
      <c r="C869" s="9" t="s">
        <v>1080</v>
      </c>
      <c r="D869" s="9" t="s">
        <v>652</v>
      </c>
      <c r="E869" s="9" t="s">
        <v>68</v>
      </c>
      <c r="F869" s="7" t="s">
        <v>50</v>
      </c>
      <c r="G869" s="7" t="s">
        <v>56</v>
      </c>
      <c r="H869" s="7" t="s">
        <v>56</v>
      </c>
      <c r="I869" s="9">
        <v>146</v>
      </c>
      <c r="J869" s="9" t="s">
        <v>751</v>
      </c>
      <c r="K869" s="9" t="s">
        <v>38</v>
      </c>
      <c r="L869" s="11">
        <v>1</v>
      </c>
      <c r="M869" s="14">
        <v>8000.0</v>
      </c>
      <c r="N869" s="14"/>
      <c r="O869" s="16">
        <f>IF(M869&gt;0, N869/M869, 0)</f>
        <v>0</v>
      </c>
      <c r="P869" s="14">
        <f>M869-N869</f>
        <v>8000</v>
      </c>
      <c r="Q869" s="14">
        <f>L869*M869</f>
        <v>8000</v>
      </c>
      <c r="R869" s="14">
        <f>L869*N869</f>
        <v>0</v>
      </c>
      <c r="S869" s="14">
        <f>L869*P869</f>
        <v>8000</v>
      </c>
      <c r="T869" s="14"/>
      <c r="U869" s="14">
        <f>L869*T869</f>
        <v>0</v>
      </c>
      <c r="V869" s="14">
        <f>S869-U869</f>
        <v>8000</v>
      </c>
      <c r="W869" s="16">
        <f>IF(S869&gt;0, V869/S869, 0)</f>
        <v>1</v>
      </c>
      <c r="X869" s="7" t="s">
        <v>39</v>
      </c>
      <c r="Y869" s="9" t="s">
        <v>40</v>
      </c>
      <c r="Z869" s="9" t="s">
        <v>71</v>
      </c>
      <c r="AA869" s="9" t="s">
        <v>42</v>
      </c>
      <c r="AB869" s="7" t="s">
        <v>42</v>
      </c>
    </row>
    <row r="870" spans="1:28">
      <c r="A870" s="8">
        <v>863</v>
      </c>
      <c r="B870" s="8" t="s">
        <v>1164</v>
      </c>
      <c r="C870" s="8" t="s">
        <v>1080</v>
      </c>
      <c r="D870" s="8" t="s">
        <v>652</v>
      </c>
      <c r="E870" s="8" t="s">
        <v>33</v>
      </c>
      <c r="F870" s="6" t="s">
        <v>50</v>
      </c>
      <c r="G870" s="6" t="s">
        <v>35</v>
      </c>
      <c r="H870" s="6" t="s">
        <v>73</v>
      </c>
      <c r="I870" s="8">
        <v>152</v>
      </c>
      <c r="J870" s="8" t="s">
        <v>605</v>
      </c>
      <c r="K870" s="8" t="s">
        <v>53</v>
      </c>
      <c r="L870" s="10">
        <v>1</v>
      </c>
      <c r="M870" s="13">
        <v>8000.0</v>
      </c>
      <c r="N870" s="13"/>
      <c r="O870" s="15">
        <f>IF(M870&gt;0, N870/M870, 0)</f>
        <v>0</v>
      </c>
      <c r="P870" s="13">
        <f>M870-N870</f>
        <v>8000</v>
      </c>
      <c r="Q870" s="13">
        <f>L870*M870</f>
        <v>8000</v>
      </c>
      <c r="R870" s="13">
        <f>L870*N870</f>
        <v>0</v>
      </c>
      <c r="S870" s="13">
        <f>L870*P870</f>
        <v>8000</v>
      </c>
      <c r="T870" s="13"/>
      <c r="U870" s="13">
        <f>L870*T870</f>
        <v>0</v>
      </c>
      <c r="V870" s="13">
        <f>S870-U870</f>
        <v>8000</v>
      </c>
      <c r="W870" s="15">
        <f>IF(S870&gt;0, V870/S870, 0)</f>
        <v>1</v>
      </c>
      <c r="X870" s="6" t="s">
        <v>39</v>
      </c>
      <c r="Y870" s="8" t="s">
        <v>40</v>
      </c>
      <c r="Z870" s="8" t="s">
        <v>41</v>
      </c>
      <c r="AA870" s="8" t="s">
        <v>42</v>
      </c>
      <c r="AB870" s="6" t="s">
        <v>42</v>
      </c>
    </row>
    <row r="871" spans="1:28">
      <c r="A871" s="9">
        <v>864</v>
      </c>
      <c r="B871" s="9" t="s">
        <v>1165</v>
      </c>
      <c r="C871" s="9" t="s">
        <v>1080</v>
      </c>
      <c r="D871" s="9" t="s">
        <v>652</v>
      </c>
      <c r="E871" s="9" t="s">
        <v>33</v>
      </c>
      <c r="F871" s="7" t="s">
        <v>50</v>
      </c>
      <c r="G871" s="7" t="s">
        <v>35</v>
      </c>
      <c r="H871" s="7" t="s">
        <v>36</v>
      </c>
      <c r="I871" s="9">
        <v>152</v>
      </c>
      <c r="J871" s="9" t="s">
        <v>151</v>
      </c>
      <c r="K871" s="9" t="s">
        <v>53</v>
      </c>
      <c r="L871" s="11">
        <v>1</v>
      </c>
      <c r="M871" s="14">
        <v>7000.0</v>
      </c>
      <c r="N871" s="14"/>
      <c r="O871" s="16">
        <f>IF(M871&gt;0, N871/M871, 0)</f>
        <v>0</v>
      </c>
      <c r="P871" s="14">
        <f>M871-N871</f>
        <v>7000</v>
      </c>
      <c r="Q871" s="14">
        <f>L871*M871</f>
        <v>7000</v>
      </c>
      <c r="R871" s="14">
        <f>L871*N871</f>
        <v>0</v>
      </c>
      <c r="S871" s="14">
        <f>L871*P871</f>
        <v>7000</v>
      </c>
      <c r="T871" s="14"/>
      <c r="U871" s="14">
        <f>L871*T871</f>
        <v>0</v>
      </c>
      <c r="V871" s="14">
        <f>S871-U871</f>
        <v>7000</v>
      </c>
      <c r="W871" s="16">
        <f>IF(S871&gt;0, V871/S871, 0)</f>
        <v>1</v>
      </c>
      <c r="X871" s="7" t="s">
        <v>39</v>
      </c>
      <c r="Y871" s="9" t="s">
        <v>40</v>
      </c>
      <c r="Z871" s="9" t="s">
        <v>41</v>
      </c>
      <c r="AA871" s="9" t="s">
        <v>42</v>
      </c>
      <c r="AB871" s="7" t="s">
        <v>42</v>
      </c>
    </row>
    <row r="872" spans="1:28">
      <c r="A872" s="8">
        <v>865</v>
      </c>
      <c r="B872" s="8" t="s">
        <v>1166</v>
      </c>
      <c r="C872" s="8" t="s">
        <v>1080</v>
      </c>
      <c r="D872" s="8" t="s">
        <v>652</v>
      </c>
      <c r="E872" s="8" t="s">
        <v>33</v>
      </c>
      <c r="F872" s="6" t="s">
        <v>50</v>
      </c>
      <c r="G872" s="6" t="s">
        <v>51</v>
      </c>
      <c r="H872" s="6" t="s">
        <v>51</v>
      </c>
      <c r="I872" s="8">
        <v>152</v>
      </c>
      <c r="J872" s="8" t="s">
        <v>402</v>
      </c>
      <c r="K872" s="8" t="s">
        <v>53</v>
      </c>
      <c r="L872" s="10">
        <v>1</v>
      </c>
      <c r="M872" s="13">
        <v>8000.0</v>
      </c>
      <c r="N872" s="13"/>
      <c r="O872" s="15">
        <f>IF(M872&gt;0, N872/M872, 0)</f>
        <v>0</v>
      </c>
      <c r="P872" s="13">
        <f>M872-N872</f>
        <v>8000</v>
      </c>
      <c r="Q872" s="13">
        <f>L872*M872</f>
        <v>8000</v>
      </c>
      <c r="R872" s="13">
        <f>L872*N872</f>
        <v>0</v>
      </c>
      <c r="S872" s="13">
        <f>L872*P872</f>
        <v>8000</v>
      </c>
      <c r="T872" s="13"/>
      <c r="U872" s="13">
        <f>L872*T872</f>
        <v>0</v>
      </c>
      <c r="V872" s="13">
        <f>S872-U872</f>
        <v>8000</v>
      </c>
      <c r="W872" s="15">
        <f>IF(S872&gt;0, V872/S872, 0)</f>
        <v>1</v>
      </c>
      <c r="X872" s="6" t="s">
        <v>39</v>
      </c>
      <c r="Y872" s="8" t="s">
        <v>40</v>
      </c>
      <c r="Z872" s="8" t="s">
        <v>41</v>
      </c>
      <c r="AA872" s="8" t="s">
        <v>42</v>
      </c>
      <c r="AB872" s="6" t="s">
        <v>42</v>
      </c>
    </row>
    <row r="873" spans="1:28">
      <c r="A873" s="9">
        <v>866</v>
      </c>
      <c r="B873" s="9" t="s">
        <v>1167</v>
      </c>
      <c r="C873" s="9" t="s">
        <v>1080</v>
      </c>
      <c r="D873" s="9" t="s">
        <v>652</v>
      </c>
      <c r="E873" s="9" t="s">
        <v>33</v>
      </c>
      <c r="F873" s="7" t="s">
        <v>50</v>
      </c>
      <c r="G873" s="7" t="s">
        <v>69</v>
      </c>
      <c r="H873" s="7" t="s">
        <v>69</v>
      </c>
      <c r="I873" s="9">
        <v>152</v>
      </c>
      <c r="J873" s="9" t="s">
        <v>350</v>
      </c>
      <c r="K873" s="9" t="s">
        <v>38</v>
      </c>
      <c r="L873" s="11">
        <v>1</v>
      </c>
      <c r="M873" s="14">
        <v>16000.0</v>
      </c>
      <c r="N873" s="14"/>
      <c r="O873" s="16">
        <f>IF(M873&gt;0, N873/M873, 0)</f>
        <v>0</v>
      </c>
      <c r="P873" s="14">
        <f>M873-N873</f>
        <v>16000</v>
      </c>
      <c r="Q873" s="14">
        <f>L873*M873</f>
        <v>16000</v>
      </c>
      <c r="R873" s="14">
        <f>L873*N873</f>
        <v>0</v>
      </c>
      <c r="S873" s="14">
        <f>L873*P873</f>
        <v>16000</v>
      </c>
      <c r="T873" s="14"/>
      <c r="U873" s="14">
        <f>L873*T873</f>
        <v>0</v>
      </c>
      <c r="V873" s="14">
        <f>S873-U873</f>
        <v>16000</v>
      </c>
      <c r="W873" s="16">
        <f>IF(S873&gt;0, V873/S873, 0)</f>
        <v>1</v>
      </c>
      <c r="X873" s="7" t="s">
        <v>39</v>
      </c>
      <c r="Y873" s="9" t="s">
        <v>40</v>
      </c>
      <c r="Z873" s="9" t="s">
        <v>41</v>
      </c>
      <c r="AA873" s="9" t="s">
        <v>42</v>
      </c>
      <c r="AB873" s="7" t="s">
        <v>42</v>
      </c>
    </row>
    <row r="874" spans="1:28">
      <c r="A874" s="8">
        <v>867</v>
      </c>
      <c r="B874" s="8" t="s">
        <v>1168</v>
      </c>
      <c r="C874" s="8" t="s">
        <v>1080</v>
      </c>
      <c r="D874" s="8" t="s">
        <v>652</v>
      </c>
      <c r="E874" s="8" t="s">
        <v>68</v>
      </c>
      <c r="F874" s="6" t="s">
        <v>34</v>
      </c>
      <c r="G874" s="6" t="s">
        <v>35</v>
      </c>
      <c r="H874" s="6" t="s">
        <v>36</v>
      </c>
      <c r="I874" s="8">
        <v>158</v>
      </c>
      <c r="J874" s="8" t="s">
        <v>37</v>
      </c>
      <c r="K874" s="8" t="s">
        <v>38</v>
      </c>
      <c r="L874" s="10">
        <v>2</v>
      </c>
      <c r="M874" s="13">
        <v>10000.0</v>
      </c>
      <c r="N874" s="13"/>
      <c r="O874" s="15">
        <f>IF(M874&gt;0, N874/M874, 0)</f>
        <v>0</v>
      </c>
      <c r="P874" s="13">
        <f>M874-N874</f>
        <v>10000</v>
      </c>
      <c r="Q874" s="13">
        <f>L874*M874</f>
        <v>20000</v>
      </c>
      <c r="R874" s="13">
        <f>L874*N874</f>
        <v>0</v>
      </c>
      <c r="S874" s="13">
        <f>L874*P874</f>
        <v>20000</v>
      </c>
      <c r="T874" s="13"/>
      <c r="U874" s="13">
        <f>L874*T874</f>
        <v>0</v>
      </c>
      <c r="V874" s="13">
        <f>S874-U874</f>
        <v>20000</v>
      </c>
      <c r="W874" s="15">
        <f>IF(S874&gt;0, V874/S874, 0)</f>
        <v>1</v>
      </c>
      <c r="X874" s="6" t="s">
        <v>39</v>
      </c>
      <c r="Y874" s="8" t="s">
        <v>40</v>
      </c>
      <c r="Z874" s="8" t="s">
        <v>71</v>
      </c>
      <c r="AA874" s="8" t="s">
        <v>42</v>
      </c>
      <c r="AB874" s="6" t="s">
        <v>42</v>
      </c>
    </row>
    <row r="875" spans="1:28">
      <c r="A875" s="9">
        <v>868</v>
      </c>
      <c r="B875" s="9" t="s">
        <v>1169</v>
      </c>
      <c r="C875" s="9" t="s">
        <v>1080</v>
      </c>
      <c r="D875" s="9" t="s">
        <v>652</v>
      </c>
      <c r="E875" s="9" t="s">
        <v>68</v>
      </c>
      <c r="F875" s="7" t="s">
        <v>34</v>
      </c>
      <c r="G875" s="7" t="s">
        <v>69</v>
      </c>
      <c r="H875" s="7" t="s">
        <v>69</v>
      </c>
      <c r="I875" s="9">
        <v>164</v>
      </c>
      <c r="J875" s="9" t="s">
        <v>70</v>
      </c>
      <c r="K875" s="9" t="s">
        <v>38</v>
      </c>
      <c r="L875" s="11">
        <v>1</v>
      </c>
      <c r="M875" s="14">
        <v>18000.0</v>
      </c>
      <c r="N875" s="14"/>
      <c r="O875" s="16">
        <f>IF(M875&gt;0, N875/M875, 0)</f>
        <v>0</v>
      </c>
      <c r="P875" s="14">
        <f>M875-N875</f>
        <v>18000</v>
      </c>
      <c r="Q875" s="14">
        <f>L875*M875</f>
        <v>18000</v>
      </c>
      <c r="R875" s="14">
        <f>L875*N875</f>
        <v>0</v>
      </c>
      <c r="S875" s="14">
        <f>L875*P875</f>
        <v>18000</v>
      </c>
      <c r="T875" s="14"/>
      <c r="U875" s="14">
        <f>L875*T875</f>
        <v>0</v>
      </c>
      <c r="V875" s="14">
        <f>S875-U875</f>
        <v>18000</v>
      </c>
      <c r="W875" s="16">
        <f>IF(S875&gt;0, V875/S875, 0)</f>
        <v>1</v>
      </c>
      <c r="X875" s="7" t="s">
        <v>39</v>
      </c>
      <c r="Y875" s="9" t="s">
        <v>40</v>
      </c>
      <c r="Z875" s="9" t="s">
        <v>71</v>
      </c>
      <c r="AA875" s="9" t="s">
        <v>42</v>
      </c>
      <c r="AB875" s="7" t="s">
        <v>42</v>
      </c>
    </row>
    <row r="876" spans="1:28">
      <c r="A876" s="8">
        <v>869</v>
      </c>
      <c r="B876" s="8" t="s">
        <v>1170</v>
      </c>
      <c r="C876" s="8" t="s">
        <v>1080</v>
      </c>
      <c r="D876" s="8" t="s">
        <v>652</v>
      </c>
      <c r="E876" s="8" t="s">
        <v>68</v>
      </c>
      <c r="F876" s="6" t="s">
        <v>34</v>
      </c>
      <c r="G876" s="6" t="s">
        <v>63</v>
      </c>
      <c r="H876" s="6" t="s">
        <v>148</v>
      </c>
      <c r="I876" s="8">
        <v>164</v>
      </c>
      <c r="J876" s="8" t="s">
        <v>365</v>
      </c>
      <c r="K876" s="8" t="s">
        <v>38</v>
      </c>
      <c r="L876" s="10">
        <v>2</v>
      </c>
      <c r="M876" s="13">
        <v>11000.0</v>
      </c>
      <c r="N876" s="13"/>
      <c r="O876" s="15">
        <f>IF(M876&gt;0, N876/M876, 0)</f>
        <v>0</v>
      </c>
      <c r="P876" s="13">
        <f>M876-N876</f>
        <v>11000</v>
      </c>
      <c r="Q876" s="13">
        <f>L876*M876</f>
        <v>22000</v>
      </c>
      <c r="R876" s="13">
        <f>L876*N876</f>
        <v>0</v>
      </c>
      <c r="S876" s="13">
        <f>L876*P876</f>
        <v>22000</v>
      </c>
      <c r="T876" s="13"/>
      <c r="U876" s="13">
        <f>L876*T876</f>
        <v>0</v>
      </c>
      <c r="V876" s="13">
        <f>S876-U876</f>
        <v>22000</v>
      </c>
      <c r="W876" s="15">
        <f>IF(S876&gt;0, V876/S876, 0)</f>
        <v>1</v>
      </c>
      <c r="X876" s="6" t="s">
        <v>39</v>
      </c>
      <c r="Y876" s="8" t="s">
        <v>40</v>
      </c>
      <c r="Z876" s="8" t="s">
        <v>71</v>
      </c>
      <c r="AA876" s="8" t="s">
        <v>42</v>
      </c>
      <c r="AB876" s="6" t="s">
        <v>42</v>
      </c>
    </row>
    <row r="877" spans="1:28">
      <c r="A877" s="9">
        <v>870</v>
      </c>
      <c r="B877" s="9" t="s">
        <v>1171</v>
      </c>
      <c r="C877" s="9" t="s">
        <v>1080</v>
      </c>
      <c r="D877" s="9" t="s">
        <v>652</v>
      </c>
      <c r="E877" s="9" t="s">
        <v>33</v>
      </c>
      <c r="F877" s="7" t="s">
        <v>34</v>
      </c>
      <c r="G877" s="7" t="s">
        <v>45</v>
      </c>
      <c r="H877" s="7" t="s">
        <v>46</v>
      </c>
      <c r="I877" s="9">
        <v>158</v>
      </c>
      <c r="J877" s="9" t="s">
        <v>47</v>
      </c>
      <c r="K877" s="9" t="s">
        <v>38</v>
      </c>
      <c r="L877" s="11">
        <v>1</v>
      </c>
      <c r="M877" s="14">
        <v>18000.0</v>
      </c>
      <c r="N877" s="14"/>
      <c r="O877" s="16">
        <f>IF(M877&gt;0, N877/M877, 0)</f>
        <v>0</v>
      </c>
      <c r="P877" s="14">
        <f>M877-N877</f>
        <v>18000</v>
      </c>
      <c r="Q877" s="14">
        <f>L877*M877</f>
        <v>18000</v>
      </c>
      <c r="R877" s="14">
        <f>L877*N877</f>
        <v>0</v>
      </c>
      <c r="S877" s="14">
        <f>L877*P877</f>
        <v>18000</v>
      </c>
      <c r="T877" s="14"/>
      <c r="U877" s="14">
        <f>L877*T877</f>
        <v>0</v>
      </c>
      <c r="V877" s="14">
        <f>S877-U877</f>
        <v>18000</v>
      </c>
      <c r="W877" s="16">
        <f>IF(S877&gt;0, V877/S877, 0)</f>
        <v>1</v>
      </c>
      <c r="X877" s="7" t="s">
        <v>39</v>
      </c>
      <c r="Y877" s="9" t="s">
        <v>40</v>
      </c>
      <c r="Z877" s="9" t="s">
        <v>41</v>
      </c>
      <c r="AA877" s="9" t="s">
        <v>42</v>
      </c>
      <c r="AB877" s="7" t="s">
        <v>42</v>
      </c>
    </row>
    <row r="878" spans="1:28">
      <c r="A878" s="8">
        <v>871</v>
      </c>
      <c r="B878" s="8" t="s">
        <v>1172</v>
      </c>
      <c r="C878" s="8" t="s">
        <v>1080</v>
      </c>
      <c r="D878" s="8" t="s">
        <v>652</v>
      </c>
      <c r="E878" s="8" t="s">
        <v>33</v>
      </c>
      <c r="F878" s="6" t="s">
        <v>34</v>
      </c>
      <c r="G878" s="6" t="s">
        <v>45</v>
      </c>
      <c r="H878" s="6" t="s">
        <v>46</v>
      </c>
      <c r="I878" s="8">
        <v>164</v>
      </c>
      <c r="J878" s="8" t="s">
        <v>318</v>
      </c>
      <c r="K878" s="8" t="s">
        <v>38</v>
      </c>
      <c r="L878" s="10">
        <v>1</v>
      </c>
      <c r="M878" s="13">
        <v>18000.0</v>
      </c>
      <c r="N878" s="13"/>
      <c r="O878" s="15">
        <f>IF(M878&gt;0, N878/M878, 0)</f>
        <v>0</v>
      </c>
      <c r="P878" s="13">
        <f>M878-N878</f>
        <v>18000</v>
      </c>
      <c r="Q878" s="13">
        <f>L878*M878</f>
        <v>18000</v>
      </c>
      <c r="R878" s="13">
        <f>L878*N878</f>
        <v>0</v>
      </c>
      <c r="S878" s="13">
        <f>L878*P878</f>
        <v>18000</v>
      </c>
      <c r="T878" s="13"/>
      <c r="U878" s="13">
        <f>L878*T878</f>
        <v>0</v>
      </c>
      <c r="V878" s="13">
        <f>S878-U878</f>
        <v>18000</v>
      </c>
      <c r="W878" s="15">
        <f>IF(S878&gt;0, V878/S878, 0)</f>
        <v>1</v>
      </c>
      <c r="X878" s="6" t="s">
        <v>39</v>
      </c>
      <c r="Y878" s="8" t="s">
        <v>40</v>
      </c>
      <c r="Z878" s="8" t="s">
        <v>41</v>
      </c>
      <c r="AA878" s="8" t="s">
        <v>42</v>
      </c>
      <c r="AB878" s="6" t="s">
        <v>42</v>
      </c>
    </row>
    <row r="879" spans="1:28">
      <c r="A879" s="9">
        <v>872</v>
      </c>
      <c r="B879" s="9" t="s">
        <v>1173</v>
      </c>
      <c r="C879" s="9" t="s">
        <v>1080</v>
      </c>
      <c r="D879" s="9" t="s">
        <v>652</v>
      </c>
      <c r="E879" s="9" t="s">
        <v>33</v>
      </c>
      <c r="F879" s="7" t="s">
        <v>34</v>
      </c>
      <c r="G879" s="7" t="s">
        <v>35</v>
      </c>
      <c r="H879" s="7" t="s">
        <v>36</v>
      </c>
      <c r="I879" s="9">
        <v>170</v>
      </c>
      <c r="J879" s="9" t="s">
        <v>142</v>
      </c>
      <c r="K879" s="9" t="s">
        <v>38</v>
      </c>
      <c r="L879" s="11">
        <v>1</v>
      </c>
      <c r="M879" s="14">
        <v>8000.0</v>
      </c>
      <c r="N879" s="14"/>
      <c r="O879" s="16">
        <f>IF(M879&gt;0, N879/M879, 0)</f>
        <v>0</v>
      </c>
      <c r="P879" s="14">
        <f>M879-N879</f>
        <v>8000</v>
      </c>
      <c r="Q879" s="14">
        <f>L879*M879</f>
        <v>8000</v>
      </c>
      <c r="R879" s="14">
        <f>L879*N879</f>
        <v>0</v>
      </c>
      <c r="S879" s="14">
        <f>L879*P879</f>
        <v>8000</v>
      </c>
      <c r="T879" s="14"/>
      <c r="U879" s="14">
        <f>L879*T879</f>
        <v>0</v>
      </c>
      <c r="V879" s="14">
        <f>S879-U879</f>
        <v>8000</v>
      </c>
      <c r="W879" s="16">
        <f>IF(S879&gt;0, V879/S879, 0)</f>
        <v>1</v>
      </c>
      <c r="X879" s="7" t="s">
        <v>39</v>
      </c>
      <c r="Y879" s="9" t="s">
        <v>40</v>
      </c>
      <c r="Z879" s="9" t="s">
        <v>41</v>
      </c>
      <c r="AA879" s="9" t="s">
        <v>42</v>
      </c>
      <c r="AB879" s="7" t="s">
        <v>42</v>
      </c>
    </row>
    <row r="880" spans="1:28">
      <c r="A880" s="8">
        <v>873</v>
      </c>
      <c r="B880" s="8" t="s">
        <v>1174</v>
      </c>
      <c r="C880" s="8" t="s">
        <v>1080</v>
      </c>
      <c r="D880" s="8" t="s">
        <v>652</v>
      </c>
      <c r="E880" s="8" t="s">
        <v>33</v>
      </c>
      <c r="F880" s="6" t="s">
        <v>34</v>
      </c>
      <c r="G880" s="6" t="s">
        <v>35</v>
      </c>
      <c r="H880" s="6" t="s">
        <v>73</v>
      </c>
      <c r="I880" s="8">
        <v>170</v>
      </c>
      <c r="J880" s="8" t="s">
        <v>648</v>
      </c>
      <c r="K880" s="8" t="s">
        <v>38</v>
      </c>
      <c r="L880" s="10">
        <v>1</v>
      </c>
      <c r="M880" s="13">
        <v>9000.0</v>
      </c>
      <c r="N880" s="13"/>
      <c r="O880" s="15">
        <f>IF(M880&gt;0, N880/M880, 0)</f>
        <v>0</v>
      </c>
      <c r="P880" s="13">
        <f>M880-N880</f>
        <v>9000</v>
      </c>
      <c r="Q880" s="13">
        <f>L880*M880</f>
        <v>9000</v>
      </c>
      <c r="R880" s="13">
        <f>L880*N880</f>
        <v>0</v>
      </c>
      <c r="S880" s="13">
        <f>L880*P880</f>
        <v>9000</v>
      </c>
      <c r="T880" s="13"/>
      <c r="U880" s="13">
        <f>L880*T880</f>
        <v>0</v>
      </c>
      <c r="V880" s="13">
        <f>S880-U880</f>
        <v>9000</v>
      </c>
      <c r="W880" s="15">
        <f>IF(S880&gt;0, V880/S880, 0)</f>
        <v>1</v>
      </c>
      <c r="X880" s="6" t="s">
        <v>39</v>
      </c>
      <c r="Y880" s="8" t="s">
        <v>40</v>
      </c>
      <c r="Z880" s="8" t="s">
        <v>41</v>
      </c>
      <c r="AA880" s="8" t="s">
        <v>42</v>
      </c>
      <c r="AB880" s="6" t="s">
        <v>42</v>
      </c>
    </row>
    <row r="881" spans="1:28">
      <c r="A881" s="9">
        <v>874</v>
      </c>
      <c r="B881" s="9" t="s">
        <v>1175</v>
      </c>
      <c r="C881" s="9" t="s">
        <v>1080</v>
      </c>
      <c r="D881" s="9" t="s">
        <v>652</v>
      </c>
      <c r="E881" s="9" t="s">
        <v>33</v>
      </c>
      <c r="F881" s="7" t="s">
        <v>34</v>
      </c>
      <c r="G881" s="7" t="s">
        <v>56</v>
      </c>
      <c r="H881" s="7" t="s">
        <v>56</v>
      </c>
      <c r="I881" s="9">
        <v>194</v>
      </c>
      <c r="J881" s="9" t="s">
        <v>1176</v>
      </c>
      <c r="K881" s="9" t="s">
        <v>38</v>
      </c>
      <c r="L881" s="11">
        <v>1</v>
      </c>
      <c r="M881" s="14">
        <v>7500.0</v>
      </c>
      <c r="N881" s="14"/>
      <c r="O881" s="16">
        <f>IF(M881&gt;0, N881/M881, 0)</f>
        <v>0</v>
      </c>
      <c r="P881" s="14">
        <f>M881-N881</f>
        <v>7500</v>
      </c>
      <c r="Q881" s="14">
        <f>L881*M881</f>
        <v>7500</v>
      </c>
      <c r="R881" s="14">
        <f>L881*N881</f>
        <v>0</v>
      </c>
      <c r="S881" s="14">
        <f>L881*P881</f>
        <v>7500</v>
      </c>
      <c r="T881" s="14"/>
      <c r="U881" s="14">
        <f>L881*T881</f>
        <v>0</v>
      </c>
      <c r="V881" s="14">
        <f>S881-U881</f>
        <v>7500</v>
      </c>
      <c r="W881" s="16">
        <f>IF(S881&gt;0, V881/S881, 0)</f>
        <v>1</v>
      </c>
      <c r="X881" s="7" t="s">
        <v>39</v>
      </c>
      <c r="Y881" s="9" t="s">
        <v>40</v>
      </c>
      <c r="Z881" s="9" t="s">
        <v>41</v>
      </c>
      <c r="AA881" s="9" t="s">
        <v>42</v>
      </c>
      <c r="AB881" s="7" t="s">
        <v>42</v>
      </c>
    </row>
    <row r="882" spans="1:28">
      <c r="A882" s="8">
        <v>875</v>
      </c>
      <c r="B882" s="8" t="s">
        <v>1177</v>
      </c>
      <c r="C882" s="8" t="s">
        <v>1080</v>
      </c>
      <c r="D882" s="8" t="s">
        <v>652</v>
      </c>
      <c r="E882" s="8" t="s">
        <v>33</v>
      </c>
      <c r="F882" s="6" t="s">
        <v>34</v>
      </c>
      <c r="G882" s="6" t="s">
        <v>51</v>
      </c>
      <c r="H882" s="6" t="s">
        <v>51</v>
      </c>
      <c r="I882" s="8">
        <v>194</v>
      </c>
      <c r="J882" s="8" t="s">
        <v>734</v>
      </c>
      <c r="K882" s="8" t="s">
        <v>38</v>
      </c>
      <c r="L882" s="10">
        <v>1</v>
      </c>
      <c r="M882" s="13">
        <v>8500.0</v>
      </c>
      <c r="N882" s="13"/>
      <c r="O882" s="15">
        <f>IF(M882&gt;0, N882/M882, 0)</f>
        <v>0</v>
      </c>
      <c r="P882" s="13">
        <f>M882-N882</f>
        <v>8500</v>
      </c>
      <c r="Q882" s="13">
        <f>L882*M882</f>
        <v>8500</v>
      </c>
      <c r="R882" s="13">
        <f>L882*N882</f>
        <v>0</v>
      </c>
      <c r="S882" s="13">
        <f>L882*P882</f>
        <v>8500</v>
      </c>
      <c r="T882" s="13"/>
      <c r="U882" s="13">
        <f>L882*T882</f>
        <v>0</v>
      </c>
      <c r="V882" s="13">
        <f>S882-U882</f>
        <v>8500</v>
      </c>
      <c r="W882" s="15">
        <f>IF(S882&gt;0, V882/S882, 0)</f>
        <v>1</v>
      </c>
      <c r="X882" s="6" t="s">
        <v>39</v>
      </c>
      <c r="Y882" s="8" t="s">
        <v>40</v>
      </c>
      <c r="Z882" s="8" t="s">
        <v>41</v>
      </c>
      <c r="AA882" s="8" t="s">
        <v>42</v>
      </c>
      <c r="AB882" s="6" t="s">
        <v>42</v>
      </c>
    </row>
    <row r="883" spans="1:28">
      <c r="A883" s="9">
        <v>876</v>
      </c>
      <c r="B883" s="9" t="s">
        <v>1178</v>
      </c>
      <c r="C883" s="9" t="s">
        <v>1080</v>
      </c>
      <c r="D883" s="9" t="s">
        <v>652</v>
      </c>
      <c r="E883" s="9" t="s">
        <v>33</v>
      </c>
      <c r="F883" s="7" t="s">
        <v>34</v>
      </c>
      <c r="G883" s="7" t="s">
        <v>69</v>
      </c>
      <c r="H883" s="7" t="s">
        <v>69</v>
      </c>
      <c r="I883" s="9">
        <v>188</v>
      </c>
      <c r="J883" s="9" t="s">
        <v>917</v>
      </c>
      <c r="K883" s="9" t="s">
        <v>38</v>
      </c>
      <c r="L883" s="11">
        <v>1</v>
      </c>
      <c r="M883" s="14">
        <v>16500.0</v>
      </c>
      <c r="N883" s="14"/>
      <c r="O883" s="16">
        <f>IF(M883&gt;0, N883/M883, 0)</f>
        <v>0</v>
      </c>
      <c r="P883" s="14">
        <f>M883-N883</f>
        <v>16500</v>
      </c>
      <c r="Q883" s="14">
        <f>L883*M883</f>
        <v>16500</v>
      </c>
      <c r="R883" s="14">
        <f>L883*N883</f>
        <v>0</v>
      </c>
      <c r="S883" s="14">
        <f>L883*P883</f>
        <v>16500</v>
      </c>
      <c r="T883" s="14"/>
      <c r="U883" s="14">
        <f>L883*T883</f>
        <v>0</v>
      </c>
      <c r="V883" s="14">
        <f>S883-U883</f>
        <v>16500</v>
      </c>
      <c r="W883" s="16">
        <f>IF(S883&gt;0, V883/S883, 0)</f>
        <v>1</v>
      </c>
      <c r="X883" s="7" t="s">
        <v>39</v>
      </c>
      <c r="Y883" s="9" t="s">
        <v>40</v>
      </c>
      <c r="Z883" s="9" t="s">
        <v>41</v>
      </c>
      <c r="AA883" s="9" t="s">
        <v>42</v>
      </c>
      <c r="AB883" s="7" t="s">
        <v>42</v>
      </c>
    </row>
    <row r="884" spans="1:28">
      <c r="A884" s="8">
        <v>877</v>
      </c>
      <c r="B884" s="8" t="s">
        <v>1179</v>
      </c>
      <c r="C884" s="8" t="s">
        <v>1080</v>
      </c>
      <c r="D884" s="8" t="s">
        <v>652</v>
      </c>
      <c r="E884" s="8" t="s">
        <v>33</v>
      </c>
      <c r="F884" s="6" t="s">
        <v>34</v>
      </c>
      <c r="G884" s="6" t="s">
        <v>35</v>
      </c>
      <c r="H884" s="6" t="s">
        <v>73</v>
      </c>
      <c r="I884" s="8">
        <v>194</v>
      </c>
      <c r="J884" s="8" t="s">
        <v>1180</v>
      </c>
      <c r="K884" s="8" t="s">
        <v>38</v>
      </c>
      <c r="L884" s="10">
        <v>1</v>
      </c>
      <c r="M884" s="13">
        <v>9000.0</v>
      </c>
      <c r="N884" s="13"/>
      <c r="O884" s="15">
        <f>IF(M884&gt;0, N884/M884, 0)</f>
        <v>0</v>
      </c>
      <c r="P884" s="13">
        <f>M884-N884</f>
        <v>9000</v>
      </c>
      <c r="Q884" s="13">
        <f>L884*M884</f>
        <v>9000</v>
      </c>
      <c r="R884" s="13">
        <f>L884*N884</f>
        <v>0</v>
      </c>
      <c r="S884" s="13">
        <f>L884*P884</f>
        <v>9000</v>
      </c>
      <c r="T884" s="13"/>
      <c r="U884" s="13">
        <f>L884*T884</f>
        <v>0</v>
      </c>
      <c r="V884" s="13">
        <f>S884-U884</f>
        <v>9000</v>
      </c>
      <c r="W884" s="15">
        <f>IF(S884&gt;0, V884/S884, 0)</f>
        <v>1</v>
      </c>
      <c r="X884" s="6" t="s">
        <v>39</v>
      </c>
      <c r="Y884" s="8" t="s">
        <v>40</v>
      </c>
      <c r="Z884" s="8" t="s">
        <v>41</v>
      </c>
      <c r="AA884" s="8" t="s">
        <v>42</v>
      </c>
      <c r="AB884" s="6" t="s">
        <v>42</v>
      </c>
    </row>
    <row r="885" spans="1:28">
      <c r="A885" s="9">
        <v>878</v>
      </c>
      <c r="B885" s="9" t="s">
        <v>1181</v>
      </c>
      <c r="C885" s="9" t="s">
        <v>1080</v>
      </c>
      <c r="D885" s="9" t="s">
        <v>652</v>
      </c>
      <c r="E885" s="9" t="s">
        <v>33</v>
      </c>
      <c r="F885" s="7" t="s">
        <v>34</v>
      </c>
      <c r="G885" s="7" t="s">
        <v>63</v>
      </c>
      <c r="H885" s="7" t="s">
        <v>148</v>
      </c>
      <c r="I885" s="9">
        <v>170</v>
      </c>
      <c r="J885" s="9" t="s">
        <v>149</v>
      </c>
      <c r="K885" s="9" t="s">
        <v>38</v>
      </c>
      <c r="L885" s="11">
        <v>1</v>
      </c>
      <c r="M885" s="14">
        <v>9500.0</v>
      </c>
      <c r="N885" s="14"/>
      <c r="O885" s="16">
        <f>IF(M885&gt;0, N885/M885, 0)</f>
        <v>0</v>
      </c>
      <c r="P885" s="14">
        <f>M885-N885</f>
        <v>9500</v>
      </c>
      <c r="Q885" s="14">
        <f>L885*M885</f>
        <v>9500</v>
      </c>
      <c r="R885" s="14">
        <f>L885*N885</f>
        <v>0</v>
      </c>
      <c r="S885" s="14">
        <f>L885*P885</f>
        <v>9500</v>
      </c>
      <c r="T885" s="14"/>
      <c r="U885" s="14">
        <f>L885*T885</f>
        <v>0</v>
      </c>
      <c r="V885" s="14">
        <f>S885-U885</f>
        <v>9500</v>
      </c>
      <c r="W885" s="16">
        <f>IF(S885&gt;0, V885/S885, 0)</f>
        <v>1</v>
      </c>
      <c r="X885" s="7" t="s">
        <v>39</v>
      </c>
      <c r="Y885" s="9" t="s">
        <v>40</v>
      </c>
      <c r="Z885" s="9" t="s">
        <v>41</v>
      </c>
      <c r="AA885" s="9" t="s">
        <v>42</v>
      </c>
      <c r="AB885" s="7" t="s">
        <v>42</v>
      </c>
    </row>
    <row r="886" spans="1:28">
      <c r="A886" s="8">
        <v>879</v>
      </c>
      <c r="B886" s="8" t="s">
        <v>1182</v>
      </c>
      <c r="C886" s="8" t="s">
        <v>1080</v>
      </c>
      <c r="D886" s="8" t="s">
        <v>652</v>
      </c>
      <c r="E886" s="8" t="s">
        <v>33</v>
      </c>
      <c r="F886" s="6" t="s">
        <v>34</v>
      </c>
      <c r="G886" s="6" t="s">
        <v>56</v>
      </c>
      <c r="H886" s="6" t="s">
        <v>56</v>
      </c>
      <c r="I886" s="8">
        <v>170</v>
      </c>
      <c r="J886" s="8" t="s">
        <v>212</v>
      </c>
      <c r="K886" s="8" t="s">
        <v>38</v>
      </c>
      <c r="L886" s="10">
        <v>1</v>
      </c>
      <c r="M886" s="13">
        <v>7500.0</v>
      </c>
      <c r="N886" s="13"/>
      <c r="O886" s="15">
        <f>IF(M886&gt;0, N886/M886, 0)</f>
        <v>0</v>
      </c>
      <c r="P886" s="13">
        <f>M886-N886</f>
        <v>7500</v>
      </c>
      <c r="Q886" s="13">
        <f>L886*M886</f>
        <v>7500</v>
      </c>
      <c r="R886" s="13">
        <f>L886*N886</f>
        <v>0</v>
      </c>
      <c r="S886" s="13">
        <f>L886*P886</f>
        <v>7500</v>
      </c>
      <c r="T886" s="13"/>
      <c r="U886" s="13">
        <f>L886*T886</f>
        <v>0</v>
      </c>
      <c r="V886" s="13">
        <f>S886-U886</f>
        <v>7500</v>
      </c>
      <c r="W886" s="15">
        <f>IF(S886&gt;0, V886/S886, 0)</f>
        <v>1</v>
      </c>
      <c r="X886" s="6" t="s">
        <v>39</v>
      </c>
      <c r="Y886" s="8" t="s">
        <v>40</v>
      </c>
      <c r="Z886" s="8" t="s">
        <v>41</v>
      </c>
      <c r="AA886" s="8" t="s">
        <v>42</v>
      </c>
      <c r="AB886" s="6" t="s">
        <v>42</v>
      </c>
    </row>
    <row r="887" spans="1:28">
      <c r="A887" s="9">
        <v>880</v>
      </c>
      <c r="B887" s="9" t="s">
        <v>1183</v>
      </c>
      <c r="C887" s="9" t="s">
        <v>1080</v>
      </c>
      <c r="D887" s="9" t="s">
        <v>652</v>
      </c>
      <c r="E887" s="9" t="s">
        <v>33</v>
      </c>
      <c r="F887" s="7" t="s">
        <v>34</v>
      </c>
      <c r="G887" s="7" t="s">
        <v>69</v>
      </c>
      <c r="H887" s="7" t="s">
        <v>69</v>
      </c>
      <c r="I887" s="9">
        <v>176</v>
      </c>
      <c r="J887" s="9" t="s">
        <v>203</v>
      </c>
      <c r="K887" s="9" t="s">
        <v>38</v>
      </c>
      <c r="L887" s="11">
        <v>1</v>
      </c>
      <c r="M887" s="14">
        <v>16500.0</v>
      </c>
      <c r="N887" s="14"/>
      <c r="O887" s="16">
        <f>IF(M887&gt;0, N887/M887, 0)</f>
        <v>0</v>
      </c>
      <c r="P887" s="14">
        <f>M887-N887</f>
        <v>16500</v>
      </c>
      <c r="Q887" s="14">
        <f>L887*M887</f>
        <v>16500</v>
      </c>
      <c r="R887" s="14">
        <f>L887*N887</f>
        <v>0</v>
      </c>
      <c r="S887" s="14">
        <f>L887*P887</f>
        <v>16500</v>
      </c>
      <c r="T887" s="14"/>
      <c r="U887" s="14">
        <f>L887*T887</f>
        <v>0</v>
      </c>
      <c r="V887" s="14">
        <f>S887-U887</f>
        <v>16500</v>
      </c>
      <c r="W887" s="16">
        <f>IF(S887&gt;0, V887/S887, 0)</f>
        <v>1</v>
      </c>
      <c r="X887" s="7" t="s">
        <v>39</v>
      </c>
      <c r="Y887" s="9" t="s">
        <v>40</v>
      </c>
      <c r="Z887" s="9" t="s">
        <v>41</v>
      </c>
      <c r="AA887" s="9" t="s">
        <v>42</v>
      </c>
      <c r="AB887" s="7" t="s">
        <v>42</v>
      </c>
    </row>
    <row r="888" spans="1:28">
      <c r="A888" s="8">
        <v>881</v>
      </c>
      <c r="B888" s="8" t="s">
        <v>1184</v>
      </c>
      <c r="C888" s="8" t="s">
        <v>1080</v>
      </c>
      <c r="D888" s="8" t="s">
        <v>652</v>
      </c>
      <c r="E888" s="8" t="s">
        <v>33</v>
      </c>
      <c r="F888" s="6" t="s">
        <v>34</v>
      </c>
      <c r="G888" s="6" t="s">
        <v>51</v>
      </c>
      <c r="H888" s="6" t="s">
        <v>51</v>
      </c>
      <c r="I888" s="8">
        <v>176</v>
      </c>
      <c r="J888" s="8" t="s">
        <v>418</v>
      </c>
      <c r="K888" s="8" t="s">
        <v>38</v>
      </c>
      <c r="L888" s="10">
        <v>1</v>
      </c>
      <c r="M888" s="13">
        <v>8500.0</v>
      </c>
      <c r="N888" s="13"/>
      <c r="O888" s="15">
        <f>IF(M888&gt;0, N888/M888, 0)</f>
        <v>0</v>
      </c>
      <c r="P888" s="13">
        <f>M888-N888</f>
        <v>8500</v>
      </c>
      <c r="Q888" s="13">
        <f>L888*M888</f>
        <v>8500</v>
      </c>
      <c r="R888" s="13">
        <f>L888*N888</f>
        <v>0</v>
      </c>
      <c r="S888" s="13">
        <f>L888*P888</f>
        <v>8500</v>
      </c>
      <c r="T888" s="13"/>
      <c r="U888" s="13">
        <f>L888*T888</f>
        <v>0</v>
      </c>
      <c r="V888" s="13">
        <f>S888-U888</f>
        <v>8500</v>
      </c>
      <c r="W888" s="15">
        <f>IF(S888&gt;0, V888/S888, 0)</f>
        <v>1</v>
      </c>
      <c r="X888" s="6" t="s">
        <v>39</v>
      </c>
      <c r="Y888" s="8" t="s">
        <v>40</v>
      </c>
      <c r="Z888" s="8" t="s">
        <v>41</v>
      </c>
      <c r="AA888" s="8" t="s">
        <v>42</v>
      </c>
      <c r="AB888" s="6" t="s">
        <v>42</v>
      </c>
    </row>
    <row r="889" spans="1:28">
      <c r="A889" s="9">
        <v>882</v>
      </c>
      <c r="B889" s="9" t="s">
        <v>1185</v>
      </c>
      <c r="C889" s="9" t="s">
        <v>1080</v>
      </c>
      <c r="D889" s="9" t="s">
        <v>652</v>
      </c>
      <c r="E889" s="9" t="s">
        <v>33</v>
      </c>
      <c r="F889" s="7" t="s">
        <v>34</v>
      </c>
      <c r="G889" s="7" t="s">
        <v>35</v>
      </c>
      <c r="H889" s="7" t="s">
        <v>73</v>
      </c>
      <c r="I889" s="9">
        <v>170</v>
      </c>
      <c r="J889" s="9" t="s">
        <v>648</v>
      </c>
      <c r="K889" s="9" t="s">
        <v>38</v>
      </c>
      <c r="L889" s="11">
        <v>1</v>
      </c>
      <c r="M889" s="14">
        <v>9000.0</v>
      </c>
      <c r="N889" s="14"/>
      <c r="O889" s="16">
        <f>IF(M889&gt;0, N889/M889, 0)</f>
        <v>0</v>
      </c>
      <c r="P889" s="14">
        <f>M889-N889</f>
        <v>9000</v>
      </c>
      <c r="Q889" s="14">
        <f>L889*M889</f>
        <v>9000</v>
      </c>
      <c r="R889" s="14">
        <f>L889*N889</f>
        <v>0</v>
      </c>
      <c r="S889" s="14">
        <f>L889*P889</f>
        <v>9000</v>
      </c>
      <c r="T889" s="14"/>
      <c r="U889" s="14">
        <f>L889*T889</f>
        <v>0</v>
      </c>
      <c r="V889" s="14">
        <f>S889-U889</f>
        <v>9000</v>
      </c>
      <c r="W889" s="16">
        <f>IF(S889&gt;0, V889/S889, 0)</f>
        <v>1</v>
      </c>
      <c r="X889" s="7" t="s">
        <v>39</v>
      </c>
      <c r="Y889" s="9" t="s">
        <v>40</v>
      </c>
      <c r="Z889" s="9" t="s">
        <v>41</v>
      </c>
      <c r="AA889" s="9" t="s">
        <v>42</v>
      </c>
      <c r="AB889" s="7" t="s">
        <v>42</v>
      </c>
    </row>
    <row r="890" spans="1:28">
      <c r="A890" s="8">
        <v>883</v>
      </c>
      <c r="B890" s="8" t="s">
        <v>1186</v>
      </c>
      <c r="C890" s="8" t="s">
        <v>1080</v>
      </c>
      <c r="D890" s="8" t="s">
        <v>652</v>
      </c>
      <c r="E890" s="8" t="s">
        <v>33</v>
      </c>
      <c r="F890" s="6" t="s">
        <v>34</v>
      </c>
      <c r="G890" s="6" t="s">
        <v>35</v>
      </c>
      <c r="H890" s="6" t="s">
        <v>36</v>
      </c>
      <c r="I890" s="8">
        <v>170</v>
      </c>
      <c r="J890" s="8" t="s">
        <v>142</v>
      </c>
      <c r="K890" s="8" t="s">
        <v>38</v>
      </c>
      <c r="L890" s="10">
        <v>1</v>
      </c>
      <c r="M890" s="13">
        <v>8000.0</v>
      </c>
      <c r="N890" s="13"/>
      <c r="O890" s="15">
        <f>IF(M890&gt;0, N890/M890, 0)</f>
        <v>0</v>
      </c>
      <c r="P890" s="13">
        <f>M890-N890</f>
        <v>8000</v>
      </c>
      <c r="Q890" s="13">
        <f>L890*M890</f>
        <v>8000</v>
      </c>
      <c r="R890" s="13">
        <f>L890*N890</f>
        <v>0</v>
      </c>
      <c r="S890" s="13">
        <f>L890*P890</f>
        <v>8000</v>
      </c>
      <c r="T890" s="13"/>
      <c r="U890" s="13">
        <f>L890*T890</f>
        <v>0</v>
      </c>
      <c r="V890" s="13">
        <f>S890-U890</f>
        <v>8000</v>
      </c>
      <c r="W890" s="15">
        <f>IF(S890&gt;0, V890/S890, 0)</f>
        <v>1</v>
      </c>
      <c r="X890" s="6" t="s">
        <v>39</v>
      </c>
      <c r="Y890" s="8" t="s">
        <v>40</v>
      </c>
      <c r="Z890" s="8" t="s">
        <v>41</v>
      </c>
      <c r="AA890" s="8" t="s">
        <v>42</v>
      </c>
      <c r="AB890" s="6" t="s">
        <v>42</v>
      </c>
    </row>
    <row r="891" spans="1:28">
      <c r="A891" s="9">
        <v>884</v>
      </c>
      <c r="B891" s="9" t="s">
        <v>1187</v>
      </c>
      <c r="C891" s="9" t="s">
        <v>1080</v>
      </c>
      <c r="D891" s="9" t="s">
        <v>652</v>
      </c>
      <c r="E891" s="9" t="s">
        <v>33</v>
      </c>
      <c r="F891" s="7" t="s">
        <v>50</v>
      </c>
      <c r="G891" s="7" t="s">
        <v>35</v>
      </c>
      <c r="H891" s="7" t="s">
        <v>73</v>
      </c>
      <c r="I891" s="9">
        <v>128</v>
      </c>
      <c r="J891" s="9" t="s">
        <v>185</v>
      </c>
      <c r="K891" s="9" t="s">
        <v>53</v>
      </c>
      <c r="L891" s="11">
        <v>2</v>
      </c>
      <c r="M891" s="14">
        <v>8000.0</v>
      </c>
      <c r="N891" s="14"/>
      <c r="O891" s="16">
        <f>IF(M891&gt;0, N891/M891, 0)</f>
        <v>0</v>
      </c>
      <c r="P891" s="14">
        <f>M891-N891</f>
        <v>8000</v>
      </c>
      <c r="Q891" s="14">
        <f>L891*M891</f>
        <v>16000</v>
      </c>
      <c r="R891" s="14">
        <f>L891*N891</f>
        <v>0</v>
      </c>
      <c r="S891" s="14">
        <f>L891*P891</f>
        <v>16000</v>
      </c>
      <c r="T891" s="14"/>
      <c r="U891" s="14">
        <f>L891*T891</f>
        <v>0</v>
      </c>
      <c r="V891" s="14">
        <f>S891-U891</f>
        <v>16000</v>
      </c>
      <c r="W891" s="16">
        <f>IF(S891&gt;0, V891/S891, 0)</f>
        <v>1</v>
      </c>
      <c r="X891" s="7" t="s">
        <v>39</v>
      </c>
      <c r="Y891" s="9" t="s">
        <v>40</v>
      </c>
      <c r="Z891" s="9" t="s">
        <v>41</v>
      </c>
      <c r="AA891" s="9" t="s">
        <v>42</v>
      </c>
      <c r="AB891" s="7" t="s">
        <v>42</v>
      </c>
    </row>
    <row r="892" spans="1:28">
      <c r="A892" s="8">
        <v>885</v>
      </c>
      <c r="B892" s="8" t="s">
        <v>1188</v>
      </c>
      <c r="C892" s="8" t="s">
        <v>1080</v>
      </c>
      <c r="D892" s="8" t="s">
        <v>652</v>
      </c>
      <c r="E892" s="8" t="s">
        <v>33</v>
      </c>
      <c r="F892" s="6" t="s">
        <v>34</v>
      </c>
      <c r="G892" s="6" t="s">
        <v>35</v>
      </c>
      <c r="H892" s="6" t="s">
        <v>73</v>
      </c>
      <c r="I892" s="8">
        <v>170</v>
      </c>
      <c r="J892" s="8" t="s">
        <v>648</v>
      </c>
      <c r="K892" s="8" t="s">
        <v>38</v>
      </c>
      <c r="L892" s="10">
        <v>1</v>
      </c>
      <c r="M892" s="13">
        <v>9000.0</v>
      </c>
      <c r="N892" s="13"/>
      <c r="O892" s="15">
        <f>IF(M892&gt;0, N892/M892, 0)</f>
        <v>0</v>
      </c>
      <c r="P892" s="13">
        <f>M892-N892</f>
        <v>9000</v>
      </c>
      <c r="Q892" s="13">
        <f>L892*M892</f>
        <v>9000</v>
      </c>
      <c r="R892" s="13">
        <f>L892*N892</f>
        <v>0</v>
      </c>
      <c r="S892" s="13">
        <f>L892*P892</f>
        <v>9000</v>
      </c>
      <c r="T892" s="13"/>
      <c r="U892" s="13">
        <f>L892*T892</f>
        <v>0</v>
      </c>
      <c r="V892" s="13">
        <f>S892-U892</f>
        <v>9000</v>
      </c>
      <c r="W892" s="15">
        <f>IF(S892&gt;0, V892/S892, 0)</f>
        <v>1</v>
      </c>
      <c r="X892" s="6" t="s">
        <v>39</v>
      </c>
      <c r="Y892" s="8" t="s">
        <v>40</v>
      </c>
      <c r="Z892" s="8" t="s">
        <v>41</v>
      </c>
      <c r="AA892" s="8" t="s">
        <v>42</v>
      </c>
      <c r="AB892" s="6" t="s">
        <v>42</v>
      </c>
    </row>
    <row r="893" spans="1:28">
      <c r="A893" s="9">
        <v>886</v>
      </c>
      <c r="B893" s="9" t="s">
        <v>1189</v>
      </c>
      <c r="C893" s="9" t="s">
        <v>1080</v>
      </c>
      <c r="D893" s="9" t="s">
        <v>652</v>
      </c>
      <c r="E893" s="9" t="s">
        <v>33</v>
      </c>
      <c r="F893" s="7" t="s">
        <v>34</v>
      </c>
      <c r="G893" s="7" t="s">
        <v>35</v>
      </c>
      <c r="H893" s="7" t="s">
        <v>36</v>
      </c>
      <c r="I893" s="9">
        <v>170</v>
      </c>
      <c r="J893" s="9" t="s">
        <v>142</v>
      </c>
      <c r="K893" s="9" t="s">
        <v>38</v>
      </c>
      <c r="L893" s="11">
        <v>1</v>
      </c>
      <c r="M893" s="14">
        <v>8000.0</v>
      </c>
      <c r="N893" s="14"/>
      <c r="O893" s="16">
        <f>IF(M893&gt;0, N893/M893, 0)</f>
        <v>0</v>
      </c>
      <c r="P893" s="14">
        <f>M893-N893</f>
        <v>8000</v>
      </c>
      <c r="Q893" s="14">
        <f>L893*M893</f>
        <v>8000</v>
      </c>
      <c r="R893" s="14">
        <f>L893*N893</f>
        <v>0</v>
      </c>
      <c r="S893" s="14">
        <f>L893*P893</f>
        <v>8000</v>
      </c>
      <c r="T893" s="14"/>
      <c r="U893" s="14">
        <f>L893*T893</f>
        <v>0</v>
      </c>
      <c r="V893" s="14">
        <f>S893-U893</f>
        <v>8000</v>
      </c>
      <c r="W893" s="16">
        <f>IF(S893&gt;0, V893/S893, 0)</f>
        <v>1</v>
      </c>
      <c r="X893" s="7" t="s">
        <v>39</v>
      </c>
      <c r="Y893" s="9" t="s">
        <v>40</v>
      </c>
      <c r="Z893" s="9" t="s">
        <v>41</v>
      </c>
      <c r="AA893" s="9" t="s">
        <v>42</v>
      </c>
      <c r="AB893" s="7" t="s">
        <v>42</v>
      </c>
    </row>
    <row r="894" spans="1:28">
      <c r="A894" s="8">
        <v>887</v>
      </c>
      <c r="B894" s="8" t="s">
        <v>1190</v>
      </c>
      <c r="C894" s="8" t="s">
        <v>1080</v>
      </c>
      <c r="D894" s="8" t="s">
        <v>652</v>
      </c>
      <c r="E894" s="8" t="s">
        <v>33</v>
      </c>
      <c r="F894" s="6" t="s">
        <v>50</v>
      </c>
      <c r="G894" s="6" t="s">
        <v>63</v>
      </c>
      <c r="H894" s="6" t="s">
        <v>148</v>
      </c>
      <c r="I894" s="8">
        <v>122</v>
      </c>
      <c r="J894" s="8" t="s">
        <v>241</v>
      </c>
      <c r="K894" s="8" t="s">
        <v>38</v>
      </c>
      <c r="L894" s="10">
        <v>1</v>
      </c>
      <c r="M894" s="13">
        <v>9000.0</v>
      </c>
      <c r="N894" s="13"/>
      <c r="O894" s="15">
        <f>IF(M894&gt;0, N894/M894, 0)</f>
        <v>0</v>
      </c>
      <c r="P894" s="13">
        <f>M894-N894</f>
        <v>9000</v>
      </c>
      <c r="Q894" s="13">
        <f>L894*M894</f>
        <v>9000</v>
      </c>
      <c r="R894" s="13">
        <f>L894*N894</f>
        <v>0</v>
      </c>
      <c r="S894" s="13">
        <f>L894*P894</f>
        <v>9000</v>
      </c>
      <c r="T894" s="13"/>
      <c r="U894" s="13">
        <f>L894*T894</f>
        <v>0</v>
      </c>
      <c r="V894" s="13">
        <f>S894-U894</f>
        <v>9000</v>
      </c>
      <c r="W894" s="15">
        <f>IF(S894&gt;0, V894/S894, 0)</f>
        <v>1</v>
      </c>
      <c r="X894" s="6" t="s">
        <v>39</v>
      </c>
      <c r="Y894" s="8" t="s">
        <v>40</v>
      </c>
      <c r="Z894" s="8" t="s">
        <v>41</v>
      </c>
      <c r="AA894" s="8" t="s">
        <v>42</v>
      </c>
      <c r="AB894" s="6" t="s">
        <v>42</v>
      </c>
    </row>
    <row r="895" spans="1:28">
      <c r="A895" s="9">
        <v>888</v>
      </c>
      <c r="B895" s="9" t="s">
        <v>1191</v>
      </c>
      <c r="C895" s="9" t="s">
        <v>1080</v>
      </c>
      <c r="D895" s="9" t="s">
        <v>652</v>
      </c>
      <c r="E895" s="9" t="s">
        <v>33</v>
      </c>
      <c r="F895" s="7" t="s">
        <v>50</v>
      </c>
      <c r="G895" s="7" t="s">
        <v>51</v>
      </c>
      <c r="H895" s="7" t="s">
        <v>51</v>
      </c>
      <c r="I895" s="9">
        <v>122</v>
      </c>
      <c r="J895" s="9" t="s">
        <v>82</v>
      </c>
      <c r="K895" s="9" t="s">
        <v>53</v>
      </c>
      <c r="L895" s="11">
        <v>1</v>
      </c>
      <c r="M895" s="14">
        <v>8000.0</v>
      </c>
      <c r="N895" s="14"/>
      <c r="O895" s="16">
        <f>IF(M895&gt;0, N895/M895, 0)</f>
        <v>0</v>
      </c>
      <c r="P895" s="14">
        <f>M895-N895</f>
        <v>8000</v>
      </c>
      <c r="Q895" s="14">
        <f>L895*M895</f>
        <v>8000</v>
      </c>
      <c r="R895" s="14">
        <f>L895*N895</f>
        <v>0</v>
      </c>
      <c r="S895" s="14">
        <f>L895*P895</f>
        <v>8000</v>
      </c>
      <c r="T895" s="14"/>
      <c r="U895" s="14">
        <f>L895*T895</f>
        <v>0</v>
      </c>
      <c r="V895" s="14">
        <f>S895-U895</f>
        <v>8000</v>
      </c>
      <c r="W895" s="16">
        <f>IF(S895&gt;0, V895/S895, 0)</f>
        <v>1</v>
      </c>
      <c r="X895" s="7" t="s">
        <v>39</v>
      </c>
      <c r="Y895" s="9" t="s">
        <v>40</v>
      </c>
      <c r="Z895" s="9" t="s">
        <v>41</v>
      </c>
      <c r="AA895" s="9" t="s">
        <v>42</v>
      </c>
      <c r="AB895" s="7" t="s">
        <v>42</v>
      </c>
    </row>
    <row r="896" spans="1:28">
      <c r="A896" s="8">
        <v>889</v>
      </c>
      <c r="B896" s="8" t="s">
        <v>1192</v>
      </c>
      <c r="C896" s="8" t="s">
        <v>1080</v>
      </c>
      <c r="D896" s="8" t="s">
        <v>652</v>
      </c>
      <c r="E896" s="8" t="s">
        <v>33</v>
      </c>
      <c r="F896" s="6" t="s">
        <v>50</v>
      </c>
      <c r="G896" s="6" t="s">
        <v>35</v>
      </c>
      <c r="H896" s="6" t="s">
        <v>36</v>
      </c>
      <c r="I896" s="8">
        <v>128</v>
      </c>
      <c r="J896" s="8" t="s">
        <v>156</v>
      </c>
      <c r="K896" s="8" t="s">
        <v>53</v>
      </c>
      <c r="L896" s="10">
        <v>1</v>
      </c>
      <c r="M896" s="13">
        <v>7000.0</v>
      </c>
      <c r="N896" s="13"/>
      <c r="O896" s="15">
        <f>IF(M896&gt;0, N896/M896, 0)</f>
        <v>0</v>
      </c>
      <c r="P896" s="13">
        <f>M896-N896</f>
        <v>7000</v>
      </c>
      <c r="Q896" s="13">
        <f>L896*M896</f>
        <v>7000</v>
      </c>
      <c r="R896" s="13">
        <f>L896*N896</f>
        <v>0</v>
      </c>
      <c r="S896" s="13">
        <f>L896*P896</f>
        <v>7000</v>
      </c>
      <c r="T896" s="13"/>
      <c r="U896" s="13">
        <f>L896*T896</f>
        <v>0</v>
      </c>
      <c r="V896" s="13">
        <f>S896-U896</f>
        <v>7000</v>
      </c>
      <c r="W896" s="15">
        <f>IF(S896&gt;0, V896/S896, 0)</f>
        <v>1</v>
      </c>
      <c r="X896" s="6" t="s">
        <v>39</v>
      </c>
      <c r="Y896" s="8" t="s">
        <v>40</v>
      </c>
      <c r="Z896" s="8" t="s">
        <v>41</v>
      </c>
      <c r="AA896" s="8" t="s">
        <v>42</v>
      </c>
      <c r="AB896" s="6" t="s">
        <v>42</v>
      </c>
    </row>
    <row r="897" spans="1:28">
      <c r="A897" s="9">
        <v>890</v>
      </c>
      <c r="B897" s="9" t="s">
        <v>1193</v>
      </c>
      <c r="C897" s="9" t="s">
        <v>1080</v>
      </c>
      <c r="D897" s="9" t="s">
        <v>652</v>
      </c>
      <c r="E897" s="9" t="s">
        <v>33</v>
      </c>
      <c r="F897" s="7" t="s">
        <v>34</v>
      </c>
      <c r="G897" s="7" t="s">
        <v>35</v>
      </c>
      <c r="H897" s="7" t="s">
        <v>73</v>
      </c>
      <c r="I897" s="9">
        <v>170</v>
      </c>
      <c r="J897" s="9" t="s">
        <v>648</v>
      </c>
      <c r="K897" s="9" t="s">
        <v>38</v>
      </c>
      <c r="L897" s="11">
        <v>1</v>
      </c>
      <c r="M897" s="14">
        <v>9000.0</v>
      </c>
      <c r="N897" s="14"/>
      <c r="O897" s="16">
        <f>IF(M897&gt;0, N897/M897, 0)</f>
        <v>0</v>
      </c>
      <c r="P897" s="14">
        <f>M897-N897</f>
        <v>9000</v>
      </c>
      <c r="Q897" s="14">
        <f>L897*M897</f>
        <v>9000</v>
      </c>
      <c r="R897" s="14">
        <f>L897*N897</f>
        <v>0</v>
      </c>
      <c r="S897" s="14">
        <f>L897*P897</f>
        <v>9000</v>
      </c>
      <c r="T897" s="14"/>
      <c r="U897" s="14">
        <f>L897*T897</f>
        <v>0</v>
      </c>
      <c r="V897" s="14">
        <f>S897-U897</f>
        <v>9000</v>
      </c>
      <c r="W897" s="16">
        <f>IF(S897&gt;0, V897/S897, 0)</f>
        <v>1</v>
      </c>
      <c r="X897" s="7" t="s">
        <v>39</v>
      </c>
      <c r="Y897" s="9" t="s">
        <v>40</v>
      </c>
      <c r="Z897" s="9" t="s">
        <v>41</v>
      </c>
      <c r="AA897" s="9" t="s">
        <v>42</v>
      </c>
      <c r="AB897" s="7" t="s">
        <v>42</v>
      </c>
    </row>
    <row r="898" spans="1:28">
      <c r="A898" s="8">
        <v>891</v>
      </c>
      <c r="B898" s="8" t="s">
        <v>1194</v>
      </c>
      <c r="C898" s="8" t="s">
        <v>1080</v>
      </c>
      <c r="D898" s="8" t="s">
        <v>652</v>
      </c>
      <c r="E898" s="8" t="s">
        <v>33</v>
      </c>
      <c r="F898" s="6" t="s">
        <v>34</v>
      </c>
      <c r="G898" s="6" t="s">
        <v>35</v>
      </c>
      <c r="H898" s="6" t="s">
        <v>36</v>
      </c>
      <c r="I898" s="8">
        <v>170</v>
      </c>
      <c r="J898" s="8" t="s">
        <v>142</v>
      </c>
      <c r="K898" s="8" t="s">
        <v>38</v>
      </c>
      <c r="L898" s="10">
        <v>1</v>
      </c>
      <c r="M898" s="13">
        <v>8000.0</v>
      </c>
      <c r="N898" s="13"/>
      <c r="O898" s="15">
        <f>IF(M898&gt;0, N898/M898, 0)</f>
        <v>0</v>
      </c>
      <c r="P898" s="13">
        <f>M898-N898</f>
        <v>8000</v>
      </c>
      <c r="Q898" s="13">
        <f>L898*M898</f>
        <v>8000</v>
      </c>
      <c r="R898" s="13">
        <f>L898*N898</f>
        <v>0</v>
      </c>
      <c r="S898" s="13">
        <f>L898*P898</f>
        <v>8000</v>
      </c>
      <c r="T898" s="13"/>
      <c r="U898" s="13">
        <f>L898*T898</f>
        <v>0</v>
      </c>
      <c r="V898" s="13">
        <f>S898-U898</f>
        <v>8000</v>
      </c>
      <c r="W898" s="15">
        <f>IF(S898&gt;0, V898/S898, 0)</f>
        <v>1</v>
      </c>
      <c r="X898" s="6" t="s">
        <v>39</v>
      </c>
      <c r="Y898" s="8" t="s">
        <v>40</v>
      </c>
      <c r="Z898" s="8" t="s">
        <v>41</v>
      </c>
      <c r="AA898" s="8" t="s">
        <v>42</v>
      </c>
      <c r="AB898" s="6" t="s">
        <v>42</v>
      </c>
    </row>
    <row r="899" spans="1:28">
      <c r="A899" s="9">
        <v>892</v>
      </c>
      <c r="B899" s="9" t="s">
        <v>1195</v>
      </c>
      <c r="C899" s="9" t="s">
        <v>1080</v>
      </c>
      <c r="D899" s="9" t="s">
        <v>652</v>
      </c>
      <c r="E899" s="9" t="s">
        <v>33</v>
      </c>
      <c r="F899" s="7" t="s">
        <v>50</v>
      </c>
      <c r="G899" s="7" t="s">
        <v>35</v>
      </c>
      <c r="H899" s="7" t="s">
        <v>36</v>
      </c>
      <c r="I899" s="9">
        <v>152</v>
      </c>
      <c r="J899" s="9" t="s">
        <v>151</v>
      </c>
      <c r="K899" s="9" t="s">
        <v>53</v>
      </c>
      <c r="L899" s="11">
        <v>1</v>
      </c>
      <c r="M899" s="14">
        <v>7000.0</v>
      </c>
      <c r="N899" s="14"/>
      <c r="O899" s="16">
        <f>IF(M899&gt;0, N899/M899, 0)</f>
        <v>0</v>
      </c>
      <c r="P899" s="14">
        <f>M899-N899</f>
        <v>7000</v>
      </c>
      <c r="Q899" s="14">
        <f>L899*M899</f>
        <v>7000</v>
      </c>
      <c r="R899" s="14">
        <f>L899*N899</f>
        <v>0</v>
      </c>
      <c r="S899" s="14">
        <f>L899*P899</f>
        <v>7000</v>
      </c>
      <c r="T899" s="14"/>
      <c r="U899" s="14">
        <f>L899*T899</f>
        <v>0</v>
      </c>
      <c r="V899" s="14">
        <f>S899-U899</f>
        <v>7000</v>
      </c>
      <c r="W899" s="16">
        <f>IF(S899&gt;0, V899/S899, 0)</f>
        <v>1</v>
      </c>
      <c r="X899" s="7" t="s">
        <v>39</v>
      </c>
      <c r="Y899" s="9" t="s">
        <v>40</v>
      </c>
      <c r="Z899" s="9" t="s">
        <v>41</v>
      </c>
      <c r="AA899" s="9" t="s">
        <v>42</v>
      </c>
      <c r="AB899" s="7" t="s">
        <v>42</v>
      </c>
    </row>
    <row r="900" spans="1:28">
      <c r="A900" s="8">
        <v>893</v>
      </c>
      <c r="B900" s="8" t="s">
        <v>1196</v>
      </c>
      <c r="C900" s="8" t="s">
        <v>1080</v>
      </c>
      <c r="D900" s="8" t="s">
        <v>652</v>
      </c>
      <c r="E900" s="8" t="s">
        <v>33</v>
      </c>
      <c r="F900" s="6" t="s">
        <v>34</v>
      </c>
      <c r="G900" s="6" t="s">
        <v>51</v>
      </c>
      <c r="H900" s="6" t="s">
        <v>51</v>
      </c>
      <c r="I900" s="8">
        <v>164</v>
      </c>
      <c r="J900" s="8" t="s">
        <v>61</v>
      </c>
      <c r="K900" s="8" t="s">
        <v>38</v>
      </c>
      <c r="L900" s="10">
        <v>1</v>
      </c>
      <c r="M900" s="13">
        <v>8500.0</v>
      </c>
      <c r="N900" s="13"/>
      <c r="O900" s="15">
        <f>IF(M900&gt;0, N900/M900, 0)</f>
        <v>0</v>
      </c>
      <c r="P900" s="13">
        <f>M900-N900</f>
        <v>8500</v>
      </c>
      <c r="Q900" s="13">
        <f>L900*M900</f>
        <v>8500</v>
      </c>
      <c r="R900" s="13">
        <f>L900*N900</f>
        <v>0</v>
      </c>
      <c r="S900" s="13">
        <f>L900*P900</f>
        <v>8500</v>
      </c>
      <c r="T900" s="13"/>
      <c r="U900" s="13">
        <f>L900*T900</f>
        <v>0</v>
      </c>
      <c r="V900" s="13">
        <f>S900-U900</f>
        <v>8500</v>
      </c>
      <c r="W900" s="15">
        <f>IF(S900&gt;0, V900/S900, 0)</f>
        <v>1</v>
      </c>
      <c r="X900" s="6" t="s">
        <v>39</v>
      </c>
      <c r="Y900" s="8" t="s">
        <v>40</v>
      </c>
      <c r="Z900" s="8" t="s">
        <v>41</v>
      </c>
      <c r="AA900" s="8" t="s">
        <v>42</v>
      </c>
      <c r="AB900" s="6" t="s">
        <v>42</v>
      </c>
    </row>
    <row r="901" spans="1:28">
      <c r="A901" s="9">
        <v>894</v>
      </c>
      <c r="B901" s="9" t="s">
        <v>1197</v>
      </c>
      <c r="C901" s="9" t="s">
        <v>1080</v>
      </c>
      <c r="D901" s="9" t="s">
        <v>652</v>
      </c>
      <c r="E901" s="9" t="s">
        <v>33</v>
      </c>
      <c r="F901" s="7" t="s">
        <v>50</v>
      </c>
      <c r="G901" s="7" t="s">
        <v>35</v>
      </c>
      <c r="H901" s="7" t="s">
        <v>36</v>
      </c>
      <c r="I901" s="9">
        <v>164</v>
      </c>
      <c r="J901" s="9" t="s">
        <v>407</v>
      </c>
      <c r="K901" s="9" t="s">
        <v>53</v>
      </c>
      <c r="L901" s="11">
        <v>1</v>
      </c>
      <c r="M901" s="14">
        <v>8000.0</v>
      </c>
      <c r="N901" s="14"/>
      <c r="O901" s="16">
        <f>IF(M901&gt;0, N901/M901, 0)</f>
        <v>0</v>
      </c>
      <c r="P901" s="14">
        <f>M901-N901</f>
        <v>8000</v>
      </c>
      <c r="Q901" s="14">
        <f>L901*M901</f>
        <v>8000</v>
      </c>
      <c r="R901" s="14">
        <f>L901*N901</f>
        <v>0</v>
      </c>
      <c r="S901" s="14">
        <f>L901*P901</f>
        <v>8000</v>
      </c>
      <c r="T901" s="14"/>
      <c r="U901" s="14">
        <f>L901*T901</f>
        <v>0</v>
      </c>
      <c r="V901" s="14">
        <f>S901-U901</f>
        <v>8000</v>
      </c>
      <c r="W901" s="16">
        <f>IF(S901&gt;0, V901/S901, 0)</f>
        <v>1</v>
      </c>
      <c r="X901" s="7" t="s">
        <v>39</v>
      </c>
      <c r="Y901" s="9" t="s">
        <v>40</v>
      </c>
      <c r="Z901" s="9" t="s">
        <v>41</v>
      </c>
      <c r="AA901" s="9" t="s">
        <v>42</v>
      </c>
      <c r="AB901" s="7" t="s">
        <v>42</v>
      </c>
    </row>
    <row r="902" spans="1:28">
      <c r="A902" s="8">
        <v>895</v>
      </c>
      <c r="B902" s="8" t="s">
        <v>1198</v>
      </c>
      <c r="C902" s="8" t="s">
        <v>1080</v>
      </c>
      <c r="D902" s="8" t="s">
        <v>652</v>
      </c>
      <c r="E902" s="8" t="s">
        <v>33</v>
      </c>
      <c r="F902" s="6" t="s">
        <v>50</v>
      </c>
      <c r="G902" s="6" t="s">
        <v>35</v>
      </c>
      <c r="H902" s="6" t="s">
        <v>36</v>
      </c>
      <c r="I902" s="8">
        <v>140</v>
      </c>
      <c r="J902" s="8" t="s">
        <v>223</v>
      </c>
      <c r="K902" s="8" t="s">
        <v>53</v>
      </c>
      <c r="L902" s="10">
        <v>1</v>
      </c>
      <c r="M902" s="13">
        <v>7000.0</v>
      </c>
      <c r="N902" s="13"/>
      <c r="O902" s="15">
        <f>IF(M902&gt;0, N902/M902, 0)</f>
        <v>0</v>
      </c>
      <c r="P902" s="13">
        <f>M902-N902</f>
        <v>7000</v>
      </c>
      <c r="Q902" s="13">
        <f>L902*M902</f>
        <v>7000</v>
      </c>
      <c r="R902" s="13">
        <f>L902*N902</f>
        <v>0</v>
      </c>
      <c r="S902" s="13">
        <f>L902*P902</f>
        <v>7000</v>
      </c>
      <c r="T902" s="13"/>
      <c r="U902" s="13">
        <f>L902*T902</f>
        <v>0</v>
      </c>
      <c r="V902" s="13">
        <f>S902-U902</f>
        <v>7000</v>
      </c>
      <c r="W902" s="15">
        <f>IF(S902&gt;0, V902/S902, 0)</f>
        <v>1</v>
      </c>
      <c r="X902" s="6" t="s">
        <v>39</v>
      </c>
      <c r="Y902" s="8" t="s">
        <v>40</v>
      </c>
      <c r="Z902" s="8" t="s">
        <v>41</v>
      </c>
      <c r="AA902" s="8" t="s">
        <v>42</v>
      </c>
      <c r="AB902" s="6" t="s">
        <v>42</v>
      </c>
    </row>
    <row r="903" spans="1:28">
      <c r="A903" s="9">
        <v>896</v>
      </c>
      <c r="B903" s="9" t="s">
        <v>1199</v>
      </c>
      <c r="C903" s="9" t="s">
        <v>1080</v>
      </c>
      <c r="D903" s="9" t="s">
        <v>652</v>
      </c>
      <c r="E903" s="9" t="s">
        <v>33</v>
      </c>
      <c r="F903" s="7" t="s">
        <v>50</v>
      </c>
      <c r="G903" s="7" t="s">
        <v>69</v>
      </c>
      <c r="H903" s="7" t="s">
        <v>69</v>
      </c>
      <c r="I903" s="9">
        <v>128</v>
      </c>
      <c r="J903" s="9" t="s">
        <v>110</v>
      </c>
      <c r="K903" s="9" t="s">
        <v>38</v>
      </c>
      <c r="L903" s="11">
        <v>1</v>
      </c>
      <c r="M903" s="14">
        <v>16000.0</v>
      </c>
      <c r="N903" s="14"/>
      <c r="O903" s="16">
        <f>IF(M903&gt;0, N903/M903, 0)</f>
        <v>0</v>
      </c>
      <c r="P903" s="14">
        <f>M903-N903</f>
        <v>16000</v>
      </c>
      <c r="Q903" s="14">
        <f>L903*M903</f>
        <v>16000</v>
      </c>
      <c r="R903" s="14">
        <f>L903*N903</f>
        <v>0</v>
      </c>
      <c r="S903" s="14">
        <f>L903*P903</f>
        <v>16000</v>
      </c>
      <c r="T903" s="14"/>
      <c r="U903" s="14">
        <f>L903*T903</f>
        <v>0</v>
      </c>
      <c r="V903" s="14">
        <f>S903-U903</f>
        <v>16000</v>
      </c>
      <c r="W903" s="16">
        <f>IF(S903&gt;0, V903/S903, 0)</f>
        <v>1</v>
      </c>
      <c r="X903" s="7" t="s">
        <v>39</v>
      </c>
      <c r="Y903" s="9" t="s">
        <v>40</v>
      </c>
      <c r="Z903" s="9" t="s">
        <v>41</v>
      </c>
      <c r="AA903" s="9" t="s">
        <v>42</v>
      </c>
      <c r="AB903" s="7" t="s">
        <v>42</v>
      </c>
    </row>
    <row r="904" spans="1:28">
      <c r="A904" s="8">
        <v>897</v>
      </c>
      <c r="B904" s="8" t="s">
        <v>1200</v>
      </c>
      <c r="C904" s="8" t="s">
        <v>1080</v>
      </c>
      <c r="D904" s="8" t="s">
        <v>652</v>
      </c>
      <c r="E904" s="8" t="s">
        <v>33</v>
      </c>
      <c r="F904" s="6" t="s">
        <v>50</v>
      </c>
      <c r="G904" s="6" t="s">
        <v>45</v>
      </c>
      <c r="H904" s="6" t="s">
        <v>46</v>
      </c>
      <c r="I904" s="8">
        <v>128</v>
      </c>
      <c r="J904" s="8" t="s">
        <v>183</v>
      </c>
      <c r="K904" s="8" t="s">
        <v>38</v>
      </c>
      <c r="L904" s="10">
        <v>1</v>
      </c>
      <c r="M904" s="13">
        <v>18000.0</v>
      </c>
      <c r="N904" s="13"/>
      <c r="O904" s="15">
        <f>IF(M904&gt;0, N904/M904, 0)</f>
        <v>0</v>
      </c>
      <c r="P904" s="13">
        <f>M904-N904</f>
        <v>18000</v>
      </c>
      <c r="Q904" s="13">
        <f>L904*M904</f>
        <v>18000</v>
      </c>
      <c r="R904" s="13">
        <f>L904*N904</f>
        <v>0</v>
      </c>
      <c r="S904" s="13">
        <f>L904*P904</f>
        <v>18000</v>
      </c>
      <c r="T904" s="13"/>
      <c r="U904" s="13">
        <f>L904*T904</f>
        <v>0</v>
      </c>
      <c r="V904" s="13">
        <f>S904-U904</f>
        <v>18000</v>
      </c>
      <c r="W904" s="15">
        <f>IF(S904&gt;0, V904/S904, 0)</f>
        <v>1</v>
      </c>
      <c r="X904" s="6" t="s">
        <v>39</v>
      </c>
      <c r="Y904" s="8" t="s">
        <v>40</v>
      </c>
      <c r="Z904" s="8" t="s">
        <v>41</v>
      </c>
      <c r="AA904" s="8" t="s">
        <v>42</v>
      </c>
      <c r="AB904" s="6" t="s">
        <v>42</v>
      </c>
    </row>
    <row r="905" spans="1:28">
      <c r="A905" s="9">
        <v>898</v>
      </c>
      <c r="B905" s="9" t="s">
        <v>1201</v>
      </c>
      <c r="C905" s="9" t="s">
        <v>1080</v>
      </c>
      <c r="D905" s="9" t="s">
        <v>652</v>
      </c>
      <c r="E905" s="9" t="s">
        <v>33</v>
      </c>
      <c r="F905" s="7" t="s">
        <v>50</v>
      </c>
      <c r="G905" s="7" t="s">
        <v>63</v>
      </c>
      <c r="H905" s="7" t="s">
        <v>148</v>
      </c>
      <c r="I905" s="9">
        <v>122</v>
      </c>
      <c r="J905" s="9" t="s">
        <v>241</v>
      </c>
      <c r="K905" s="9" t="s">
        <v>38</v>
      </c>
      <c r="L905" s="11">
        <v>1</v>
      </c>
      <c r="M905" s="14">
        <v>9000.0</v>
      </c>
      <c r="N905" s="14"/>
      <c r="O905" s="16">
        <f>IF(M905&gt;0, N905/M905, 0)</f>
        <v>0</v>
      </c>
      <c r="P905" s="14">
        <f>M905-N905</f>
        <v>9000</v>
      </c>
      <c r="Q905" s="14">
        <f>L905*M905</f>
        <v>9000</v>
      </c>
      <c r="R905" s="14">
        <f>L905*N905</f>
        <v>0</v>
      </c>
      <c r="S905" s="14">
        <f>L905*P905</f>
        <v>9000</v>
      </c>
      <c r="T905" s="14"/>
      <c r="U905" s="14">
        <f>L905*T905</f>
        <v>0</v>
      </c>
      <c r="V905" s="14">
        <f>S905-U905</f>
        <v>9000</v>
      </c>
      <c r="W905" s="16">
        <f>IF(S905&gt;0, V905/S905, 0)</f>
        <v>1</v>
      </c>
      <c r="X905" s="7" t="s">
        <v>39</v>
      </c>
      <c r="Y905" s="9" t="s">
        <v>40</v>
      </c>
      <c r="Z905" s="9" t="s">
        <v>41</v>
      </c>
      <c r="AA905" s="9" t="s">
        <v>42</v>
      </c>
      <c r="AB905" s="7" t="s">
        <v>42</v>
      </c>
    </row>
    <row r="906" spans="1:28">
      <c r="A906" s="8">
        <v>899</v>
      </c>
      <c r="B906" s="8" t="s">
        <v>1202</v>
      </c>
      <c r="C906" s="8" t="s">
        <v>1080</v>
      </c>
      <c r="D906" s="8" t="s">
        <v>652</v>
      </c>
      <c r="E906" s="8" t="s">
        <v>33</v>
      </c>
      <c r="F906" s="6" t="s">
        <v>50</v>
      </c>
      <c r="G906" s="6" t="s">
        <v>51</v>
      </c>
      <c r="H906" s="6" t="s">
        <v>51</v>
      </c>
      <c r="I906" s="8">
        <v>122</v>
      </c>
      <c r="J906" s="8" t="s">
        <v>82</v>
      </c>
      <c r="K906" s="8" t="s">
        <v>53</v>
      </c>
      <c r="L906" s="10">
        <v>1</v>
      </c>
      <c r="M906" s="13">
        <v>8000.0</v>
      </c>
      <c r="N906" s="13"/>
      <c r="O906" s="15">
        <f>IF(M906&gt;0, N906/M906, 0)</f>
        <v>0</v>
      </c>
      <c r="P906" s="13">
        <f>M906-N906</f>
        <v>8000</v>
      </c>
      <c r="Q906" s="13">
        <f>L906*M906</f>
        <v>8000</v>
      </c>
      <c r="R906" s="13">
        <f>L906*N906</f>
        <v>0</v>
      </c>
      <c r="S906" s="13">
        <f>L906*P906</f>
        <v>8000</v>
      </c>
      <c r="T906" s="13"/>
      <c r="U906" s="13">
        <f>L906*T906</f>
        <v>0</v>
      </c>
      <c r="V906" s="13">
        <f>S906-U906</f>
        <v>8000</v>
      </c>
      <c r="W906" s="15">
        <f>IF(S906&gt;0, V906/S906, 0)</f>
        <v>1</v>
      </c>
      <c r="X906" s="6" t="s">
        <v>39</v>
      </c>
      <c r="Y906" s="8" t="s">
        <v>40</v>
      </c>
      <c r="Z906" s="8" t="s">
        <v>41</v>
      </c>
      <c r="AA906" s="8" t="s">
        <v>42</v>
      </c>
      <c r="AB906" s="6" t="s">
        <v>42</v>
      </c>
    </row>
    <row r="907" spans="1:28">
      <c r="A907" s="9">
        <v>900</v>
      </c>
      <c r="B907" s="9" t="s">
        <v>1203</v>
      </c>
      <c r="C907" s="9" t="s">
        <v>1080</v>
      </c>
      <c r="D907" s="9" t="s">
        <v>652</v>
      </c>
      <c r="E907" s="9" t="s">
        <v>33</v>
      </c>
      <c r="F907" s="7" t="s">
        <v>50</v>
      </c>
      <c r="G907" s="7" t="s">
        <v>35</v>
      </c>
      <c r="H907" s="7" t="s">
        <v>36</v>
      </c>
      <c r="I907" s="9">
        <v>128</v>
      </c>
      <c r="J907" s="9" t="s">
        <v>156</v>
      </c>
      <c r="K907" s="9" t="s">
        <v>53</v>
      </c>
      <c r="L907" s="11">
        <v>2</v>
      </c>
      <c r="M907" s="14">
        <v>7000.0</v>
      </c>
      <c r="N907" s="14"/>
      <c r="O907" s="16">
        <f>IF(M907&gt;0, N907/M907, 0)</f>
        <v>0</v>
      </c>
      <c r="P907" s="14">
        <f>M907-N907</f>
        <v>7000</v>
      </c>
      <c r="Q907" s="14">
        <f>L907*M907</f>
        <v>14000</v>
      </c>
      <c r="R907" s="14">
        <f>L907*N907</f>
        <v>0</v>
      </c>
      <c r="S907" s="14">
        <f>L907*P907</f>
        <v>14000</v>
      </c>
      <c r="T907" s="14"/>
      <c r="U907" s="14">
        <f>L907*T907</f>
        <v>0</v>
      </c>
      <c r="V907" s="14">
        <f>S907-U907</f>
        <v>14000</v>
      </c>
      <c r="W907" s="16">
        <f>IF(S907&gt;0, V907/S907, 0)</f>
        <v>1</v>
      </c>
      <c r="X907" s="7" t="s">
        <v>39</v>
      </c>
      <c r="Y907" s="9" t="s">
        <v>40</v>
      </c>
      <c r="Z907" s="9" t="s">
        <v>41</v>
      </c>
      <c r="AA907" s="9" t="s">
        <v>42</v>
      </c>
      <c r="AB907" s="7" t="s">
        <v>42</v>
      </c>
    </row>
    <row r="908" spans="1:28">
      <c r="A908" s="8">
        <v>901</v>
      </c>
      <c r="B908" s="8" t="s">
        <v>1204</v>
      </c>
      <c r="C908" s="8" t="s">
        <v>1080</v>
      </c>
      <c r="D908" s="8" t="s">
        <v>652</v>
      </c>
      <c r="E908" s="8" t="s">
        <v>33</v>
      </c>
      <c r="F908" s="6" t="s">
        <v>34</v>
      </c>
      <c r="G908" s="6" t="s">
        <v>69</v>
      </c>
      <c r="H908" s="6" t="s">
        <v>69</v>
      </c>
      <c r="I908" s="8">
        <v>176</v>
      </c>
      <c r="J908" s="8" t="s">
        <v>203</v>
      </c>
      <c r="K908" s="8" t="s">
        <v>38</v>
      </c>
      <c r="L908" s="10">
        <v>1</v>
      </c>
      <c r="M908" s="13">
        <v>16500.0</v>
      </c>
      <c r="N908" s="13"/>
      <c r="O908" s="15">
        <f>IF(M908&gt;0, N908/M908, 0)</f>
        <v>0</v>
      </c>
      <c r="P908" s="13">
        <f>M908-N908</f>
        <v>16500</v>
      </c>
      <c r="Q908" s="13">
        <f>L908*M908</f>
        <v>16500</v>
      </c>
      <c r="R908" s="13">
        <f>L908*N908</f>
        <v>0</v>
      </c>
      <c r="S908" s="13">
        <f>L908*P908</f>
        <v>16500</v>
      </c>
      <c r="T908" s="13"/>
      <c r="U908" s="13">
        <f>L908*T908</f>
        <v>0</v>
      </c>
      <c r="V908" s="13">
        <f>S908-U908</f>
        <v>16500</v>
      </c>
      <c r="W908" s="15">
        <f>IF(S908&gt;0, V908/S908, 0)</f>
        <v>1</v>
      </c>
      <c r="X908" s="6" t="s">
        <v>39</v>
      </c>
      <c r="Y908" s="8" t="s">
        <v>40</v>
      </c>
      <c r="Z908" s="8" t="s">
        <v>41</v>
      </c>
      <c r="AA908" s="8" t="s">
        <v>42</v>
      </c>
      <c r="AB908" s="6" t="s">
        <v>42</v>
      </c>
    </row>
    <row r="909" spans="1:28">
      <c r="A909" s="9">
        <v>902</v>
      </c>
      <c r="B909" s="9" t="s">
        <v>1205</v>
      </c>
      <c r="C909" s="9" t="s">
        <v>1080</v>
      </c>
      <c r="D909" s="9" t="s">
        <v>652</v>
      </c>
      <c r="E909" s="9" t="s">
        <v>33</v>
      </c>
      <c r="F909" s="7" t="s">
        <v>34</v>
      </c>
      <c r="G909" s="7" t="s">
        <v>51</v>
      </c>
      <c r="H909" s="7" t="s">
        <v>51</v>
      </c>
      <c r="I909" s="9">
        <v>176</v>
      </c>
      <c r="J909" s="9" t="s">
        <v>418</v>
      </c>
      <c r="K909" s="9" t="s">
        <v>38</v>
      </c>
      <c r="L909" s="11">
        <v>1</v>
      </c>
      <c r="M909" s="14">
        <v>8000.0</v>
      </c>
      <c r="N909" s="14"/>
      <c r="O909" s="16">
        <f>IF(M909&gt;0, N909/M909, 0)</f>
        <v>0</v>
      </c>
      <c r="P909" s="14">
        <f>M909-N909</f>
        <v>8000</v>
      </c>
      <c r="Q909" s="14">
        <f>L909*M909</f>
        <v>8000</v>
      </c>
      <c r="R909" s="14">
        <f>L909*N909</f>
        <v>0</v>
      </c>
      <c r="S909" s="14">
        <f>L909*P909</f>
        <v>8000</v>
      </c>
      <c r="T909" s="14"/>
      <c r="U909" s="14">
        <f>L909*T909</f>
        <v>0</v>
      </c>
      <c r="V909" s="14">
        <f>S909-U909</f>
        <v>8000</v>
      </c>
      <c r="W909" s="16">
        <f>IF(S909&gt;0, V909/S909, 0)</f>
        <v>1</v>
      </c>
      <c r="X909" s="7" t="s">
        <v>39</v>
      </c>
      <c r="Y909" s="9" t="s">
        <v>40</v>
      </c>
      <c r="Z909" s="9" t="s">
        <v>41</v>
      </c>
      <c r="AA909" s="9" t="s">
        <v>42</v>
      </c>
      <c r="AB909" s="7" t="s">
        <v>42</v>
      </c>
    </row>
    <row r="910" spans="1:28">
      <c r="A910" s="8">
        <v>903</v>
      </c>
      <c r="B910" s="8" t="s">
        <v>1206</v>
      </c>
      <c r="C910" s="8" t="s">
        <v>1080</v>
      </c>
      <c r="D910" s="8" t="s">
        <v>652</v>
      </c>
      <c r="E910" s="8" t="s">
        <v>33</v>
      </c>
      <c r="F910" s="6" t="s">
        <v>34</v>
      </c>
      <c r="G910" s="6" t="s">
        <v>45</v>
      </c>
      <c r="H910" s="6" t="s">
        <v>46</v>
      </c>
      <c r="I910" s="8">
        <v>176</v>
      </c>
      <c r="J910" s="8" t="s">
        <v>424</v>
      </c>
      <c r="K910" s="8" t="s">
        <v>38</v>
      </c>
      <c r="L910" s="10">
        <v>1</v>
      </c>
      <c r="M910" s="13">
        <v>18000.0</v>
      </c>
      <c r="N910" s="13"/>
      <c r="O910" s="15">
        <f>IF(M910&gt;0, N910/M910, 0)</f>
        <v>0</v>
      </c>
      <c r="P910" s="13">
        <f>M910-N910</f>
        <v>18000</v>
      </c>
      <c r="Q910" s="13">
        <f>L910*M910</f>
        <v>18000</v>
      </c>
      <c r="R910" s="13">
        <f>L910*N910</f>
        <v>0</v>
      </c>
      <c r="S910" s="13">
        <f>L910*P910</f>
        <v>18000</v>
      </c>
      <c r="T910" s="13"/>
      <c r="U910" s="13">
        <f>L910*T910</f>
        <v>0</v>
      </c>
      <c r="V910" s="13">
        <f>S910-U910</f>
        <v>18000</v>
      </c>
      <c r="W910" s="15">
        <f>IF(S910&gt;0, V910/S910, 0)</f>
        <v>1</v>
      </c>
      <c r="X910" s="6" t="s">
        <v>39</v>
      </c>
      <c r="Y910" s="8" t="s">
        <v>40</v>
      </c>
      <c r="Z910" s="8" t="s">
        <v>41</v>
      </c>
      <c r="AA910" s="8" t="s">
        <v>42</v>
      </c>
      <c r="AB910" s="6" t="s">
        <v>42</v>
      </c>
    </row>
    <row r="911" spans="1:28">
      <c r="A911" s="9">
        <v>904</v>
      </c>
      <c r="B911" s="9" t="s">
        <v>1207</v>
      </c>
      <c r="C911" s="9" t="s">
        <v>1080</v>
      </c>
      <c r="D911" s="9" t="s">
        <v>652</v>
      </c>
      <c r="E911" s="9" t="s">
        <v>33</v>
      </c>
      <c r="F911" s="7" t="s">
        <v>34</v>
      </c>
      <c r="G911" s="7" t="s">
        <v>63</v>
      </c>
      <c r="H911" s="7" t="s">
        <v>148</v>
      </c>
      <c r="I911" s="9">
        <v>170</v>
      </c>
      <c r="J911" s="9" t="s">
        <v>149</v>
      </c>
      <c r="K911" s="9" t="s">
        <v>38</v>
      </c>
      <c r="L911" s="11">
        <v>1</v>
      </c>
      <c r="M911" s="14">
        <v>9500.0</v>
      </c>
      <c r="N911" s="14"/>
      <c r="O911" s="16">
        <f>IF(M911&gt;0, N911/M911, 0)</f>
        <v>0</v>
      </c>
      <c r="P911" s="14">
        <f>M911-N911</f>
        <v>9500</v>
      </c>
      <c r="Q911" s="14">
        <f>L911*M911</f>
        <v>9500</v>
      </c>
      <c r="R911" s="14">
        <f>L911*N911</f>
        <v>0</v>
      </c>
      <c r="S911" s="14">
        <f>L911*P911</f>
        <v>9500</v>
      </c>
      <c r="T911" s="14"/>
      <c r="U911" s="14">
        <f>L911*T911</f>
        <v>0</v>
      </c>
      <c r="V911" s="14">
        <f>S911-U911</f>
        <v>9500</v>
      </c>
      <c r="W911" s="16">
        <f>IF(S911&gt;0, V911/S911, 0)</f>
        <v>1</v>
      </c>
      <c r="X911" s="7" t="s">
        <v>39</v>
      </c>
      <c r="Y911" s="9" t="s">
        <v>40</v>
      </c>
      <c r="Z911" s="9" t="s">
        <v>41</v>
      </c>
      <c r="AA911" s="9" t="s">
        <v>42</v>
      </c>
      <c r="AB911" s="7" t="s">
        <v>42</v>
      </c>
    </row>
    <row r="912" spans="1:28">
      <c r="A912" s="8">
        <v>905</v>
      </c>
      <c r="B912" s="8" t="s">
        <v>1208</v>
      </c>
      <c r="C912" s="8" t="s">
        <v>1080</v>
      </c>
      <c r="D912" s="8" t="s">
        <v>652</v>
      </c>
      <c r="E912" s="8" t="s">
        <v>33</v>
      </c>
      <c r="F912" s="6" t="s">
        <v>34</v>
      </c>
      <c r="G912" s="6" t="s">
        <v>35</v>
      </c>
      <c r="H912" s="6" t="s">
        <v>36</v>
      </c>
      <c r="I912" s="8">
        <v>176</v>
      </c>
      <c r="J912" s="8" t="s">
        <v>352</v>
      </c>
      <c r="K912" s="8" t="s">
        <v>38</v>
      </c>
      <c r="L912" s="10">
        <v>2</v>
      </c>
      <c r="M912" s="13">
        <v>8000.0</v>
      </c>
      <c r="N912" s="13"/>
      <c r="O912" s="15">
        <f>IF(M912&gt;0, N912/M912, 0)</f>
        <v>0</v>
      </c>
      <c r="P912" s="13">
        <f>M912-N912</f>
        <v>8000</v>
      </c>
      <c r="Q912" s="13">
        <f>L912*M912</f>
        <v>16000</v>
      </c>
      <c r="R912" s="13">
        <f>L912*N912</f>
        <v>0</v>
      </c>
      <c r="S912" s="13">
        <f>L912*P912</f>
        <v>16000</v>
      </c>
      <c r="T912" s="13"/>
      <c r="U912" s="13">
        <f>L912*T912</f>
        <v>0</v>
      </c>
      <c r="V912" s="13">
        <f>S912-U912</f>
        <v>16000</v>
      </c>
      <c r="W912" s="15">
        <f>IF(S912&gt;0, V912/S912, 0)</f>
        <v>1</v>
      </c>
      <c r="X912" s="6" t="s">
        <v>39</v>
      </c>
      <c r="Y912" s="8" t="s">
        <v>40</v>
      </c>
      <c r="Z912" s="8" t="s">
        <v>41</v>
      </c>
      <c r="AA912" s="8" t="s">
        <v>42</v>
      </c>
      <c r="AB912" s="6" t="s">
        <v>42</v>
      </c>
    </row>
    <row r="913" spans="1:28">
      <c r="A913" s="9">
        <v>906</v>
      </c>
      <c r="B913" s="9" t="s">
        <v>1209</v>
      </c>
      <c r="C913" s="9" t="s">
        <v>1080</v>
      </c>
      <c r="D913" s="9" t="s">
        <v>652</v>
      </c>
      <c r="E913" s="9" t="s">
        <v>68</v>
      </c>
      <c r="F913" s="7" t="s">
        <v>34</v>
      </c>
      <c r="G913" s="7" t="s">
        <v>56</v>
      </c>
      <c r="H913" s="7" t="s">
        <v>56</v>
      </c>
      <c r="I913" s="9">
        <v>146</v>
      </c>
      <c r="J913" s="9" t="s">
        <v>848</v>
      </c>
      <c r="K913" s="9" t="s">
        <v>38</v>
      </c>
      <c r="L913" s="11">
        <v>1</v>
      </c>
      <c r="M913" s="14">
        <v>9000.0</v>
      </c>
      <c r="N913" s="14"/>
      <c r="O913" s="16">
        <f>IF(M913&gt;0, N913/M913, 0)</f>
        <v>0</v>
      </c>
      <c r="P913" s="14">
        <f>M913-N913</f>
        <v>9000</v>
      </c>
      <c r="Q913" s="14">
        <f>L913*M913</f>
        <v>9000</v>
      </c>
      <c r="R913" s="14">
        <f>L913*N913</f>
        <v>0</v>
      </c>
      <c r="S913" s="14">
        <f>L913*P913</f>
        <v>9000</v>
      </c>
      <c r="T913" s="14"/>
      <c r="U913" s="14">
        <f>L913*T913</f>
        <v>0</v>
      </c>
      <c r="V913" s="14">
        <f>S913-U913</f>
        <v>9000</v>
      </c>
      <c r="W913" s="16">
        <f>IF(S913&gt;0, V913/S913, 0)</f>
        <v>1</v>
      </c>
      <c r="X913" s="7" t="s">
        <v>39</v>
      </c>
      <c r="Y913" s="9" t="s">
        <v>40</v>
      </c>
      <c r="Z913" s="9" t="s">
        <v>71</v>
      </c>
      <c r="AA913" s="9" t="s">
        <v>42</v>
      </c>
      <c r="AB913" s="7" t="s">
        <v>42</v>
      </c>
    </row>
    <row r="914" spans="1:28">
      <c r="A914" s="8">
        <v>907</v>
      </c>
      <c r="B914" s="8" t="s">
        <v>1210</v>
      </c>
      <c r="C914" s="8" t="s">
        <v>1080</v>
      </c>
      <c r="D914" s="8" t="s">
        <v>652</v>
      </c>
      <c r="E914" s="8" t="s">
        <v>33</v>
      </c>
      <c r="F914" s="6" t="s">
        <v>34</v>
      </c>
      <c r="G914" s="6" t="s">
        <v>45</v>
      </c>
      <c r="H914" s="6" t="s">
        <v>46</v>
      </c>
      <c r="I914" s="8">
        <v>158</v>
      </c>
      <c r="J914" s="8" t="s">
        <v>47</v>
      </c>
      <c r="K914" s="8" t="s">
        <v>38</v>
      </c>
      <c r="L914" s="10">
        <v>1</v>
      </c>
      <c r="M914" s="13">
        <v>18000.0</v>
      </c>
      <c r="N914" s="13"/>
      <c r="O914" s="15">
        <f>IF(M914&gt;0, N914/M914, 0)</f>
        <v>0</v>
      </c>
      <c r="P914" s="13">
        <f>M914-N914</f>
        <v>18000</v>
      </c>
      <c r="Q914" s="13">
        <f>L914*M914</f>
        <v>18000</v>
      </c>
      <c r="R914" s="13">
        <f>L914*N914</f>
        <v>0</v>
      </c>
      <c r="S914" s="13">
        <f>L914*P914</f>
        <v>18000</v>
      </c>
      <c r="T914" s="13"/>
      <c r="U914" s="13">
        <f>L914*T914</f>
        <v>0</v>
      </c>
      <c r="V914" s="13">
        <f>S914-U914</f>
        <v>18000</v>
      </c>
      <c r="W914" s="15">
        <f>IF(S914&gt;0, V914/S914, 0)</f>
        <v>1</v>
      </c>
      <c r="X914" s="6" t="s">
        <v>39</v>
      </c>
      <c r="Y914" s="8" t="s">
        <v>40</v>
      </c>
      <c r="Z914" s="8" t="s">
        <v>41</v>
      </c>
      <c r="AA914" s="8" t="s">
        <v>42</v>
      </c>
      <c r="AB914" s="6" t="s">
        <v>42</v>
      </c>
    </row>
    <row r="915" spans="1:28">
      <c r="A915" s="9">
        <v>908</v>
      </c>
      <c r="B915" s="9" t="s">
        <v>1211</v>
      </c>
      <c r="C915" s="9" t="s">
        <v>1080</v>
      </c>
      <c r="D915" s="9" t="s">
        <v>652</v>
      </c>
      <c r="E915" s="9" t="s">
        <v>33</v>
      </c>
      <c r="F915" s="7" t="s">
        <v>34</v>
      </c>
      <c r="G915" s="7" t="s">
        <v>51</v>
      </c>
      <c r="H915" s="7" t="s">
        <v>51</v>
      </c>
      <c r="I915" s="9">
        <v>158</v>
      </c>
      <c r="J915" s="9" t="s">
        <v>122</v>
      </c>
      <c r="K915" s="9" t="s">
        <v>38</v>
      </c>
      <c r="L915" s="11">
        <v>1</v>
      </c>
      <c r="M915" s="14">
        <v>8500.0</v>
      </c>
      <c r="N915" s="14"/>
      <c r="O915" s="16">
        <f>IF(M915&gt;0, N915/M915, 0)</f>
        <v>0</v>
      </c>
      <c r="P915" s="14">
        <f>M915-N915</f>
        <v>8500</v>
      </c>
      <c r="Q915" s="14">
        <f>L915*M915</f>
        <v>8500</v>
      </c>
      <c r="R915" s="14">
        <f>L915*N915</f>
        <v>0</v>
      </c>
      <c r="S915" s="14">
        <f>L915*P915</f>
        <v>8500</v>
      </c>
      <c r="T915" s="14"/>
      <c r="U915" s="14">
        <f>L915*T915</f>
        <v>0</v>
      </c>
      <c r="V915" s="14">
        <f>S915-U915</f>
        <v>8500</v>
      </c>
      <c r="W915" s="16">
        <f>IF(S915&gt;0, V915/S915, 0)</f>
        <v>1</v>
      </c>
      <c r="X915" s="7" t="s">
        <v>39</v>
      </c>
      <c r="Y915" s="9" t="s">
        <v>40</v>
      </c>
      <c r="Z915" s="9" t="s">
        <v>41</v>
      </c>
      <c r="AA915" s="9" t="s">
        <v>42</v>
      </c>
      <c r="AB915" s="7" t="s">
        <v>42</v>
      </c>
    </row>
    <row r="916" spans="1:28">
      <c r="A916" s="8">
        <v>909</v>
      </c>
      <c r="B916" s="8" t="s">
        <v>1212</v>
      </c>
      <c r="C916" s="8" t="s">
        <v>1080</v>
      </c>
      <c r="D916" s="8" t="s">
        <v>652</v>
      </c>
      <c r="E916" s="8" t="s">
        <v>33</v>
      </c>
      <c r="F916" s="6" t="s">
        <v>50</v>
      </c>
      <c r="G916" s="6" t="s">
        <v>69</v>
      </c>
      <c r="H916" s="6" t="s">
        <v>69</v>
      </c>
      <c r="I916" s="8">
        <v>152</v>
      </c>
      <c r="J916" s="8" t="s">
        <v>350</v>
      </c>
      <c r="K916" s="8" t="s">
        <v>38</v>
      </c>
      <c r="L916" s="10">
        <v>1</v>
      </c>
      <c r="M916" s="13">
        <v>16000.0</v>
      </c>
      <c r="N916" s="13"/>
      <c r="O916" s="15">
        <f>IF(M916&gt;0, N916/M916, 0)</f>
        <v>0</v>
      </c>
      <c r="P916" s="13">
        <f>M916-N916</f>
        <v>16000</v>
      </c>
      <c r="Q916" s="13">
        <f>L916*M916</f>
        <v>16000</v>
      </c>
      <c r="R916" s="13">
        <f>L916*N916</f>
        <v>0</v>
      </c>
      <c r="S916" s="13">
        <f>L916*P916</f>
        <v>16000</v>
      </c>
      <c r="T916" s="13"/>
      <c r="U916" s="13">
        <f>L916*T916</f>
        <v>0</v>
      </c>
      <c r="V916" s="13">
        <f>S916-U916</f>
        <v>16000</v>
      </c>
      <c r="W916" s="15">
        <f>IF(S916&gt;0, V916/S916, 0)</f>
        <v>1</v>
      </c>
      <c r="X916" s="6" t="s">
        <v>39</v>
      </c>
      <c r="Y916" s="8" t="s">
        <v>40</v>
      </c>
      <c r="Z916" s="8" t="s">
        <v>41</v>
      </c>
      <c r="AA916" s="8" t="s">
        <v>42</v>
      </c>
      <c r="AB916" s="6" t="s">
        <v>42</v>
      </c>
    </row>
    <row r="917" spans="1:28">
      <c r="A917" s="9">
        <v>910</v>
      </c>
      <c r="B917" s="9" t="s">
        <v>1213</v>
      </c>
      <c r="C917" s="9" t="s">
        <v>1080</v>
      </c>
      <c r="D917" s="9" t="s">
        <v>652</v>
      </c>
      <c r="E917" s="9" t="s">
        <v>33</v>
      </c>
      <c r="F917" s="7" t="s">
        <v>34</v>
      </c>
      <c r="G917" s="7" t="s">
        <v>69</v>
      </c>
      <c r="H917" s="7" t="s">
        <v>69</v>
      </c>
      <c r="I917" s="9">
        <v>176</v>
      </c>
      <c r="J917" s="9" t="s">
        <v>203</v>
      </c>
      <c r="K917" s="9" t="s">
        <v>38</v>
      </c>
      <c r="L917" s="11">
        <v>1</v>
      </c>
      <c r="M917" s="14">
        <v>17000.0</v>
      </c>
      <c r="N917" s="14"/>
      <c r="O917" s="16">
        <f>IF(M917&gt;0, N917/M917, 0)</f>
        <v>0</v>
      </c>
      <c r="P917" s="14">
        <f>M917-N917</f>
        <v>17000</v>
      </c>
      <c r="Q917" s="14">
        <f>L917*M917</f>
        <v>17000</v>
      </c>
      <c r="R917" s="14">
        <f>L917*N917</f>
        <v>0</v>
      </c>
      <c r="S917" s="14">
        <f>L917*P917</f>
        <v>17000</v>
      </c>
      <c r="T917" s="14"/>
      <c r="U917" s="14">
        <f>L917*T917</f>
        <v>0</v>
      </c>
      <c r="V917" s="14">
        <f>S917-U917</f>
        <v>17000</v>
      </c>
      <c r="W917" s="16">
        <f>IF(S917&gt;0, V917/S917, 0)</f>
        <v>1</v>
      </c>
      <c r="X917" s="7" t="s">
        <v>39</v>
      </c>
      <c r="Y917" s="9" t="s">
        <v>40</v>
      </c>
      <c r="Z917" s="9" t="s">
        <v>41</v>
      </c>
      <c r="AA917" s="9" t="s">
        <v>42</v>
      </c>
      <c r="AB917" s="7" t="s">
        <v>42</v>
      </c>
    </row>
    <row r="918" spans="1:28">
      <c r="A918" s="8">
        <v>911</v>
      </c>
      <c r="B918" s="8" t="s">
        <v>1214</v>
      </c>
      <c r="C918" s="8" t="s">
        <v>1080</v>
      </c>
      <c r="D918" s="8" t="s">
        <v>652</v>
      </c>
      <c r="E918" s="8" t="s">
        <v>33</v>
      </c>
      <c r="F918" s="6" t="s">
        <v>50</v>
      </c>
      <c r="G918" s="6" t="s">
        <v>35</v>
      </c>
      <c r="H918" s="6" t="s">
        <v>36</v>
      </c>
      <c r="I918" s="8">
        <v>116</v>
      </c>
      <c r="J918" s="8" t="s">
        <v>92</v>
      </c>
      <c r="K918" s="8" t="s">
        <v>53</v>
      </c>
      <c r="L918" s="10">
        <v>1</v>
      </c>
      <c r="M918" s="13">
        <v>7000.0</v>
      </c>
      <c r="N918" s="13"/>
      <c r="O918" s="15">
        <f>IF(M918&gt;0, N918/M918, 0)</f>
        <v>0</v>
      </c>
      <c r="P918" s="13">
        <f>M918-N918</f>
        <v>7000</v>
      </c>
      <c r="Q918" s="13">
        <f>L918*M918</f>
        <v>7000</v>
      </c>
      <c r="R918" s="13">
        <f>L918*N918</f>
        <v>0</v>
      </c>
      <c r="S918" s="13">
        <f>L918*P918</f>
        <v>7000</v>
      </c>
      <c r="T918" s="13"/>
      <c r="U918" s="13">
        <f>L918*T918</f>
        <v>0</v>
      </c>
      <c r="V918" s="13">
        <f>S918-U918</f>
        <v>7000</v>
      </c>
      <c r="W918" s="15">
        <f>IF(S918&gt;0, V918/S918, 0)</f>
        <v>1</v>
      </c>
      <c r="X918" s="6" t="s">
        <v>39</v>
      </c>
      <c r="Y918" s="8" t="s">
        <v>40</v>
      </c>
      <c r="Z918" s="8" t="s">
        <v>41</v>
      </c>
      <c r="AA918" s="8" t="s">
        <v>42</v>
      </c>
      <c r="AB918" s="6" t="s">
        <v>42</v>
      </c>
    </row>
    <row r="919" spans="1:28">
      <c r="A919" s="9">
        <v>912</v>
      </c>
      <c r="B919" s="9" t="s">
        <v>1215</v>
      </c>
      <c r="C919" s="9" t="s">
        <v>1080</v>
      </c>
      <c r="D919" s="9" t="s">
        <v>652</v>
      </c>
      <c r="E919" s="9" t="s">
        <v>33</v>
      </c>
      <c r="F919" s="7" t="s">
        <v>34</v>
      </c>
      <c r="G919" s="7" t="s">
        <v>35</v>
      </c>
      <c r="H919" s="7" t="s">
        <v>36</v>
      </c>
      <c r="I919" s="9">
        <v>170</v>
      </c>
      <c r="J919" s="9" t="s">
        <v>142</v>
      </c>
      <c r="K919" s="9" t="s">
        <v>38</v>
      </c>
      <c r="L919" s="11">
        <v>2</v>
      </c>
      <c r="M919" s="14">
        <v>8000.0</v>
      </c>
      <c r="N919" s="14"/>
      <c r="O919" s="16">
        <f>IF(M919&gt;0, N919/M919, 0)</f>
        <v>0</v>
      </c>
      <c r="P919" s="14">
        <f>M919-N919</f>
        <v>8000</v>
      </c>
      <c r="Q919" s="14">
        <f>L919*M919</f>
        <v>16000</v>
      </c>
      <c r="R919" s="14">
        <f>L919*N919</f>
        <v>0</v>
      </c>
      <c r="S919" s="14">
        <f>L919*P919</f>
        <v>16000</v>
      </c>
      <c r="T919" s="14"/>
      <c r="U919" s="14">
        <f>L919*T919</f>
        <v>0</v>
      </c>
      <c r="V919" s="14">
        <f>S919-U919</f>
        <v>16000</v>
      </c>
      <c r="W919" s="16">
        <f>IF(S919&gt;0, V919/S919, 0)</f>
        <v>1</v>
      </c>
      <c r="X919" s="7" t="s">
        <v>39</v>
      </c>
      <c r="Y919" s="9" t="s">
        <v>40</v>
      </c>
      <c r="Z919" s="9" t="s">
        <v>41</v>
      </c>
      <c r="AA919" s="9" t="s">
        <v>42</v>
      </c>
      <c r="AB919" s="7" t="s">
        <v>42</v>
      </c>
    </row>
    <row r="920" spans="1:28">
      <c r="A920" s="8">
        <v>913</v>
      </c>
      <c r="B920" s="8" t="s">
        <v>1216</v>
      </c>
      <c r="C920" s="8" t="s">
        <v>1080</v>
      </c>
      <c r="D920" s="8" t="s">
        <v>652</v>
      </c>
      <c r="E920" s="8" t="s">
        <v>33</v>
      </c>
      <c r="F920" s="6" t="s">
        <v>34</v>
      </c>
      <c r="G920" s="6" t="s">
        <v>35</v>
      </c>
      <c r="H920" s="6" t="s">
        <v>36</v>
      </c>
      <c r="I920" s="8">
        <v>164</v>
      </c>
      <c r="J920" s="8" t="s">
        <v>77</v>
      </c>
      <c r="K920" s="8" t="s">
        <v>38</v>
      </c>
      <c r="L920" s="10">
        <v>2</v>
      </c>
      <c r="M920" s="13">
        <v>8000.0</v>
      </c>
      <c r="N920" s="13"/>
      <c r="O920" s="15">
        <f>IF(M920&gt;0, N920/M920, 0)</f>
        <v>0</v>
      </c>
      <c r="P920" s="13">
        <f>M920-N920</f>
        <v>8000</v>
      </c>
      <c r="Q920" s="13">
        <f>L920*M920</f>
        <v>16000</v>
      </c>
      <c r="R920" s="13">
        <f>L920*N920</f>
        <v>0</v>
      </c>
      <c r="S920" s="13">
        <f>L920*P920</f>
        <v>16000</v>
      </c>
      <c r="T920" s="13"/>
      <c r="U920" s="13">
        <f>L920*T920</f>
        <v>0</v>
      </c>
      <c r="V920" s="13">
        <f>S920-U920</f>
        <v>16000</v>
      </c>
      <c r="W920" s="15">
        <f>IF(S920&gt;0, V920/S920, 0)</f>
        <v>1</v>
      </c>
      <c r="X920" s="6" t="s">
        <v>39</v>
      </c>
      <c r="Y920" s="8" t="s">
        <v>40</v>
      </c>
      <c r="Z920" s="8" t="s">
        <v>41</v>
      </c>
      <c r="AA920" s="8" t="s">
        <v>42</v>
      </c>
      <c r="AB920" s="6" t="s">
        <v>42</v>
      </c>
    </row>
    <row r="921" spans="1:28">
      <c r="A921" s="9">
        <v>914</v>
      </c>
      <c r="B921" s="9" t="s">
        <v>1217</v>
      </c>
      <c r="C921" s="9" t="s">
        <v>1080</v>
      </c>
      <c r="D921" s="9" t="s">
        <v>652</v>
      </c>
      <c r="E921" s="9" t="s">
        <v>33</v>
      </c>
      <c r="F921" s="7" t="s">
        <v>34</v>
      </c>
      <c r="G921" s="7" t="s">
        <v>35</v>
      </c>
      <c r="H921" s="7" t="s">
        <v>36</v>
      </c>
      <c r="I921" s="9">
        <v>182</v>
      </c>
      <c r="J921" s="9" t="s">
        <v>335</v>
      </c>
      <c r="K921" s="9" t="s">
        <v>38</v>
      </c>
      <c r="L921" s="11">
        <v>1</v>
      </c>
      <c r="M921" s="14">
        <v>8000.0</v>
      </c>
      <c r="N921" s="14"/>
      <c r="O921" s="16">
        <f>IF(M921&gt;0, N921/M921, 0)</f>
        <v>0</v>
      </c>
      <c r="P921" s="14">
        <f>M921-N921</f>
        <v>8000</v>
      </c>
      <c r="Q921" s="14">
        <f>L921*M921</f>
        <v>8000</v>
      </c>
      <c r="R921" s="14">
        <f>L921*N921</f>
        <v>0</v>
      </c>
      <c r="S921" s="14">
        <f>L921*P921</f>
        <v>8000</v>
      </c>
      <c r="T921" s="14"/>
      <c r="U921" s="14">
        <f>L921*T921</f>
        <v>0</v>
      </c>
      <c r="V921" s="14">
        <f>S921-U921</f>
        <v>8000</v>
      </c>
      <c r="W921" s="16">
        <f>IF(S921&gt;0, V921/S921, 0)</f>
        <v>1</v>
      </c>
      <c r="X921" s="7" t="s">
        <v>39</v>
      </c>
      <c r="Y921" s="9" t="s">
        <v>40</v>
      </c>
      <c r="Z921" s="9" t="s">
        <v>41</v>
      </c>
      <c r="AA921" s="9" t="s">
        <v>42</v>
      </c>
      <c r="AB921" s="7" t="s">
        <v>42</v>
      </c>
    </row>
    <row r="922" spans="1:28">
      <c r="A922" s="8">
        <v>915</v>
      </c>
      <c r="B922" s="8" t="s">
        <v>1218</v>
      </c>
      <c r="C922" s="8" t="s">
        <v>1080</v>
      </c>
      <c r="D922" s="8" t="s">
        <v>652</v>
      </c>
      <c r="E922" s="8" t="s">
        <v>68</v>
      </c>
      <c r="F922" s="6" t="s">
        <v>50</v>
      </c>
      <c r="G922" s="6" t="s">
        <v>56</v>
      </c>
      <c r="H922" s="6" t="s">
        <v>56</v>
      </c>
      <c r="I922" s="8">
        <v>134</v>
      </c>
      <c r="J922" s="8" t="s">
        <v>281</v>
      </c>
      <c r="K922" s="8" t="s">
        <v>38</v>
      </c>
      <c r="L922" s="10">
        <v>1</v>
      </c>
      <c r="M922" s="13">
        <v>8000.0</v>
      </c>
      <c r="N922" s="13"/>
      <c r="O922" s="15">
        <f>IF(M922&gt;0, N922/M922, 0)</f>
        <v>0</v>
      </c>
      <c r="P922" s="13">
        <f>M922-N922</f>
        <v>8000</v>
      </c>
      <c r="Q922" s="13">
        <f>L922*M922</f>
        <v>8000</v>
      </c>
      <c r="R922" s="13">
        <f>L922*N922</f>
        <v>0</v>
      </c>
      <c r="S922" s="13">
        <f>L922*P922</f>
        <v>8000</v>
      </c>
      <c r="T922" s="13"/>
      <c r="U922" s="13">
        <f>L922*T922</f>
        <v>0</v>
      </c>
      <c r="V922" s="13">
        <f>S922-U922</f>
        <v>8000</v>
      </c>
      <c r="W922" s="15">
        <f>IF(S922&gt;0, V922/S922, 0)</f>
        <v>1</v>
      </c>
      <c r="X922" s="6" t="s">
        <v>39</v>
      </c>
      <c r="Y922" s="8" t="s">
        <v>40</v>
      </c>
      <c r="Z922" s="8" t="s">
        <v>71</v>
      </c>
      <c r="AA922" s="8" t="s">
        <v>42</v>
      </c>
      <c r="AB922" s="6" t="s">
        <v>42</v>
      </c>
    </row>
    <row r="923" spans="1:28">
      <c r="A923" s="9">
        <v>916</v>
      </c>
      <c r="B923" s="9" t="s">
        <v>1219</v>
      </c>
      <c r="C923" s="9" t="s">
        <v>1080</v>
      </c>
      <c r="D923" s="9" t="s">
        <v>652</v>
      </c>
      <c r="E923" s="9" t="s">
        <v>68</v>
      </c>
      <c r="F923" s="7" t="s">
        <v>50</v>
      </c>
      <c r="G923" s="7" t="s">
        <v>63</v>
      </c>
      <c r="H923" s="7" t="s">
        <v>148</v>
      </c>
      <c r="I923" s="9">
        <v>134</v>
      </c>
      <c r="J923" s="9" t="s">
        <v>246</v>
      </c>
      <c r="K923" s="9" t="s">
        <v>38</v>
      </c>
      <c r="L923" s="11">
        <v>1</v>
      </c>
      <c r="M923" s="14">
        <v>10000.0</v>
      </c>
      <c r="N923" s="14"/>
      <c r="O923" s="16">
        <f>IF(M923&gt;0, N923/M923, 0)</f>
        <v>0</v>
      </c>
      <c r="P923" s="14">
        <f>M923-N923</f>
        <v>10000</v>
      </c>
      <c r="Q923" s="14">
        <f>L923*M923</f>
        <v>10000</v>
      </c>
      <c r="R923" s="14">
        <f>L923*N923</f>
        <v>0</v>
      </c>
      <c r="S923" s="14">
        <f>L923*P923</f>
        <v>10000</v>
      </c>
      <c r="T923" s="14"/>
      <c r="U923" s="14">
        <f>L923*T923</f>
        <v>0</v>
      </c>
      <c r="V923" s="14">
        <f>S923-U923</f>
        <v>10000</v>
      </c>
      <c r="W923" s="16">
        <f>IF(S923&gt;0, V923/S923, 0)</f>
        <v>1</v>
      </c>
      <c r="X923" s="7" t="s">
        <v>39</v>
      </c>
      <c r="Y923" s="9" t="s">
        <v>40</v>
      </c>
      <c r="Z923" s="9" t="s">
        <v>71</v>
      </c>
      <c r="AA923" s="9" t="s">
        <v>42</v>
      </c>
      <c r="AB923" s="7" t="s">
        <v>42</v>
      </c>
    </row>
    <row r="924" spans="1:28">
      <c r="A924" s="8">
        <v>917</v>
      </c>
      <c r="B924" s="8" t="s">
        <v>1220</v>
      </c>
      <c r="C924" s="8" t="s">
        <v>1080</v>
      </c>
      <c r="D924" s="8" t="s">
        <v>652</v>
      </c>
      <c r="E924" s="8" t="s">
        <v>33</v>
      </c>
      <c r="F924" s="6" t="s">
        <v>50</v>
      </c>
      <c r="G924" s="6" t="s">
        <v>45</v>
      </c>
      <c r="H924" s="6" t="s">
        <v>46</v>
      </c>
      <c r="I924" s="8">
        <v>152</v>
      </c>
      <c r="J924" s="8" t="s">
        <v>411</v>
      </c>
      <c r="K924" s="8" t="s">
        <v>38</v>
      </c>
      <c r="L924" s="10">
        <v>1</v>
      </c>
      <c r="M924" s="13">
        <v>18000.0</v>
      </c>
      <c r="N924" s="13"/>
      <c r="O924" s="15">
        <f>IF(M924&gt;0, N924/M924, 0)</f>
        <v>0</v>
      </c>
      <c r="P924" s="13">
        <f>M924-N924</f>
        <v>18000</v>
      </c>
      <c r="Q924" s="13">
        <f>L924*M924</f>
        <v>18000</v>
      </c>
      <c r="R924" s="13">
        <f>L924*N924</f>
        <v>0</v>
      </c>
      <c r="S924" s="13">
        <f>L924*P924</f>
        <v>18000</v>
      </c>
      <c r="T924" s="13"/>
      <c r="U924" s="13">
        <f>L924*T924</f>
        <v>0</v>
      </c>
      <c r="V924" s="13">
        <f>S924-U924</f>
        <v>18000</v>
      </c>
      <c r="W924" s="15">
        <f>IF(S924&gt;0, V924/S924, 0)</f>
        <v>1</v>
      </c>
      <c r="X924" s="6" t="s">
        <v>39</v>
      </c>
      <c r="Y924" s="8" t="s">
        <v>40</v>
      </c>
      <c r="Z924" s="8" t="s">
        <v>41</v>
      </c>
      <c r="AA924" s="8" t="s">
        <v>42</v>
      </c>
      <c r="AB924" s="6" t="s">
        <v>42</v>
      </c>
    </row>
    <row r="925" spans="1:28">
      <c r="A925" s="9">
        <v>918</v>
      </c>
      <c r="B925" s="9" t="s">
        <v>1221</v>
      </c>
      <c r="C925" s="9" t="s">
        <v>1080</v>
      </c>
      <c r="D925" s="9" t="s">
        <v>652</v>
      </c>
      <c r="E925" s="9" t="s">
        <v>33</v>
      </c>
      <c r="F925" s="7" t="s">
        <v>50</v>
      </c>
      <c r="G925" s="7" t="s">
        <v>63</v>
      </c>
      <c r="H925" s="7" t="s">
        <v>148</v>
      </c>
      <c r="I925" s="9">
        <v>152</v>
      </c>
      <c r="J925" s="9" t="s">
        <v>251</v>
      </c>
      <c r="K925" s="9" t="s">
        <v>38</v>
      </c>
      <c r="L925" s="11">
        <v>1</v>
      </c>
      <c r="M925" s="14">
        <v>9000.0</v>
      </c>
      <c r="N925" s="14"/>
      <c r="O925" s="16">
        <f>IF(M925&gt;0, N925/M925, 0)</f>
        <v>0</v>
      </c>
      <c r="P925" s="14">
        <f>M925-N925</f>
        <v>9000</v>
      </c>
      <c r="Q925" s="14">
        <f>L925*M925</f>
        <v>9000</v>
      </c>
      <c r="R925" s="14">
        <f>L925*N925</f>
        <v>0</v>
      </c>
      <c r="S925" s="14">
        <f>L925*P925</f>
        <v>9000</v>
      </c>
      <c r="T925" s="14"/>
      <c r="U925" s="14">
        <f>L925*T925</f>
        <v>0</v>
      </c>
      <c r="V925" s="14">
        <f>S925-U925</f>
        <v>9000</v>
      </c>
      <c r="W925" s="16">
        <f>IF(S925&gt;0, V925/S925, 0)</f>
        <v>1</v>
      </c>
      <c r="X925" s="7" t="s">
        <v>39</v>
      </c>
      <c r="Y925" s="9" t="s">
        <v>40</v>
      </c>
      <c r="Z925" s="9" t="s">
        <v>41</v>
      </c>
      <c r="AA925" s="9" t="s">
        <v>42</v>
      </c>
      <c r="AB925" s="7" t="s">
        <v>42</v>
      </c>
    </row>
    <row r="926" spans="1:28">
      <c r="A926" s="8">
        <v>919</v>
      </c>
      <c r="B926" s="8" t="s">
        <v>1222</v>
      </c>
      <c r="C926" s="8" t="s">
        <v>1080</v>
      </c>
      <c r="D926" s="8" t="s">
        <v>652</v>
      </c>
      <c r="E926" s="8" t="s">
        <v>33</v>
      </c>
      <c r="F926" s="6" t="s">
        <v>50</v>
      </c>
      <c r="G926" s="6" t="s">
        <v>69</v>
      </c>
      <c r="H926" s="6" t="s">
        <v>69</v>
      </c>
      <c r="I926" s="8">
        <v>152</v>
      </c>
      <c r="J926" s="8" t="s">
        <v>350</v>
      </c>
      <c r="K926" s="8" t="s">
        <v>38</v>
      </c>
      <c r="L926" s="10">
        <v>1</v>
      </c>
      <c r="M926" s="13">
        <v>16000.0</v>
      </c>
      <c r="N926" s="13"/>
      <c r="O926" s="15">
        <f>IF(M926&gt;0, N926/M926, 0)</f>
        <v>0</v>
      </c>
      <c r="P926" s="13">
        <f>M926-N926</f>
        <v>16000</v>
      </c>
      <c r="Q926" s="13">
        <f>L926*M926</f>
        <v>16000</v>
      </c>
      <c r="R926" s="13">
        <f>L926*N926</f>
        <v>0</v>
      </c>
      <c r="S926" s="13">
        <f>L926*P926</f>
        <v>16000</v>
      </c>
      <c r="T926" s="13"/>
      <c r="U926" s="13">
        <f>L926*T926</f>
        <v>0</v>
      </c>
      <c r="V926" s="13">
        <f>S926-U926</f>
        <v>16000</v>
      </c>
      <c r="W926" s="15">
        <f>IF(S926&gt;0, V926/S926, 0)</f>
        <v>1</v>
      </c>
      <c r="X926" s="6" t="s">
        <v>39</v>
      </c>
      <c r="Y926" s="8" t="s">
        <v>40</v>
      </c>
      <c r="Z926" s="8" t="s">
        <v>41</v>
      </c>
      <c r="AA926" s="8" t="s">
        <v>42</v>
      </c>
      <c r="AB926" s="6" t="s">
        <v>42</v>
      </c>
    </row>
    <row r="927" spans="1:28">
      <c r="A927" s="9">
        <v>920</v>
      </c>
      <c r="B927" s="9" t="s">
        <v>1223</v>
      </c>
      <c r="C927" s="9" t="s">
        <v>1080</v>
      </c>
      <c r="D927" s="9" t="s">
        <v>652</v>
      </c>
      <c r="E927" s="9" t="s">
        <v>33</v>
      </c>
      <c r="F927" s="7" t="s">
        <v>50</v>
      </c>
      <c r="G927" s="7" t="s">
        <v>35</v>
      </c>
      <c r="H927" s="7" t="s">
        <v>36</v>
      </c>
      <c r="I927" s="9">
        <v>152</v>
      </c>
      <c r="J927" s="9" t="s">
        <v>151</v>
      </c>
      <c r="K927" s="9" t="s">
        <v>53</v>
      </c>
      <c r="L927" s="11">
        <v>2</v>
      </c>
      <c r="M927" s="14">
        <v>7000.0</v>
      </c>
      <c r="N927" s="14"/>
      <c r="O927" s="16">
        <f>IF(M927&gt;0, N927/M927, 0)</f>
        <v>0</v>
      </c>
      <c r="P927" s="14">
        <f>M927-N927</f>
        <v>7000</v>
      </c>
      <c r="Q927" s="14">
        <f>L927*M927</f>
        <v>14000</v>
      </c>
      <c r="R927" s="14">
        <f>L927*N927</f>
        <v>0</v>
      </c>
      <c r="S927" s="14">
        <f>L927*P927</f>
        <v>14000</v>
      </c>
      <c r="T927" s="14"/>
      <c r="U927" s="14">
        <f>L927*T927</f>
        <v>0</v>
      </c>
      <c r="V927" s="14">
        <f>S927-U927</f>
        <v>14000</v>
      </c>
      <c r="W927" s="16">
        <f>IF(S927&gt;0, V927/S927, 0)</f>
        <v>1</v>
      </c>
      <c r="X927" s="7" t="s">
        <v>39</v>
      </c>
      <c r="Y927" s="9" t="s">
        <v>40</v>
      </c>
      <c r="Z927" s="9" t="s">
        <v>41</v>
      </c>
      <c r="AA927" s="9" t="s">
        <v>42</v>
      </c>
      <c r="AB927" s="7" t="s">
        <v>42</v>
      </c>
    </row>
    <row r="928" spans="1:28">
      <c r="A928" s="8">
        <v>921</v>
      </c>
      <c r="B928" s="8" t="s">
        <v>1224</v>
      </c>
      <c r="C928" s="8" t="s">
        <v>1080</v>
      </c>
      <c r="D928" s="8" t="s">
        <v>652</v>
      </c>
      <c r="E928" s="8" t="s">
        <v>33</v>
      </c>
      <c r="F928" s="6" t="s">
        <v>50</v>
      </c>
      <c r="G928" s="6" t="s">
        <v>51</v>
      </c>
      <c r="H928" s="6" t="s">
        <v>51</v>
      </c>
      <c r="I928" s="8">
        <v>146</v>
      </c>
      <c r="J928" s="8" t="s">
        <v>254</v>
      </c>
      <c r="K928" s="8" t="s">
        <v>53</v>
      </c>
      <c r="L928" s="10">
        <v>1</v>
      </c>
      <c r="M928" s="13">
        <v>8000.0</v>
      </c>
      <c r="N928" s="13"/>
      <c r="O928" s="15">
        <f>IF(M928&gt;0, N928/M928, 0)</f>
        <v>0</v>
      </c>
      <c r="P928" s="13">
        <f>M928-N928</f>
        <v>8000</v>
      </c>
      <c r="Q928" s="13">
        <f>L928*M928</f>
        <v>8000</v>
      </c>
      <c r="R928" s="13">
        <f>L928*N928</f>
        <v>0</v>
      </c>
      <c r="S928" s="13">
        <f>L928*P928</f>
        <v>8000</v>
      </c>
      <c r="T928" s="13"/>
      <c r="U928" s="13">
        <f>L928*T928</f>
        <v>0</v>
      </c>
      <c r="V928" s="13">
        <f>S928-U928</f>
        <v>8000</v>
      </c>
      <c r="W928" s="15">
        <f>IF(S928&gt;0, V928/S928, 0)</f>
        <v>1</v>
      </c>
      <c r="X928" s="6" t="s">
        <v>39</v>
      </c>
      <c r="Y928" s="8" t="s">
        <v>40</v>
      </c>
      <c r="Z928" s="8" t="s">
        <v>41</v>
      </c>
      <c r="AA928" s="8" t="s">
        <v>42</v>
      </c>
      <c r="AB928" s="6" t="s">
        <v>42</v>
      </c>
    </row>
    <row r="929" spans="1:28">
      <c r="A929" s="9">
        <v>922</v>
      </c>
      <c r="B929" s="9" t="s">
        <v>1225</v>
      </c>
      <c r="C929" s="9" t="s">
        <v>1080</v>
      </c>
      <c r="D929" s="9" t="s">
        <v>652</v>
      </c>
      <c r="E929" s="9" t="s">
        <v>33</v>
      </c>
      <c r="F929" s="7" t="s">
        <v>50</v>
      </c>
      <c r="G929" s="7" t="s">
        <v>35</v>
      </c>
      <c r="H929" s="7" t="s">
        <v>73</v>
      </c>
      <c r="I929" s="9">
        <v>146</v>
      </c>
      <c r="J929" s="9" t="s">
        <v>340</v>
      </c>
      <c r="K929" s="9" t="s">
        <v>53</v>
      </c>
      <c r="L929" s="11">
        <v>1</v>
      </c>
      <c r="M929" s="14">
        <v>8000.0</v>
      </c>
      <c r="N929" s="14"/>
      <c r="O929" s="16">
        <f>IF(M929&gt;0, N929/M929, 0)</f>
        <v>0</v>
      </c>
      <c r="P929" s="14">
        <f>M929-N929</f>
        <v>8000</v>
      </c>
      <c r="Q929" s="14">
        <f>L929*M929</f>
        <v>8000</v>
      </c>
      <c r="R929" s="14">
        <f>L929*N929</f>
        <v>0</v>
      </c>
      <c r="S929" s="14">
        <f>L929*P929</f>
        <v>8000</v>
      </c>
      <c r="T929" s="14"/>
      <c r="U929" s="14">
        <f>L929*T929</f>
        <v>0</v>
      </c>
      <c r="V929" s="14">
        <f>S929-U929</f>
        <v>8000</v>
      </c>
      <c r="W929" s="16">
        <f>IF(S929&gt;0, V929/S929, 0)</f>
        <v>1</v>
      </c>
      <c r="X929" s="7" t="s">
        <v>39</v>
      </c>
      <c r="Y929" s="9" t="s">
        <v>40</v>
      </c>
      <c r="Z929" s="9" t="s">
        <v>41</v>
      </c>
      <c r="AA929" s="9" t="s">
        <v>42</v>
      </c>
      <c r="AB929" s="7" t="s">
        <v>42</v>
      </c>
    </row>
    <row r="930" spans="1:28">
      <c r="A930" s="8">
        <v>923</v>
      </c>
      <c r="B930" s="8" t="s">
        <v>1226</v>
      </c>
      <c r="C930" s="8" t="s">
        <v>1080</v>
      </c>
      <c r="D930" s="8" t="s">
        <v>652</v>
      </c>
      <c r="E930" s="8" t="s">
        <v>33</v>
      </c>
      <c r="F930" s="6" t="s">
        <v>50</v>
      </c>
      <c r="G930" s="6" t="s">
        <v>51</v>
      </c>
      <c r="H930" s="6" t="s">
        <v>51</v>
      </c>
      <c r="I930" s="8">
        <v>134</v>
      </c>
      <c r="J930" s="8" t="s">
        <v>175</v>
      </c>
      <c r="K930" s="8" t="s">
        <v>53</v>
      </c>
      <c r="L930" s="10">
        <v>1</v>
      </c>
      <c r="M930" s="13">
        <v>8000.0</v>
      </c>
      <c r="N930" s="13"/>
      <c r="O930" s="15">
        <f>IF(M930&gt;0, N930/M930, 0)</f>
        <v>0</v>
      </c>
      <c r="P930" s="13">
        <f>M930-N930</f>
        <v>8000</v>
      </c>
      <c r="Q930" s="13">
        <f>L930*M930</f>
        <v>8000</v>
      </c>
      <c r="R930" s="13">
        <f>L930*N930</f>
        <v>0</v>
      </c>
      <c r="S930" s="13">
        <f>L930*P930</f>
        <v>8000</v>
      </c>
      <c r="T930" s="13"/>
      <c r="U930" s="13">
        <f>L930*T930</f>
        <v>0</v>
      </c>
      <c r="V930" s="13">
        <f>S930-U930</f>
        <v>8000</v>
      </c>
      <c r="W930" s="15">
        <f>IF(S930&gt;0, V930/S930, 0)</f>
        <v>1</v>
      </c>
      <c r="X930" s="6" t="s">
        <v>39</v>
      </c>
      <c r="Y930" s="8" t="s">
        <v>40</v>
      </c>
      <c r="Z930" s="8" t="s">
        <v>41</v>
      </c>
      <c r="AA930" s="8" t="s">
        <v>42</v>
      </c>
      <c r="AB930" s="6" t="s">
        <v>42</v>
      </c>
    </row>
    <row r="931" spans="1:28">
      <c r="A931" s="9">
        <v>924</v>
      </c>
      <c r="B931" s="9" t="s">
        <v>1227</v>
      </c>
      <c r="C931" s="9" t="s">
        <v>1080</v>
      </c>
      <c r="D931" s="9" t="s">
        <v>652</v>
      </c>
      <c r="E931" s="9" t="s">
        <v>33</v>
      </c>
      <c r="F931" s="7" t="s">
        <v>50</v>
      </c>
      <c r="G931" s="7" t="s">
        <v>69</v>
      </c>
      <c r="H931" s="7" t="s">
        <v>69</v>
      </c>
      <c r="I931" s="9">
        <v>134</v>
      </c>
      <c r="J931" s="9" t="s">
        <v>209</v>
      </c>
      <c r="K931" s="9" t="s">
        <v>38</v>
      </c>
      <c r="L931" s="11">
        <v>1</v>
      </c>
      <c r="M931" s="14">
        <v>16000.0</v>
      </c>
      <c r="N931" s="14"/>
      <c r="O931" s="16">
        <f>IF(M931&gt;0, N931/M931, 0)</f>
        <v>0</v>
      </c>
      <c r="P931" s="14">
        <f>M931-N931</f>
        <v>16000</v>
      </c>
      <c r="Q931" s="14">
        <f>L931*M931</f>
        <v>16000</v>
      </c>
      <c r="R931" s="14">
        <f>L931*N931</f>
        <v>0</v>
      </c>
      <c r="S931" s="14">
        <f>L931*P931</f>
        <v>16000</v>
      </c>
      <c r="T931" s="14"/>
      <c r="U931" s="14">
        <f>L931*T931</f>
        <v>0</v>
      </c>
      <c r="V931" s="14">
        <f>S931-U931</f>
        <v>16000</v>
      </c>
      <c r="W931" s="16">
        <f>IF(S931&gt;0, V931/S931, 0)</f>
        <v>1</v>
      </c>
      <c r="X931" s="7" t="s">
        <v>39</v>
      </c>
      <c r="Y931" s="9" t="s">
        <v>40</v>
      </c>
      <c r="Z931" s="9" t="s">
        <v>41</v>
      </c>
      <c r="AA931" s="9" t="s">
        <v>42</v>
      </c>
      <c r="AB931" s="7" t="s">
        <v>42</v>
      </c>
    </row>
    <row r="932" spans="1:28">
      <c r="A932" s="8">
        <v>925</v>
      </c>
      <c r="B932" s="8" t="s">
        <v>1228</v>
      </c>
      <c r="C932" s="8" t="s">
        <v>1080</v>
      </c>
      <c r="D932" s="8" t="s">
        <v>652</v>
      </c>
      <c r="E932" s="8" t="s">
        <v>33</v>
      </c>
      <c r="F932" s="6" t="s">
        <v>50</v>
      </c>
      <c r="G932" s="6" t="s">
        <v>45</v>
      </c>
      <c r="H932" s="6" t="s">
        <v>46</v>
      </c>
      <c r="I932" s="8">
        <v>134</v>
      </c>
      <c r="J932" s="8" t="s">
        <v>376</v>
      </c>
      <c r="K932" s="8" t="s">
        <v>38</v>
      </c>
      <c r="L932" s="10">
        <v>1</v>
      </c>
      <c r="M932" s="13">
        <v>18000.0</v>
      </c>
      <c r="N932" s="13"/>
      <c r="O932" s="15">
        <f>IF(M932&gt;0, N932/M932, 0)</f>
        <v>0</v>
      </c>
      <c r="P932" s="13">
        <f>M932-N932</f>
        <v>18000</v>
      </c>
      <c r="Q932" s="13">
        <f>L932*M932</f>
        <v>18000</v>
      </c>
      <c r="R932" s="13">
        <f>L932*N932</f>
        <v>0</v>
      </c>
      <c r="S932" s="13">
        <f>L932*P932</f>
        <v>18000</v>
      </c>
      <c r="T932" s="13"/>
      <c r="U932" s="13">
        <f>L932*T932</f>
        <v>0</v>
      </c>
      <c r="V932" s="13">
        <f>S932-U932</f>
        <v>18000</v>
      </c>
      <c r="W932" s="15">
        <f>IF(S932&gt;0, V932/S932, 0)</f>
        <v>1</v>
      </c>
      <c r="X932" s="6" t="s">
        <v>39</v>
      </c>
      <c r="Y932" s="8" t="s">
        <v>40</v>
      </c>
      <c r="Z932" s="8" t="s">
        <v>41</v>
      </c>
      <c r="AA932" s="8" t="s">
        <v>42</v>
      </c>
      <c r="AB932" s="6" t="s">
        <v>42</v>
      </c>
    </row>
    <row r="933" spans="1:28">
      <c r="A933" s="9">
        <v>926</v>
      </c>
      <c r="B933" s="9" t="s">
        <v>1229</v>
      </c>
      <c r="C933" s="9" t="s">
        <v>1080</v>
      </c>
      <c r="D933" s="9" t="s">
        <v>652</v>
      </c>
      <c r="E933" s="9" t="s">
        <v>33</v>
      </c>
      <c r="F933" s="7" t="s">
        <v>50</v>
      </c>
      <c r="G933" s="7" t="s">
        <v>35</v>
      </c>
      <c r="H933" s="7" t="s">
        <v>73</v>
      </c>
      <c r="I933" s="9">
        <v>134</v>
      </c>
      <c r="J933" s="9" t="s">
        <v>146</v>
      </c>
      <c r="K933" s="9" t="s">
        <v>53</v>
      </c>
      <c r="L933" s="11">
        <v>1</v>
      </c>
      <c r="M933" s="14">
        <v>8000.0</v>
      </c>
      <c r="N933" s="14"/>
      <c r="O933" s="16">
        <f>IF(M933&gt;0, N933/M933, 0)</f>
        <v>0</v>
      </c>
      <c r="P933" s="14">
        <f>M933-N933</f>
        <v>8000</v>
      </c>
      <c r="Q933" s="14">
        <f>L933*M933</f>
        <v>8000</v>
      </c>
      <c r="R933" s="14">
        <f>L933*N933</f>
        <v>0</v>
      </c>
      <c r="S933" s="14">
        <f>L933*P933</f>
        <v>8000</v>
      </c>
      <c r="T933" s="14"/>
      <c r="U933" s="14">
        <f>L933*T933</f>
        <v>0</v>
      </c>
      <c r="V933" s="14">
        <f>S933-U933</f>
        <v>8000</v>
      </c>
      <c r="W933" s="16">
        <f>IF(S933&gt;0, V933/S933, 0)</f>
        <v>1</v>
      </c>
      <c r="X933" s="7" t="s">
        <v>39</v>
      </c>
      <c r="Y933" s="9" t="s">
        <v>40</v>
      </c>
      <c r="Z933" s="9" t="s">
        <v>41</v>
      </c>
      <c r="AA933" s="9" t="s">
        <v>42</v>
      </c>
      <c r="AB933" s="7" t="s">
        <v>42</v>
      </c>
    </row>
    <row r="934" spans="1:28">
      <c r="A934" s="8">
        <v>927</v>
      </c>
      <c r="B934" s="8" t="s">
        <v>1230</v>
      </c>
      <c r="C934" s="8" t="s">
        <v>1080</v>
      </c>
      <c r="D934" s="8" t="s">
        <v>652</v>
      </c>
      <c r="E934" s="8" t="s">
        <v>33</v>
      </c>
      <c r="F934" s="6" t="s">
        <v>50</v>
      </c>
      <c r="G934" s="6" t="s">
        <v>35</v>
      </c>
      <c r="H934" s="6" t="s">
        <v>36</v>
      </c>
      <c r="I934" s="8">
        <v>134</v>
      </c>
      <c r="J934" s="8" t="s">
        <v>177</v>
      </c>
      <c r="K934" s="8" t="s">
        <v>53</v>
      </c>
      <c r="L934" s="10">
        <v>2</v>
      </c>
      <c r="M934" s="13">
        <v>7000.0</v>
      </c>
      <c r="N934" s="13"/>
      <c r="O934" s="15">
        <f>IF(M934&gt;0, N934/M934, 0)</f>
        <v>0</v>
      </c>
      <c r="P934" s="13">
        <f>M934-N934</f>
        <v>7000</v>
      </c>
      <c r="Q934" s="13">
        <f>L934*M934</f>
        <v>14000</v>
      </c>
      <c r="R934" s="13">
        <f>L934*N934</f>
        <v>0</v>
      </c>
      <c r="S934" s="13">
        <f>L934*P934</f>
        <v>14000</v>
      </c>
      <c r="T934" s="13"/>
      <c r="U934" s="13">
        <f>L934*T934</f>
        <v>0</v>
      </c>
      <c r="V934" s="13">
        <f>S934-U934</f>
        <v>14000</v>
      </c>
      <c r="W934" s="15">
        <f>IF(S934&gt;0, V934/S934, 0)</f>
        <v>1</v>
      </c>
      <c r="X934" s="6" t="s">
        <v>39</v>
      </c>
      <c r="Y934" s="8" t="s">
        <v>40</v>
      </c>
      <c r="Z934" s="8" t="s">
        <v>41</v>
      </c>
      <c r="AA934" s="8" t="s">
        <v>42</v>
      </c>
      <c r="AB934" s="6" t="s">
        <v>42</v>
      </c>
    </row>
    <row r="935" spans="1:28">
      <c r="A935" s="9">
        <v>928</v>
      </c>
      <c r="B935" s="9" t="s">
        <v>1231</v>
      </c>
      <c r="C935" s="9" t="s">
        <v>1080</v>
      </c>
      <c r="D935" s="9" t="s">
        <v>652</v>
      </c>
      <c r="E935" s="9" t="s">
        <v>33</v>
      </c>
      <c r="F935" s="7" t="s">
        <v>50</v>
      </c>
      <c r="G935" s="7" t="s">
        <v>63</v>
      </c>
      <c r="H935" s="7" t="s">
        <v>148</v>
      </c>
      <c r="I935" s="9">
        <v>134</v>
      </c>
      <c r="J935" s="9" t="s">
        <v>246</v>
      </c>
      <c r="K935" s="9" t="s">
        <v>38</v>
      </c>
      <c r="L935" s="11">
        <v>1</v>
      </c>
      <c r="M935" s="14">
        <v>10000.0</v>
      </c>
      <c r="N935" s="14"/>
      <c r="O935" s="16">
        <f>IF(M935&gt;0, N935/M935, 0)</f>
        <v>0</v>
      </c>
      <c r="P935" s="14">
        <f>M935-N935</f>
        <v>10000</v>
      </c>
      <c r="Q935" s="14">
        <f>L935*M935</f>
        <v>10000</v>
      </c>
      <c r="R935" s="14">
        <f>L935*N935</f>
        <v>0</v>
      </c>
      <c r="S935" s="14">
        <f>L935*P935</f>
        <v>10000</v>
      </c>
      <c r="T935" s="14"/>
      <c r="U935" s="14">
        <f>L935*T935</f>
        <v>0</v>
      </c>
      <c r="V935" s="14">
        <f>S935-U935</f>
        <v>10000</v>
      </c>
      <c r="W935" s="16">
        <f>IF(S935&gt;0, V935/S935, 0)</f>
        <v>1</v>
      </c>
      <c r="X935" s="7" t="s">
        <v>39</v>
      </c>
      <c r="Y935" s="9" t="s">
        <v>40</v>
      </c>
      <c r="Z935" s="9" t="s">
        <v>41</v>
      </c>
      <c r="AA935" s="9" t="s">
        <v>42</v>
      </c>
      <c r="AB935" s="7" t="s">
        <v>42</v>
      </c>
    </row>
    <row r="936" spans="1:28">
      <c r="A936" s="8">
        <v>929</v>
      </c>
      <c r="B936" s="8" t="s">
        <v>1232</v>
      </c>
      <c r="C936" s="8" t="s">
        <v>1080</v>
      </c>
      <c r="D936" s="8" t="s">
        <v>652</v>
      </c>
      <c r="E936" s="8" t="s">
        <v>68</v>
      </c>
      <c r="F936" s="6" t="s">
        <v>50</v>
      </c>
      <c r="G936" s="6" t="s">
        <v>56</v>
      </c>
      <c r="H936" s="6" t="s">
        <v>56</v>
      </c>
      <c r="I936" s="8">
        <v>134</v>
      </c>
      <c r="J936" s="8" t="s">
        <v>281</v>
      </c>
      <c r="K936" s="8" t="s">
        <v>38</v>
      </c>
      <c r="L936" s="10">
        <v>1</v>
      </c>
      <c r="M936" s="13">
        <v>8000.0</v>
      </c>
      <c r="N936" s="13"/>
      <c r="O936" s="15">
        <f>IF(M936&gt;0, N936/M936, 0)</f>
        <v>0</v>
      </c>
      <c r="P936" s="13">
        <f>M936-N936</f>
        <v>8000</v>
      </c>
      <c r="Q936" s="13">
        <f>L936*M936</f>
        <v>8000</v>
      </c>
      <c r="R936" s="13">
        <f>L936*N936</f>
        <v>0</v>
      </c>
      <c r="S936" s="13">
        <f>L936*P936</f>
        <v>8000</v>
      </c>
      <c r="T936" s="13"/>
      <c r="U936" s="13">
        <f>L936*T936</f>
        <v>0</v>
      </c>
      <c r="V936" s="13">
        <f>S936-U936</f>
        <v>8000</v>
      </c>
      <c r="W936" s="15">
        <f>IF(S936&gt;0, V936/S936, 0)</f>
        <v>1</v>
      </c>
      <c r="X936" s="6" t="s">
        <v>39</v>
      </c>
      <c r="Y936" s="8" t="s">
        <v>40</v>
      </c>
      <c r="Z936" s="8" t="s">
        <v>1233</v>
      </c>
      <c r="AA936" s="8" t="s">
        <v>42</v>
      </c>
      <c r="AB936" s="6" t="s">
        <v>42</v>
      </c>
    </row>
    <row r="937" spans="1:28">
      <c r="A937" s="9">
        <v>930</v>
      </c>
      <c r="B937" s="9" t="s">
        <v>1234</v>
      </c>
      <c r="C937" s="9" t="s">
        <v>1080</v>
      </c>
      <c r="D937" s="9" t="s">
        <v>652</v>
      </c>
      <c r="E937" s="9" t="s">
        <v>33</v>
      </c>
      <c r="F937" s="7" t="s">
        <v>50</v>
      </c>
      <c r="G937" s="7" t="s">
        <v>51</v>
      </c>
      <c r="H937" s="7" t="s">
        <v>51</v>
      </c>
      <c r="I937" s="9">
        <v>134</v>
      </c>
      <c r="J937" s="9" t="s">
        <v>175</v>
      </c>
      <c r="K937" s="9" t="s">
        <v>53</v>
      </c>
      <c r="L937" s="11">
        <v>1</v>
      </c>
      <c r="M937" s="14">
        <v>9000.0</v>
      </c>
      <c r="N937" s="14"/>
      <c r="O937" s="16">
        <f>IF(M937&gt;0, N937/M937, 0)</f>
        <v>0</v>
      </c>
      <c r="P937" s="14">
        <f>M937-N937</f>
        <v>9000</v>
      </c>
      <c r="Q937" s="14">
        <f>L937*M937</f>
        <v>9000</v>
      </c>
      <c r="R937" s="14">
        <f>L937*N937</f>
        <v>0</v>
      </c>
      <c r="S937" s="14">
        <f>L937*P937</f>
        <v>9000</v>
      </c>
      <c r="T937" s="14"/>
      <c r="U937" s="14">
        <f>L937*T937</f>
        <v>0</v>
      </c>
      <c r="V937" s="14">
        <f>S937-U937</f>
        <v>9000</v>
      </c>
      <c r="W937" s="16">
        <f>IF(S937&gt;0, V937/S937, 0)</f>
        <v>1</v>
      </c>
      <c r="X937" s="7" t="s">
        <v>39</v>
      </c>
      <c r="Y937" s="9" t="s">
        <v>40</v>
      </c>
      <c r="Z937" s="9" t="s">
        <v>41</v>
      </c>
      <c r="AA937" s="9" t="s">
        <v>42</v>
      </c>
      <c r="AB937" s="7" t="s">
        <v>42</v>
      </c>
    </row>
    <row r="938" spans="1:28">
      <c r="A938" s="8">
        <v>931</v>
      </c>
      <c r="B938" s="8" t="s">
        <v>1235</v>
      </c>
      <c r="C938" s="8" t="s">
        <v>1080</v>
      </c>
      <c r="D938" s="8" t="s">
        <v>652</v>
      </c>
      <c r="E938" s="8" t="s">
        <v>33</v>
      </c>
      <c r="F938" s="6" t="s">
        <v>50</v>
      </c>
      <c r="G938" s="6" t="s">
        <v>69</v>
      </c>
      <c r="H938" s="6" t="s">
        <v>69</v>
      </c>
      <c r="I938" s="8">
        <v>140</v>
      </c>
      <c r="J938" s="8" t="s">
        <v>225</v>
      </c>
      <c r="K938" s="8" t="s">
        <v>38</v>
      </c>
      <c r="L938" s="10">
        <v>1</v>
      </c>
      <c r="M938" s="13">
        <v>16000.0</v>
      </c>
      <c r="N938" s="13"/>
      <c r="O938" s="15">
        <f>IF(M938&gt;0, N938/M938, 0)</f>
        <v>0</v>
      </c>
      <c r="P938" s="13">
        <f>M938-N938</f>
        <v>16000</v>
      </c>
      <c r="Q938" s="13">
        <f>L938*M938</f>
        <v>16000</v>
      </c>
      <c r="R938" s="13">
        <f>L938*N938</f>
        <v>0</v>
      </c>
      <c r="S938" s="13">
        <f>L938*P938</f>
        <v>16000</v>
      </c>
      <c r="T938" s="13"/>
      <c r="U938" s="13">
        <f>L938*T938</f>
        <v>0</v>
      </c>
      <c r="V938" s="13">
        <f>S938-U938</f>
        <v>16000</v>
      </c>
      <c r="W938" s="15">
        <f>IF(S938&gt;0, V938/S938, 0)</f>
        <v>1</v>
      </c>
      <c r="X938" s="6" t="s">
        <v>39</v>
      </c>
      <c r="Y938" s="8" t="s">
        <v>40</v>
      </c>
      <c r="Z938" s="8" t="s">
        <v>41</v>
      </c>
      <c r="AA938" s="8" t="s">
        <v>42</v>
      </c>
      <c r="AB938" s="6" t="s">
        <v>42</v>
      </c>
    </row>
    <row r="939" spans="1:28">
      <c r="A939" s="9">
        <v>932</v>
      </c>
      <c r="B939" s="9" t="s">
        <v>1236</v>
      </c>
      <c r="C939" s="9" t="s">
        <v>1080</v>
      </c>
      <c r="D939" s="9" t="s">
        <v>652</v>
      </c>
      <c r="E939" s="9" t="s">
        <v>33</v>
      </c>
      <c r="F939" s="7" t="s">
        <v>50</v>
      </c>
      <c r="G939" s="7" t="s">
        <v>35</v>
      </c>
      <c r="H939" s="7" t="s">
        <v>36</v>
      </c>
      <c r="I939" s="9">
        <v>140</v>
      </c>
      <c r="J939" s="9" t="s">
        <v>223</v>
      </c>
      <c r="K939" s="9" t="s">
        <v>53</v>
      </c>
      <c r="L939" s="11">
        <v>1</v>
      </c>
      <c r="M939" s="14">
        <v>7000.0</v>
      </c>
      <c r="N939" s="14"/>
      <c r="O939" s="16">
        <f>IF(M939&gt;0, N939/M939, 0)</f>
        <v>0</v>
      </c>
      <c r="P939" s="14">
        <f>M939-N939</f>
        <v>7000</v>
      </c>
      <c r="Q939" s="14">
        <f>L939*M939</f>
        <v>7000</v>
      </c>
      <c r="R939" s="14">
        <f>L939*N939</f>
        <v>0</v>
      </c>
      <c r="S939" s="14">
        <f>L939*P939</f>
        <v>7000</v>
      </c>
      <c r="T939" s="14"/>
      <c r="U939" s="14">
        <f>L939*T939</f>
        <v>0</v>
      </c>
      <c r="V939" s="14">
        <f>S939-U939</f>
        <v>7000</v>
      </c>
      <c r="W939" s="16">
        <f>IF(S939&gt;0, V939/S939, 0)</f>
        <v>1</v>
      </c>
      <c r="X939" s="7" t="s">
        <v>39</v>
      </c>
      <c r="Y939" s="9" t="s">
        <v>40</v>
      </c>
      <c r="Z939" s="9" t="s">
        <v>41</v>
      </c>
      <c r="AA939" s="9" t="s">
        <v>42</v>
      </c>
      <c r="AB939" s="7" t="s">
        <v>42</v>
      </c>
    </row>
    <row r="940" spans="1:28">
      <c r="A940" s="8">
        <v>933</v>
      </c>
      <c r="B940" s="8" t="s">
        <v>1237</v>
      </c>
      <c r="C940" s="8" t="s">
        <v>1080</v>
      </c>
      <c r="D940" s="8" t="s">
        <v>652</v>
      </c>
      <c r="E940" s="8" t="s">
        <v>33</v>
      </c>
      <c r="F940" s="6" t="s">
        <v>50</v>
      </c>
      <c r="G940" s="6" t="s">
        <v>35</v>
      </c>
      <c r="H940" s="6" t="s">
        <v>36</v>
      </c>
      <c r="I940" s="8">
        <v>134</v>
      </c>
      <c r="J940" s="8" t="s">
        <v>177</v>
      </c>
      <c r="K940" s="8" t="s">
        <v>53</v>
      </c>
      <c r="L940" s="10">
        <v>1</v>
      </c>
      <c r="M940" s="13">
        <v>7000.0</v>
      </c>
      <c r="N940" s="13"/>
      <c r="O940" s="15">
        <f>IF(M940&gt;0, N940/M940, 0)</f>
        <v>0</v>
      </c>
      <c r="P940" s="13">
        <f>M940-N940</f>
        <v>7000</v>
      </c>
      <c r="Q940" s="13">
        <f>L940*M940</f>
        <v>7000</v>
      </c>
      <c r="R940" s="13">
        <f>L940*N940</f>
        <v>0</v>
      </c>
      <c r="S940" s="13">
        <f>L940*P940</f>
        <v>7000</v>
      </c>
      <c r="T940" s="13"/>
      <c r="U940" s="13">
        <f>L940*T940</f>
        <v>0</v>
      </c>
      <c r="V940" s="13">
        <f>S940-U940</f>
        <v>7000</v>
      </c>
      <c r="W940" s="15">
        <f>IF(S940&gt;0, V940/S940, 0)</f>
        <v>1</v>
      </c>
      <c r="X940" s="6" t="s">
        <v>39</v>
      </c>
      <c r="Y940" s="8" t="s">
        <v>40</v>
      </c>
      <c r="Z940" s="8" t="s">
        <v>41</v>
      </c>
      <c r="AA940" s="8" t="s">
        <v>42</v>
      </c>
      <c r="AB940" s="6" t="s">
        <v>42</v>
      </c>
    </row>
    <row r="941" spans="1:28">
      <c r="A941" s="9">
        <v>934</v>
      </c>
      <c r="B941" s="9" t="s">
        <v>1238</v>
      </c>
      <c r="C941" s="9" t="s">
        <v>1080</v>
      </c>
      <c r="D941" s="9" t="s">
        <v>652</v>
      </c>
      <c r="E941" s="9" t="s">
        <v>33</v>
      </c>
      <c r="F941" s="7" t="s">
        <v>50</v>
      </c>
      <c r="G941" s="7" t="s">
        <v>51</v>
      </c>
      <c r="H941" s="7" t="s">
        <v>51</v>
      </c>
      <c r="I941" s="9">
        <v>152</v>
      </c>
      <c r="J941" s="9" t="s">
        <v>402</v>
      </c>
      <c r="K941" s="9" t="s">
        <v>53</v>
      </c>
      <c r="L941" s="11">
        <v>2</v>
      </c>
      <c r="M941" s="14">
        <v>8000.0</v>
      </c>
      <c r="N941" s="14"/>
      <c r="O941" s="16">
        <f>IF(M941&gt;0, N941/M941, 0)</f>
        <v>0</v>
      </c>
      <c r="P941" s="14">
        <f>M941-N941</f>
        <v>8000</v>
      </c>
      <c r="Q941" s="14">
        <f>L941*M941</f>
        <v>16000</v>
      </c>
      <c r="R941" s="14">
        <f>L941*N941</f>
        <v>0</v>
      </c>
      <c r="S941" s="14">
        <f>L941*P941</f>
        <v>16000</v>
      </c>
      <c r="T941" s="14"/>
      <c r="U941" s="14">
        <f>L941*T941</f>
        <v>0</v>
      </c>
      <c r="V941" s="14">
        <f>S941-U941</f>
        <v>16000</v>
      </c>
      <c r="W941" s="16">
        <f>IF(S941&gt;0, V941/S941, 0)</f>
        <v>1</v>
      </c>
      <c r="X941" s="7" t="s">
        <v>39</v>
      </c>
      <c r="Y941" s="9" t="s">
        <v>40</v>
      </c>
      <c r="Z941" s="9" t="s">
        <v>41</v>
      </c>
      <c r="AA941" s="9" t="s">
        <v>42</v>
      </c>
      <c r="AB941" s="7" t="s">
        <v>42</v>
      </c>
    </row>
    <row r="942" spans="1:28">
      <c r="A942" s="8">
        <v>935</v>
      </c>
      <c r="B942" s="8" t="s">
        <v>1239</v>
      </c>
      <c r="C942" s="8" t="s">
        <v>1080</v>
      </c>
      <c r="D942" s="8" t="s">
        <v>652</v>
      </c>
      <c r="E942" s="8" t="s">
        <v>33</v>
      </c>
      <c r="F942" s="6" t="s">
        <v>50</v>
      </c>
      <c r="G942" s="6" t="s">
        <v>35</v>
      </c>
      <c r="H942" s="6" t="s">
        <v>36</v>
      </c>
      <c r="I942" s="8">
        <v>152</v>
      </c>
      <c r="J942" s="8" t="s">
        <v>151</v>
      </c>
      <c r="K942" s="8" t="s">
        <v>53</v>
      </c>
      <c r="L942" s="10">
        <v>2</v>
      </c>
      <c r="M942" s="13">
        <v>7000.0</v>
      </c>
      <c r="N942" s="13"/>
      <c r="O942" s="15">
        <f>IF(M942&gt;0, N942/M942, 0)</f>
        <v>0</v>
      </c>
      <c r="P942" s="13">
        <f>M942-N942</f>
        <v>7000</v>
      </c>
      <c r="Q942" s="13">
        <f>L942*M942</f>
        <v>14000</v>
      </c>
      <c r="R942" s="13">
        <f>L942*N942</f>
        <v>0</v>
      </c>
      <c r="S942" s="13">
        <f>L942*P942</f>
        <v>14000</v>
      </c>
      <c r="T942" s="13"/>
      <c r="U942" s="13">
        <f>L942*T942</f>
        <v>0</v>
      </c>
      <c r="V942" s="13">
        <f>S942-U942</f>
        <v>14000</v>
      </c>
      <c r="W942" s="15">
        <f>IF(S942&gt;0, V942/S942, 0)</f>
        <v>1</v>
      </c>
      <c r="X942" s="6" t="s">
        <v>39</v>
      </c>
      <c r="Y942" s="8" t="s">
        <v>40</v>
      </c>
      <c r="Z942" s="8" t="s">
        <v>41</v>
      </c>
      <c r="AA942" s="8" t="s">
        <v>42</v>
      </c>
      <c r="AB942" s="6" t="s">
        <v>42</v>
      </c>
    </row>
    <row r="943" spans="1:28">
      <c r="A943" s="9">
        <v>936</v>
      </c>
      <c r="B943" s="9" t="s">
        <v>1240</v>
      </c>
      <c r="C943" s="9" t="s">
        <v>1080</v>
      </c>
      <c r="D943" s="9" t="s">
        <v>652</v>
      </c>
      <c r="E943" s="9" t="s">
        <v>33</v>
      </c>
      <c r="F943" s="7" t="s">
        <v>50</v>
      </c>
      <c r="G943" s="7" t="s">
        <v>63</v>
      </c>
      <c r="H943" s="7" t="s">
        <v>148</v>
      </c>
      <c r="I943" s="9">
        <v>152</v>
      </c>
      <c r="J943" s="9" t="s">
        <v>251</v>
      </c>
      <c r="K943" s="9" t="s">
        <v>38</v>
      </c>
      <c r="L943" s="11">
        <v>2</v>
      </c>
      <c r="M943" s="14">
        <v>9000.0</v>
      </c>
      <c r="N943" s="14"/>
      <c r="O943" s="16">
        <f>IF(M943&gt;0, N943/M943, 0)</f>
        <v>0</v>
      </c>
      <c r="P943" s="14">
        <f>M943-N943</f>
        <v>9000</v>
      </c>
      <c r="Q943" s="14">
        <f>L943*M943</f>
        <v>18000</v>
      </c>
      <c r="R943" s="14">
        <f>L943*N943</f>
        <v>0</v>
      </c>
      <c r="S943" s="14">
        <f>L943*P943</f>
        <v>18000</v>
      </c>
      <c r="T943" s="14"/>
      <c r="U943" s="14">
        <f>L943*T943</f>
        <v>0</v>
      </c>
      <c r="V943" s="14">
        <f>S943-U943</f>
        <v>18000</v>
      </c>
      <c r="W943" s="16">
        <f>IF(S943&gt;0, V943/S943, 0)</f>
        <v>1</v>
      </c>
      <c r="X943" s="7" t="s">
        <v>39</v>
      </c>
      <c r="Y943" s="9" t="s">
        <v>40</v>
      </c>
      <c r="Z943" s="9" t="s">
        <v>41</v>
      </c>
      <c r="AA943" s="9" t="s">
        <v>42</v>
      </c>
      <c r="AB943" s="7" t="s">
        <v>42</v>
      </c>
    </row>
    <row r="944" spans="1:28">
      <c r="A944" s="8">
        <v>937</v>
      </c>
      <c r="B944" s="8" t="s">
        <v>1241</v>
      </c>
      <c r="C944" s="8" t="s">
        <v>1080</v>
      </c>
      <c r="D944" s="8" t="s">
        <v>652</v>
      </c>
      <c r="E944" s="8" t="s">
        <v>33</v>
      </c>
      <c r="F944" s="6" t="s">
        <v>50</v>
      </c>
      <c r="G944" s="6" t="s">
        <v>56</v>
      </c>
      <c r="H944" s="6" t="s">
        <v>56</v>
      </c>
      <c r="I944" s="8">
        <v>152</v>
      </c>
      <c r="J944" s="8" t="s">
        <v>311</v>
      </c>
      <c r="K944" s="8" t="s">
        <v>38</v>
      </c>
      <c r="L944" s="10">
        <v>1</v>
      </c>
      <c r="M944" s="13">
        <v>7000.0</v>
      </c>
      <c r="N944" s="13"/>
      <c r="O944" s="15">
        <f>IF(M944&gt;0, N944/M944, 0)</f>
        <v>0</v>
      </c>
      <c r="P944" s="13">
        <f>M944-N944</f>
        <v>7000</v>
      </c>
      <c r="Q944" s="13">
        <f>L944*M944</f>
        <v>7000</v>
      </c>
      <c r="R944" s="13">
        <f>L944*N944</f>
        <v>0</v>
      </c>
      <c r="S944" s="13">
        <f>L944*P944</f>
        <v>7000</v>
      </c>
      <c r="T944" s="13"/>
      <c r="U944" s="13">
        <f>L944*T944</f>
        <v>0</v>
      </c>
      <c r="V944" s="13">
        <f>S944-U944</f>
        <v>7000</v>
      </c>
      <c r="W944" s="15">
        <f>IF(S944&gt;0, V944/S944, 0)</f>
        <v>1</v>
      </c>
      <c r="X944" s="6" t="s">
        <v>39</v>
      </c>
      <c r="Y944" s="8" t="s">
        <v>40</v>
      </c>
      <c r="Z944" s="8" t="s">
        <v>41</v>
      </c>
      <c r="AA944" s="8" t="s">
        <v>42</v>
      </c>
      <c r="AB944" s="6" t="s">
        <v>42</v>
      </c>
    </row>
    <row r="945" spans="1:28">
      <c r="A945" s="9">
        <v>938</v>
      </c>
      <c r="B945" s="9" t="s">
        <v>1242</v>
      </c>
      <c r="C945" s="9" t="s">
        <v>1080</v>
      </c>
      <c r="D945" s="9" t="s">
        <v>652</v>
      </c>
      <c r="E945" s="9" t="s">
        <v>33</v>
      </c>
      <c r="F945" s="7" t="s">
        <v>50</v>
      </c>
      <c r="G945" s="7" t="s">
        <v>51</v>
      </c>
      <c r="H945" s="7" t="s">
        <v>51</v>
      </c>
      <c r="I945" s="9">
        <v>158</v>
      </c>
      <c r="J945" s="9" t="s">
        <v>125</v>
      </c>
      <c r="K945" s="9" t="s">
        <v>53</v>
      </c>
      <c r="L945" s="11">
        <v>1</v>
      </c>
      <c r="M945" s="14">
        <v>8000.0</v>
      </c>
      <c r="N945" s="14"/>
      <c r="O945" s="16">
        <f>IF(M945&gt;0, N945/M945, 0)</f>
        <v>0</v>
      </c>
      <c r="P945" s="14">
        <f>M945-N945</f>
        <v>8000</v>
      </c>
      <c r="Q945" s="14">
        <f>L945*M945</f>
        <v>8000</v>
      </c>
      <c r="R945" s="14">
        <f>L945*N945</f>
        <v>0</v>
      </c>
      <c r="S945" s="14">
        <f>L945*P945</f>
        <v>8000</v>
      </c>
      <c r="T945" s="14"/>
      <c r="U945" s="14">
        <f>L945*T945</f>
        <v>0</v>
      </c>
      <c r="V945" s="14">
        <f>S945-U945</f>
        <v>8000</v>
      </c>
      <c r="W945" s="16">
        <f>IF(S945&gt;0, V945/S945, 0)</f>
        <v>1</v>
      </c>
      <c r="X945" s="7" t="s">
        <v>39</v>
      </c>
      <c r="Y945" s="9" t="s">
        <v>40</v>
      </c>
      <c r="Z945" s="9" t="s">
        <v>41</v>
      </c>
      <c r="AA945" s="9" t="s">
        <v>42</v>
      </c>
      <c r="AB945" s="7" t="s">
        <v>42</v>
      </c>
    </row>
    <row r="946" spans="1:28">
      <c r="A946" s="8">
        <v>939</v>
      </c>
      <c r="B946" s="8" t="s">
        <v>1243</v>
      </c>
      <c r="C946" s="8" t="s">
        <v>1080</v>
      </c>
      <c r="D946" s="8" t="s">
        <v>652</v>
      </c>
      <c r="E946" s="8" t="s">
        <v>33</v>
      </c>
      <c r="F946" s="6" t="s">
        <v>50</v>
      </c>
      <c r="G946" s="6" t="s">
        <v>35</v>
      </c>
      <c r="H946" s="6" t="s">
        <v>36</v>
      </c>
      <c r="I946" s="8">
        <v>158</v>
      </c>
      <c r="J946" s="8" t="s">
        <v>130</v>
      </c>
      <c r="K946" s="8" t="s">
        <v>53</v>
      </c>
      <c r="L946" s="10">
        <v>2</v>
      </c>
      <c r="M946" s="13">
        <v>7000.0</v>
      </c>
      <c r="N946" s="13"/>
      <c r="O946" s="15">
        <f>IF(M946&gt;0, N946/M946, 0)</f>
        <v>0</v>
      </c>
      <c r="P946" s="13">
        <f>M946-N946</f>
        <v>7000</v>
      </c>
      <c r="Q946" s="13">
        <f>L946*M946</f>
        <v>14000</v>
      </c>
      <c r="R946" s="13">
        <f>L946*N946</f>
        <v>0</v>
      </c>
      <c r="S946" s="13">
        <f>L946*P946</f>
        <v>14000</v>
      </c>
      <c r="T946" s="13"/>
      <c r="U946" s="13">
        <f>L946*T946</f>
        <v>0</v>
      </c>
      <c r="V946" s="13">
        <f>S946-U946</f>
        <v>14000</v>
      </c>
      <c r="W946" s="15">
        <f>IF(S946&gt;0, V946/S946, 0)</f>
        <v>1</v>
      </c>
      <c r="X946" s="6" t="s">
        <v>39</v>
      </c>
      <c r="Y946" s="8" t="s">
        <v>40</v>
      </c>
      <c r="Z946" s="8" t="s">
        <v>41</v>
      </c>
      <c r="AA946" s="8" t="s">
        <v>42</v>
      </c>
      <c r="AB946" s="6" t="s">
        <v>42</v>
      </c>
    </row>
    <row r="947" spans="1:28">
      <c r="A947" s="9">
        <v>940</v>
      </c>
      <c r="B947" s="9" t="s">
        <v>1244</v>
      </c>
      <c r="C947" s="9" t="s">
        <v>1080</v>
      </c>
      <c r="D947" s="9" t="s">
        <v>652</v>
      </c>
      <c r="E947" s="9" t="s">
        <v>33</v>
      </c>
      <c r="F947" s="7" t="s">
        <v>50</v>
      </c>
      <c r="G947" s="7" t="s">
        <v>51</v>
      </c>
      <c r="H947" s="7" t="s">
        <v>51</v>
      </c>
      <c r="I947" s="9">
        <v>134</v>
      </c>
      <c r="J947" s="9" t="s">
        <v>175</v>
      </c>
      <c r="K947" s="9" t="s">
        <v>53</v>
      </c>
      <c r="L947" s="11">
        <v>1</v>
      </c>
      <c r="M947" s="14">
        <v>8000.0</v>
      </c>
      <c r="N947" s="14"/>
      <c r="O947" s="16">
        <f>IF(M947&gt;0, N947/M947, 0)</f>
        <v>0</v>
      </c>
      <c r="P947" s="14">
        <f>M947-N947</f>
        <v>8000</v>
      </c>
      <c r="Q947" s="14">
        <f>L947*M947</f>
        <v>8000</v>
      </c>
      <c r="R947" s="14">
        <f>L947*N947</f>
        <v>0</v>
      </c>
      <c r="S947" s="14">
        <f>L947*P947</f>
        <v>8000</v>
      </c>
      <c r="T947" s="14"/>
      <c r="U947" s="14">
        <f>L947*T947</f>
        <v>0</v>
      </c>
      <c r="V947" s="14">
        <f>S947-U947</f>
        <v>8000</v>
      </c>
      <c r="W947" s="16">
        <f>IF(S947&gt;0, V947/S947, 0)</f>
        <v>1</v>
      </c>
      <c r="X947" s="7" t="s">
        <v>39</v>
      </c>
      <c r="Y947" s="9" t="s">
        <v>40</v>
      </c>
      <c r="Z947" s="9" t="s">
        <v>41</v>
      </c>
      <c r="AA947" s="9" t="s">
        <v>42</v>
      </c>
      <c r="AB947" s="7" t="s">
        <v>42</v>
      </c>
    </row>
    <row r="948" spans="1:28">
      <c r="A948" s="8">
        <v>941</v>
      </c>
      <c r="B948" s="8" t="s">
        <v>1245</v>
      </c>
      <c r="C948" s="8" t="s">
        <v>1080</v>
      </c>
      <c r="D948" s="8" t="s">
        <v>652</v>
      </c>
      <c r="E948" s="8" t="s">
        <v>33</v>
      </c>
      <c r="F948" s="6" t="s">
        <v>50</v>
      </c>
      <c r="G948" s="6" t="s">
        <v>35</v>
      </c>
      <c r="H948" s="6" t="s">
        <v>36</v>
      </c>
      <c r="I948" s="8">
        <v>134</v>
      </c>
      <c r="J948" s="8" t="s">
        <v>177</v>
      </c>
      <c r="K948" s="8" t="s">
        <v>53</v>
      </c>
      <c r="L948" s="10">
        <v>2</v>
      </c>
      <c r="M948" s="13">
        <v>7000.0</v>
      </c>
      <c r="N948" s="13"/>
      <c r="O948" s="15">
        <f>IF(M948&gt;0, N948/M948, 0)</f>
        <v>0</v>
      </c>
      <c r="P948" s="13">
        <f>M948-N948</f>
        <v>7000</v>
      </c>
      <c r="Q948" s="13">
        <f>L948*M948</f>
        <v>14000</v>
      </c>
      <c r="R948" s="13">
        <f>L948*N948</f>
        <v>0</v>
      </c>
      <c r="S948" s="13">
        <f>L948*P948</f>
        <v>14000</v>
      </c>
      <c r="T948" s="13"/>
      <c r="U948" s="13">
        <f>L948*T948</f>
        <v>0</v>
      </c>
      <c r="V948" s="13">
        <f>S948-U948</f>
        <v>14000</v>
      </c>
      <c r="W948" s="15">
        <f>IF(S948&gt;0, V948/S948, 0)</f>
        <v>1</v>
      </c>
      <c r="X948" s="6" t="s">
        <v>39</v>
      </c>
      <c r="Y948" s="8" t="s">
        <v>40</v>
      </c>
      <c r="Z948" s="8" t="s">
        <v>41</v>
      </c>
      <c r="AA948" s="8" t="s">
        <v>42</v>
      </c>
      <c r="AB948" s="6" t="s">
        <v>42</v>
      </c>
    </row>
    <row r="949" spans="1:28">
      <c r="A949" s="9">
        <v>942</v>
      </c>
      <c r="B949" s="9" t="s">
        <v>1246</v>
      </c>
      <c r="C949" s="9" t="s">
        <v>1080</v>
      </c>
      <c r="D949" s="9" t="s">
        <v>652</v>
      </c>
      <c r="E949" s="9" t="s">
        <v>68</v>
      </c>
      <c r="F949" s="7" t="s">
        <v>50</v>
      </c>
      <c r="G949" s="7" t="s">
        <v>69</v>
      </c>
      <c r="H949" s="7" t="s">
        <v>69</v>
      </c>
      <c r="I949" s="9">
        <v>158</v>
      </c>
      <c r="J949" s="9" t="s">
        <v>108</v>
      </c>
      <c r="K949" s="9" t="s">
        <v>38</v>
      </c>
      <c r="L949" s="11">
        <v>1</v>
      </c>
      <c r="M949" s="14">
        <v>17000.0</v>
      </c>
      <c r="N949" s="14"/>
      <c r="O949" s="16">
        <f>IF(M949&gt;0, N949/M949, 0)</f>
        <v>0</v>
      </c>
      <c r="P949" s="14">
        <f>M949-N949</f>
        <v>17000</v>
      </c>
      <c r="Q949" s="14">
        <f>L949*M949</f>
        <v>17000</v>
      </c>
      <c r="R949" s="14">
        <f>L949*N949</f>
        <v>0</v>
      </c>
      <c r="S949" s="14">
        <f>L949*P949</f>
        <v>17000</v>
      </c>
      <c r="T949" s="14"/>
      <c r="U949" s="14">
        <f>L949*T949</f>
        <v>0</v>
      </c>
      <c r="V949" s="14">
        <f>S949-U949</f>
        <v>17000</v>
      </c>
      <c r="W949" s="16">
        <f>IF(S949&gt;0, V949/S949, 0)</f>
        <v>1</v>
      </c>
      <c r="X949" s="7" t="s">
        <v>39</v>
      </c>
      <c r="Y949" s="9" t="s">
        <v>40</v>
      </c>
      <c r="Z949" s="9" t="s">
        <v>1233</v>
      </c>
      <c r="AA949" s="9" t="s">
        <v>42</v>
      </c>
      <c r="AB949" s="7" t="s">
        <v>42</v>
      </c>
    </row>
    <row r="950" spans="1:28">
      <c r="A950" s="8">
        <v>943</v>
      </c>
      <c r="B950" s="8" t="s">
        <v>1247</v>
      </c>
      <c r="C950" s="8" t="s">
        <v>1080</v>
      </c>
      <c r="D950" s="8" t="s">
        <v>652</v>
      </c>
      <c r="E950" s="8" t="s">
        <v>68</v>
      </c>
      <c r="F950" s="6" t="s">
        <v>50</v>
      </c>
      <c r="G950" s="6" t="s">
        <v>63</v>
      </c>
      <c r="H950" s="6" t="s">
        <v>148</v>
      </c>
      <c r="I950" s="8">
        <v>134</v>
      </c>
      <c r="J950" s="8" t="s">
        <v>246</v>
      </c>
      <c r="K950" s="8" t="s">
        <v>38</v>
      </c>
      <c r="L950" s="10">
        <v>2</v>
      </c>
      <c r="M950" s="13">
        <v>10000.0</v>
      </c>
      <c r="N950" s="13"/>
      <c r="O950" s="15">
        <f>IF(M950&gt;0, N950/M950, 0)</f>
        <v>0</v>
      </c>
      <c r="P950" s="13">
        <f>M950-N950</f>
        <v>10000</v>
      </c>
      <c r="Q950" s="13">
        <f>L950*M950</f>
        <v>20000</v>
      </c>
      <c r="R950" s="13">
        <f>L950*N950</f>
        <v>0</v>
      </c>
      <c r="S950" s="13">
        <f>L950*P950</f>
        <v>20000</v>
      </c>
      <c r="T950" s="13"/>
      <c r="U950" s="13">
        <f>L950*T950</f>
        <v>0</v>
      </c>
      <c r="V950" s="13">
        <f>S950-U950</f>
        <v>20000</v>
      </c>
      <c r="W950" s="15">
        <f>IF(S950&gt;0, V950/S950, 0)</f>
        <v>1</v>
      </c>
      <c r="X950" s="6" t="s">
        <v>39</v>
      </c>
      <c r="Y950" s="8" t="s">
        <v>40</v>
      </c>
      <c r="Z950" s="8" t="s">
        <v>1233</v>
      </c>
      <c r="AA950" s="8" t="s">
        <v>42</v>
      </c>
      <c r="AB950" s="6" t="s">
        <v>42</v>
      </c>
    </row>
    <row r="951" spans="1:28">
      <c r="A951" s="9">
        <v>944</v>
      </c>
      <c r="B951" s="9" t="s">
        <v>1248</v>
      </c>
      <c r="C951" s="9" t="s">
        <v>1080</v>
      </c>
      <c r="D951" s="9" t="s">
        <v>652</v>
      </c>
      <c r="E951" s="9" t="s">
        <v>68</v>
      </c>
      <c r="F951" s="7" t="s">
        <v>50</v>
      </c>
      <c r="G951" s="7" t="s">
        <v>56</v>
      </c>
      <c r="H951" s="7" t="s">
        <v>56</v>
      </c>
      <c r="I951" s="9">
        <v>134</v>
      </c>
      <c r="J951" s="9" t="s">
        <v>281</v>
      </c>
      <c r="K951" s="9" t="s">
        <v>38</v>
      </c>
      <c r="L951" s="11">
        <v>1</v>
      </c>
      <c r="M951" s="14">
        <v>8000.0</v>
      </c>
      <c r="N951" s="14"/>
      <c r="O951" s="16">
        <f>IF(M951&gt;0, N951/M951, 0)</f>
        <v>0</v>
      </c>
      <c r="P951" s="14">
        <f>M951-N951</f>
        <v>8000</v>
      </c>
      <c r="Q951" s="14">
        <f>L951*M951</f>
        <v>8000</v>
      </c>
      <c r="R951" s="14">
        <f>L951*N951</f>
        <v>0</v>
      </c>
      <c r="S951" s="14">
        <f>L951*P951</f>
        <v>8000</v>
      </c>
      <c r="T951" s="14"/>
      <c r="U951" s="14">
        <f>L951*T951</f>
        <v>0</v>
      </c>
      <c r="V951" s="14">
        <f>S951-U951</f>
        <v>8000</v>
      </c>
      <c r="W951" s="16">
        <f>IF(S951&gt;0, V951/S951, 0)</f>
        <v>1</v>
      </c>
      <c r="X951" s="7" t="s">
        <v>39</v>
      </c>
      <c r="Y951" s="9" t="s">
        <v>40</v>
      </c>
      <c r="Z951" s="9" t="s">
        <v>1233</v>
      </c>
      <c r="AA951" s="9" t="s">
        <v>42</v>
      </c>
      <c r="AB951" s="7" t="s">
        <v>42</v>
      </c>
    </row>
    <row r="952" spans="1:28">
      <c r="A952" s="8">
        <v>945</v>
      </c>
      <c r="B952" s="8" t="s">
        <v>1249</v>
      </c>
      <c r="C952" s="8" t="s">
        <v>1080</v>
      </c>
      <c r="D952" s="8" t="s">
        <v>652</v>
      </c>
      <c r="E952" s="8" t="s">
        <v>68</v>
      </c>
      <c r="F952" s="6" t="s">
        <v>50</v>
      </c>
      <c r="G952" s="6" t="s">
        <v>63</v>
      </c>
      <c r="H952" s="6" t="s">
        <v>148</v>
      </c>
      <c r="I952" s="8">
        <v>128</v>
      </c>
      <c r="J952" s="8" t="s">
        <v>165</v>
      </c>
      <c r="K952" s="8" t="s">
        <v>38</v>
      </c>
      <c r="L952" s="10">
        <v>2</v>
      </c>
      <c r="M952" s="13">
        <v>10000.0</v>
      </c>
      <c r="N952" s="13"/>
      <c r="O952" s="15">
        <f>IF(M952&gt;0, N952/M952, 0)</f>
        <v>0</v>
      </c>
      <c r="P952" s="13">
        <f>M952-N952</f>
        <v>10000</v>
      </c>
      <c r="Q952" s="13">
        <f>L952*M952</f>
        <v>20000</v>
      </c>
      <c r="R952" s="13">
        <f>L952*N952</f>
        <v>0</v>
      </c>
      <c r="S952" s="13">
        <f>L952*P952</f>
        <v>20000</v>
      </c>
      <c r="T952" s="13"/>
      <c r="U952" s="13">
        <f>L952*T952</f>
        <v>0</v>
      </c>
      <c r="V952" s="13">
        <f>S952-U952</f>
        <v>20000</v>
      </c>
      <c r="W952" s="15">
        <f>IF(S952&gt;0, V952/S952, 0)</f>
        <v>1</v>
      </c>
      <c r="X952" s="6" t="s">
        <v>39</v>
      </c>
      <c r="Y952" s="8" t="s">
        <v>40</v>
      </c>
      <c r="Z952" s="8" t="s">
        <v>71</v>
      </c>
      <c r="AA952" s="8" t="s">
        <v>42</v>
      </c>
      <c r="AB952" s="6" t="s">
        <v>42</v>
      </c>
    </row>
    <row r="953" spans="1:28">
      <c r="A953" s="9">
        <v>946</v>
      </c>
      <c r="B953" s="9" t="s">
        <v>1250</v>
      </c>
      <c r="C953" s="9" t="s">
        <v>1080</v>
      </c>
      <c r="D953" s="9" t="s">
        <v>652</v>
      </c>
      <c r="E953" s="9" t="s">
        <v>33</v>
      </c>
      <c r="F953" s="7" t="s">
        <v>50</v>
      </c>
      <c r="G953" s="7" t="s">
        <v>69</v>
      </c>
      <c r="H953" s="7" t="s">
        <v>69</v>
      </c>
      <c r="I953" s="9">
        <v>128</v>
      </c>
      <c r="J953" s="9" t="s">
        <v>110</v>
      </c>
      <c r="K953" s="9" t="s">
        <v>38</v>
      </c>
      <c r="L953" s="11">
        <v>2</v>
      </c>
      <c r="M953" s="14">
        <v>16000.0</v>
      </c>
      <c r="N953" s="14"/>
      <c r="O953" s="16">
        <f>IF(M953&gt;0, N953/M953, 0)</f>
        <v>0</v>
      </c>
      <c r="P953" s="14">
        <f>M953-N953</f>
        <v>16000</v>
      </c>
      <c r="Q953" s="14">
        <f>L953*M953</f>
        <v>32000</v>
      </c>
      <c r="R953" s="14">
        <f>L953*N953</f>
        <v>0</v>
      </c>
      <c r="S953" s="14">
        <f>L953*P953</f>
        <v>32000</v>
      </c>
      <c r="T953" s="14"/>
      <c r="U953" s="14">
        <f>L953*T953</f>
        <v>0</v>
      </c>
      <c r="V953" s="14">
        <f>S953-U953</f>
        <v>32000</v>
      </c>
      <c r="W953" s="16">
        <f>IF(S953&gt;0, V953/S953, 0)</f>
        <v>1</v>
      </c>
      <c r="X953" s="7" t="s">
        <v>39</v>
      </c>
      <c r="Y953" s="9" t="s">
        <v>40</v>
      </c>
      <c r="Z953" s="9" t="s">
        <v>41</v>
      </c>
      <c r="AA953" s="9" t="s">
        <v>42</v>
      </c>
      <c r="AB953" s="7" t="s">
        <v>42</v>
      </c>
    </row>
    <row r="954" spans="1:28">
      <c r="A954" s="8">
        <v>947</v>
      </c>
      <c r="B954" s="8" t="s">
        <v>1251</v>
      </c>
      <c r="C954" s="8" t="s">
        <v>1080</v>
      </c>
      <c r="D954" s="8" t="s">
        <v>652</v>
      </c>
      <c r="E954" s="8" t="s">
        <v>33</v>
      </c>
      <c r="F954" s="6" t="s">
        <v>50</v>
      </c>
      <c r="G954" s="6" t="s">
        <v>35</v>
      </c>
      <c r="H954" s="6" t="s">
        <v>36</v>
      </c>
      <c r="I954" s="8">
        <v>128</v>
      </c>
      <c r="J954" s="8" t="s">
        <v>156</v>
      </c>
      <c r="K954" s="8" t="s">
        <v>53</v>
      </c>
      <c r="L954" s="10">
        <v>1</v>
      </c>
      <c r="M954" s="13">
        <v>7000.0</v>
      </c>
      <c r="N954" s="13"/>
      <c r="O954" s="15">
        <f>IF(M954&gt;0, N954/M954, 0)</f>
        <v>0</v>
      </c>
      <c r="P954" s="13">
        <f>M954-N954</f>
        <v>7000</v>
      </c>
      <c r="Q954" s="13">
        <f>L954*M954</f>
        <v>7000</v>
      </c>
      <c r="R954" s="13">
        <f>L954*N954</f>
        <v>0</v>
      </c>
      <c r="S954" s="13">
        <f>L954*P954</f>
        <v>7000</v>
      </c>
      <c r="T954" s="13"/>
      <c r="U954" s="13">
        <f>L954*T954</f>
        <v>0</v>
      </c>
      <c r="V954" s="13">
        <f>S954-U954</f>
        <v>7000</v>
      </c>
      <c r="W954" s="15">
        <f>IF(S954&gt;0, V954/S954, 0)</f>
        <v>1</v>
      </c>
      <c r="X954" s="6" t="s">
        <v>39</v>
      </c>
      <c r="Y954" s="8" t="s">
        <v>40</v>
      </c>
      <c r="Z954" s="8" t="s">
        <v>41</v>
      </c>
      <c r="AA954" s="8" t="s">
        <v>42</v>
      </c>
      <c r="AB954" s="6" t="s">
        <v>42</v>
      </c>
    </row>
    <row r="955" spans="1:28">
      <c r="A955" s="9">
        <v>948</v>
      </c>
      <c r="B955" s="9" t="s">
        <v>1252</v>
      </c>
      <c r="C955" s="9" t="s">
        <v>1080</v>
      </c>
      <c r="D955" s="9" t="s">
        <v>652</v>
      </c>
      <c r="E955" s="9" t="s">
        <v>33</v>
      </c>
      <c r="F955" s="7" t="s">
        <v>50</v>
      </c>
      <c r="G955" s="7" t="s">
        <v>63</v>
      </c>
      <c r="H955" s="7" t="s">
        <v>148</v>
      </c>
      <c r="I955" s="9">
        <v>116</v>
      </c>
      <c r="J955" s="9" t="s">
        <v>1253</v>
      </c>
      <c r="K955" s="9" t="s">
        <v>38</v>
      </c>
      <c r="L955" s="11">
        <v>1</v>
      </c>
      <c r="M955" s="14">
        <v>9000.0</v>
      </c>
      <c r="N955" s="14"/>
      <c r="O955" s="16">
        <f>IF(M955&gt;0, N955/M955, 0)</f>
        <v>0</v>
      </c>
      <c r="P955" s="14">
        <f>M955-N955</f>
        <v>9000</v>
      </c>
      <c r="Q955" s="14">
        <f>L955*M955</f>
        <v>9000</v>
      </c>
      <c r="R955" s="14">
        <f>L955*N955</f>
        <v>0</v>
      </c>
      <c r="S955" s="14">
        <f>L955*P955</f>
        <v>9000</v>
      </c>
      <c r="T955" s="14"/>
      <c r="U955" s="14">
        <f>L955*T955</f>
        <v>0</v>
      </c>
      <c r="V955" s="14">
        <f>S955-U955</f>
        <v>9000</v>
      </c>
      <c r="W955" s="16">
        <f>IF(S955&gt;0, V955/S955, 0)</f>
        <v>1</v>
      </c>
      <c r="X955" s="7" t="s">
        <v>39</v>
      </c>
      <c r="Y955" s="9" t="s">
        <v>40</v>
      </c>
      <c r="Z955" s="9" t="s">
        <v>41</v>
      </c>
      <c r="AA955" s="9" t="s">
        <v>42</v>
      </c>
      <c r="AB955" s="7" t="s">
        <v>42</v>
      </c>
    </row>
    <row r="956" spans="1:28">
      <c r="A956" s="8">
        <v>949</v>
      </c>
      <c r="B956" s="8" t="s">
        <v>1254</v>
      </c>
      <c r="C956" s="8" t="s">
        <v>1080</v>
      </c>
      <c r="D956" s="8" t="s">
        <v>652</v>
      </c>
      <c r="E956" s="8" t="s">
        <v>68</v>
      </c>
      <c r="F956" s="6" t="s">
        <v>34</v>
      </c>
      <c r="G956" s="6" t="s">
        <v>63</v>
      </c>
      <c r="H956" s="6" t="s">
        <v>148</v>
      </c>
      <c r="I956" s="8">
        <v>158</v>
      </c>
      <c r="J956" s="8" t="s">
        <v>217</v>
      </c>
      <c r="K956" s="8" t="s">
        <v>38</v>
      </c>
      <c r="L956" s="10">
        <v>2</v>
      </c>
      <c r="M956" s="13">
        <v>11000.0</v>
      </c>
      <c r="N956" s="13"/>
      <c r="O956" s="15">
        <f>IF(M956&gt;0, N956/M956, 0)</f>
        <v>0</v>
      </c>
      <c r="P956" s="13">
        <f>M956-N956</f>
        <v>11000</v>
      </c>
      <c r="Q956" s="13">
        <f>L956*M956</f>
        <v>22000</v>
      </c>
      <c r="R956" s="13">
        <f>L956*N956</f>
        <v>0</v>
      </c>
      <c r="S956" s="13">
        <f>L956*P956</f>
        <v>22000</v>
      </c>
      <c r="T956" s="13"/>
      <c r="U956" s="13">
        <f>L956*T956</f>
        <v>0</v>
      </c>
      <c r="V956" s="13">
        <f>S956-U956</f>
        <v>22000</v>
      </c>
      <c r="W956" s="15">
        <f>IF(S956&gt;0, V956/S956, 0)</f>
        <v>1</v>
      </c>
      <c r="X956" s="6" t="s">
        <v>39</v>
      </c>
      <c r="Y956" s="8" t="s">
        <v>40</v>
      </c>
      <c r="Z956" s="8" t="s">
        <v>71</v>
      </c>
      <c r="AA956" s="8" t="s">
        <v>42</v>
      </c>
      <c r="AB956" s="6" t="s">
        <v>42</v>
      </c>
    </row>
    <row r="957" spans="1:28">
      <c r="A957" s="9">
        <v>950</v>
      </c>
      <c r="B957" s="9" t="s">
        <v>1255</v>
      </c>
      <c r="C957" s="9" t="s">
        <v>1080</v>
      </c>
      <c r="D957" s="9" t="s">
        <v>652</v>
      </c>
      <c r="E957" s="9" t="s">
        <v>33</v>
      </c>
      <c r="F957" s="7" t="s">
        <v>34</v>
      </c>
      <c r="G957" s="7" t="s">
        <v>51</v>
      </c>
      <c r="H957" s="7" t="s">
        <v>51</v>
      </c>
      <c r="I957" s="9">
        <v>164</v>
      </c>
      <c r="J957" s="9" t="s">
        <v>61</v>
      </c>
      <c r="K957" s="9" t="s">
        <v>38</v>
      </c>
      <c r="L957" s="11">
        <v>1</v>
      </c>
      <c r="M957" s="14">
        <v>8500.0</v>
      </c>
      <c r="N957" s="14"/>
      <c r="O957" s="16">
        <f>IF(M957&gt;0, N957/M957, 0)</f>
        <v>0</v>
      </c>
      <c r="P957" s="14">
        <f>M957-N957</f>
        <v>8500</v>
      </c>
      <c r="Q957" s="14">
        <f>L957*M957</f>
        <v>8500</v>
      </c>
      <c r="R957" s="14">
        <f>L957*N957</f>
        <v>0</v>
      </c>
      <c r="S957" s="14">
        <f>L957*P957</f>
        <v>8500</v>
      </c>
      <c r="T957" s="14"/>
      <c r="U957" s="14">
        <f>L957*T957</f>
        <v>0</v>
      </c>
      <c r="V957" s="14">
        <f>S957-U957</f>
        <v>8500</v>
      </c>
      <c r="W957" s="16">
        <f>IF(S957&gt;0, V957/S957, 0)</f>
        <v>1</v>
      </c>
      <c r="X957" s="7" t="s">
        <v>39</v>
      </c>
      <c r="Y957" s="9" t="s">
        <v>40</v>
      </c>
      <c r="Z957" s="9" t="s">
        <v>41</v>
      </c>
      <c r="AA957" s="9" t="s">
        <v>42</v>
      </c>
      <c r="AB957" s="7" t="s">
        <v>42</v>
      </c>
    </row>
    <row r="958" spans="1:28">
      <c r="A958" s="8">
        <v>951</v>
      </c>
      <c r="B958" s="8" t="s">
        <v>1256</v>
      </c>
      <c r="C958" s="8" t="s">
        <v>1080</v>
      </c>
      <c r="D958" s="8" t="s">
        <v>652</v>
      </c>
      <c r="E958" s="8" t="s">
        <v>33</v>
      </c>
      <c r="F958" s="6" t="s">
        <v>34</v>
      </c>
      <c r="G958" s="6" t="s">
        <v>45</v>
      </c>
      <c r="H958" s="6" t="s">
        <v>46</v>
      </c>
      <c r="I958" s="8">
        <v>158</v>
      </c>
      <c r="J958" s="8" t="s">
        <v>47</v>
      </c>
      <c r="K958" s="8" t="s">
        <v>38</v>
      </c>
      <c r="L958" s="10">
        <v>1</v>
      </c>
      <c r="M958" s="13">
        <v>18000.0</v>
      </c>
      <c r="N958" s="13"/>
      <c r="O958" s="15">
        <f>IF(M958&gt;0, N958/M958, 0)</f>
        <v>0</v>
      </c>
      <c r="P958" s="13">
        <f>M958-N958</f>
        <v>18000</v>
      </c>
      <c r="Q958" s="13">
        <f>L958*M958</f>
        <v>18000</v>
      </c>
      <c r="R958" s="13">
        <f>L958*N958</f>
        <v>0</v>
      </c>
      <c r="S958" s="13">
        <f>L958*P958</f>
        <v>18000</v>
      </c>
      <c r="T958" s="13"/>
      <c r="U958" s="13">
        <f>L958*T958</f>
        <v>0</v>
      </c>
      <c r="V958" s="13">
        <f>S958-U958</f>
        <v>18000</v>
      </c>
      <c r="W958" s="15">
        <f>IF(S958&gt;0, V958/S958, 0)</f>
        <v>1</v>
      </c>
      <c r="X958" s="6" t="s">
        <v>39</v>
      </c>
      <c r="Y958" s="8" t="s">
        <v>40</v>
      </c>
      <c r="Z958" s="8" t="s">
        <v>41</v>
      </c>
      <c r="AA958" s="8" t="s">
        <v>42</v>
      </c>
      <c r="AB958" s="6" t="s">
        <v>42</v>
      </c>
    </row>
    <row r="959" spans="1:28">
      <c r="A959" s="9">
        <v>952</v>
      </c>
      <c r="B959" s="9" t="s">
        <v>1257</v>
      </c>
      <c r="C959" s="9" t="s">
        <v>1080</v>
      </c>
      <c r="D959" s="9" t="s">
        <v>652</v>
      </c>
      <c r="E959" s="9" t="s">
        <v>33</v>
      </c>
      <c r="F959" s="7" t="s">
        <v>34</v>
      </c>
      <c r="G959" s="7" t="s">
        <v>35</v>
      </c>
      <c r="H959" s="7" t="s">
        <v>36</v>
      </c>
      <c r="I959" s="9">
        <v>164</v>
      </c>
      <c r="J959" s="9" t="s">
        <v>77</v>
      </c>
      <c r="K959" s="9" t="s">
        <v>38</v>
      </c>
      <c r="L959" s="11">
        <v>1</v>
      </c>
      <c r="M959" s="14">
        <v>8000.0</v>
      </c>
      <c r="N959" s="14"/>
      <c r="O959" s="16">
        <f>IF(M959&gt;0, N959/M959, 0)</f>
        <v>0</v>
      </c>
      <c r="P959" s="14">
        <f>M959-N959</f>
        <v>8000</v>
      </c>
      <c r="Q959" s="14">
        <f>L959*M959</f>
        <v>8000</v>
      </c>
      <c r="R959" s="14">
        <f>L959*N959</f>
        <v>0</v>
      </c>
      <c r="S959" s="14">
        <f>L959*P959</f>
        <v>8000</v>
      </c>
      <c r="T959" s="14"/>
      <c r="U959" s="14">
        <f>L959*T959</f>
        <v>0</v>
      </c>
      <c r="V959" s="14">
        <f>S959-U959</f>
        <v>8000</v>
      </c>
      <c r="W959" s="16">
        <f>IF(S959&gt;0, V959/S959, 0)</f>
        <v>1</v>
      </c>
      <c r="X959" s="7" t="s">
        <v>39</v>
      </c>
      <c r="Y959" s="9" t="s">
        <v>40</v>
      </c>
      <c r="Z959" s="9" t="s">
        <v>41</v>
      </c>
      <c r="AA959" s="9" t="s">
        <v>42</v>
      </c>
      <c r="AB959" s="7" t="s">
        <v>42</v>
      </c>
    </row>
    <row r="960" spans="1:28">
      <c r="A960" s="8">
        <v>953</v>
      </c>
      <c r="B960" s="8" t="s">
        <v>1258</v>
      </c>
      <c r="C960" s="8" t="s">
        <v>1080</v>
      </c>
      <c r="D960" s="8" t="s">
        <v>652</v>
      </c>
      <c r="E960" s="8" t="s">
        <v>68</v>
      </c>
      <c r="F960" s="6" t="s">
        <v>34</v>
      </c>
      <c r="G960" s="6" t="s">
        <v>63</v>
      </c>
      <c r="H960" s="6" t="s">
        <v>148</v>
      </c>
      <c r="I960" s="8">
        <v>164</v>
      </c>
      <c r="J960" s="8" t="s">
        <v>365</v>
      </c>
      <c r="K960" s="8" t="s">
        <v>38</v>
      </c>
      <c r="L960" s="10">
        <v>2</v>
      </c>
      <c r="M960" s="13">
        <v>11000.0</v>
      </c>
      <c r="N960" s="13"/>
      <c r="O960" s="15">
        <f>IF(M960&gt;0, N960/M960, 0)</f>
        <v>0</v>
      </c>
      <c r="P960" s="13">
        <f>M960-N960</f>
        <v>11000</v>
      </c>
      <c r="Q960" s="13">
        <f>L960*M960</f>
        <v>22000</v>
      </c>
      <c r="R960" s="13">
        <f>L960*N960</f>
        <v>0</v>
      </c>
      <c r="S960" s="13">
        <f>L960*P960</f>
        <v>22000</v>
      </c>
      <c r="T960" s="13"/>
      <c r="U960" s="13">
        <f>L960*T960</f>
        <v>0</v>
      </c>
      <c r="V960" s="13">
        <f>S960-U960</f>
        <v>22000</v>
      </c>
      <c r="W960" s="15">
        <f>IF(S960&gt;0, V960/S960, 0)</f>
        <v>1</v>
      </c>
      <c r="X960" s="6" t="s">
        <v>39</v>
      </c>
      <c r="Y960" s="8" t="s">
        <v>40</v>
      </c>
      <c r="Z960" s="8" t="s">
        <v>71</v>
      </c>
      <c r="AA960" s="8" t="s">
        <v>42</v>
      </c>
      <c r="AB960" s="6" t="s">
        <v>42</v>
      </c>
    </row>
    <row r="961" spans="1:28">
      <c r="A961" s="9">
        <v>954</v>
      </c>
      <c r="B961" s="9" t="s">
        <v>1259</v>
      </c>
      <c r="C961" s="9" t="s">
        <v>1080</v>
      </c>
      <c r="D961" s="9" t="s">
        <v>652</v>
      </c>
      <c r="E961" s="9" t="s">
        <v>68</v>
      </c>
      <c r="F961" s="7" t="s">
        <v>34</v>
      </c>
      <c r="G961" s="7" t="s">
        <v>69</v>
      </c>
      <c r="H961" s="7" t="s">
        <v>69</v>
      </c>
      <c r="I961" s="9">
        <v>164</v>
      </c>
      <c r="J961" s="9" t="s">
        <v>70</v>
      </c>
      <c r="K961" s="9" t="s">
        <v>38</v>
      </c>
      <c r="L961" s="11">
        <v>1</v>
      </c>
      <c r="M961" s="14">
        <v>18000.0</v>
      </c>
      <c r="N961" s="14"/>
      <c r="O961" s="16">
        <f>IF(M961&gt;0, N961/M961, 0)</f>
        <v>0</v>
      </c>
      <c r="P961" s="14">
        <f>M961-N961</f>
        <v>18000</v>
      </c>
      <c r="Q961" s="14">
        <f>L961*M961</f>
        <v>18000</v>
      </c>
      <c r="R961" s="14">
        <f>L961*N961</f>
        <v>0</v>
      </c>
      <c r="S961" s="14">
        <f>L961*P961</f>
        <v>18000</v>
      </c>
      <c r="T961" s="14"/>
      <c r="U961" s="14">
        <f>L961*T961</f>
        <v>0</v>
      </c>
      <c r="V961" s="14">
        <f>S961-U961</f>
        <v>18000</v>
      </c>
      <c r="W961" s="16">
        <f>IF(S961&gt;0, V961/S961, 0)</f>
        <v>1</v>
      </c>
      <c r="X961" s="7" t="s">
        <v>39</v>
      </c>
      <c r="Y961" s="9" t="s">
        <v>40</v>
      </c>
      <c r="Z961" s="9" t="s">
        <v>71</v>
      </c>
      <c r="AA961" s="9" t="s">
        <v>42</v>
      </c>
      <c r="AB961" s="7" t="s">
        <v>42</v>
      </c>
    </row>
    <row r="962" spans="1:28">
      <c r="A962" s="8">
        <v>955</v>
      </c>
      <c r="B962" s="8" t="s">
        <v>1260</v>
      </c>
      <c r="C962" s="8" t="s">
        <v>1080</v>
      </c>
      <c r="D962" s="8" t="s">
        <v>652</v>
      </c>
      <c r="E962" s="8" t="s">
        <v>33</v>
      </c>
      <c r="F962" s="6" t="s">
        <v>34</v>
      </c>
      <c r="G962" s="6" t="s">
        <v>51</v>
      </c>
      <c r="H962" s="6" t="s">
        <v>51</v>
      </c>
      <c r="I962" s="8">
        <v>164</v>
      </c>
      <c r="J962" s="8" t="s">
        <v>61</v>
      </c>
      <c r="K962" s="8" t="s">
        <v>38</v>
      </c>
      <c r="L962" s="10">
        <v>1</v>
      </c>
      <c r="M962" s="13">
        <v>8500.0</v>
      </c>
      <c r="N962" s="13"/>
      <c r="O962" s="15">
        <f>IF(M962&gt;0, N962/M962, 0)</f>
        <v>0</v>
      </c>
      <c r="P962" s="13">
        <f>M962-N962</f>
        <v>8500</v>
      </c>
      <c r="Q962" s="13">
        <f>L962*M962</f>
        <v>8500</v>
      </c>
      <c r="R962" s="13">
        <f>L962*N962</f>
        <v>0</v>
      </c>
      <c r="S962" s="13">
        <f>L962*P962</f>
        <v>8500</v>
      </c>
      <c r="T962" s="13"/>
      <c r="U962" s="13">
        <f>L962*T962</f>
        <v>0</v>
      </c>
      <c r="V962" s="13">
        <f>S962-U962</f>
        <v>8500</v>
      </c>
      <c r="W962" s="15">
        <f>IF(S962&gt;0, V962/S962, 0)</f>
        <v>1</v>
      </c>
      <c r="X962" s="6" t="s">
        <v>39</v>
      </c>
      <c r="Y962" s="8" t="s">
        <v>40</v>
      </c>
      <c r="Z962" s="8" t="s">
        <v>41</v>
      </c>
      <c r="AA962" s="8" t="s">
        <v>42</v>
      </c>
      <c r="AB962" s="6" t="s">
        <v>42</v>
      </c>
    </row>
    <row r="963" spans="1:28">
      <c r="A963" s="9">
        <v>956</v>
      </c>
      <c r="B963" s="9" t="s">
        <v>1261</v>
      </c>
      <c r="C963" s="9" t="s">
        <v>1080</v>
      </c>
      <c r="D963" s="9" t="s">
        <v>652</v>
      </c>
      <c r="E963" s="9" t="s">
        <v>33</v>
      </c>
      <c r="F963" s="7" t="s">
        <v>34</v>
      </c>
      <c r="G963" s="7" t="s">
        <v>35</v>
      </c>
      <c r="H963" s="7" t="s">
        <v>36</v>
      </c>
      <c r="I963" s="9">
        <v>164</v>
      </c>
      <c r="J963" s="9" t="s">
        <v>77</v>
      </c>
      <c r="K963" s="9" t="s">
        <v>38</v>
      </c>
      <c r="L963" s="11">
        <v>2</v>
      </c>
      <c r="M963" s="14">
        <v>8000.0</v>
      </c>
      <c r="N963" s="14"/>
      <c r="O963" s="16">
        <f>IF(M963&gt;0, N963/M963, 0)</f>
        <v>0</v>
      </c>
      <c r="P963" s="14">
        <f>M963-N963</f>
        <v>8000</v>
      </c>
      <c r="Q963" s="14">
        <f>L963*M963</f>
        <v>16000</v>
      </c>
      <c r="R963" s="14">
        <f>L963*N963</f>
        <v>0</v>
      </c>
      <c r="S963" s="14">
        <f>L963*P963</f>
        <v>16000</v>
      </c>
      <c r="T963" s="14"/>
      <c r="U963" s="14">
        <f>L963*T963</f>
        <v>0</v>
      </c>
      <c r="V963" s="14">
        <f>S963-U963</f>
        <v>16000</v>
      </c>
      <c r="W963" s="16">
        <f>IF(S963&gt;0, V963/S963, 0)</f>
        <v>1</v>
      </c>
      <c r="X963" s="7" t="s">
        <v>39</v>
      </c>
      <c r="Y963" s="9" t="s">
        <v>40</v>
      </c>
      <c r="Z963" s="9" t="s">
        <v>41</v>
      </c>
      <c r="AA963" s="9" t="s">
        <v>42</v>
      </c>
      <c r="AB963" s="7" t="s">
        <v>42</v>
      </c>
    </row>
    <row r="964" spans="1:28">
      <c r="A964" s="8">
        <v>957</v>
      </c>
      <c r="B964" s="8" t="s">
        <v>1262</v>
      </c>
      <c r="C964" s="8" t="s">
        <v>1080</v>
      </c>
      <c r="D964" s="8" t="s">
        <v>652</v>
      </c>
      <c r="E964" s="8" t="s">
        <v>33</v>
      </c>
      <c r="F964" s="6" t="s">
        <v>34</v>
      </c>
      <c r="G964" s="6" t="s">
        <v>69</v>
      </c>
      <c r="H964" s="6" t="s">
        <v>69</v>
      </c>
      <c r="I964" s="8">
        <v>152</v>
      </c>
      <c r="J964" s="8" t="s">
        <v>207</v>
      </c>
      <c r="K964" s="8" t="s">
        <v>38</v>
      </c>
      <c r="L964" s="10">
        <v>1</v>
      </c>
      <c r="M964" s="13">
        <v>16500.0</v>
      </c>
      <c r="N964" s="13"/>
      <c r="O964" s="15">
        <f>IF(M964&gt;0, N964/M964, 0)</f>
        <v>0</v>
      </c>
      <c r="P964" s="13">
        <f>M964-N964</f>
        <v>16500</v>
      </c>
      <c r="Q964" s="13">
        <f>L964*M964</f>
        <v>16500</v>
      </c>
      <c r="R964" s="13">
        <f>L964*N964</f>
        <v>0</v>
      </c>
      <c r="S964" s="13">
        <f>L964*P964</f>
        <v>16500</v>
      </c>
      <c r="T964" s="13"/>
      <c r="U964" s="13">
        <f>L964*T964</f>
        <v>0</v>
      </c>
      <c r="V964" s="13">
        <f>S964-U964</f>
        <v>16500</v>
      </c>
      <c r="W964" s="15">
        <f>IF(S964&gt;0, V964/S964, 0)</f>
        <v>1</v>
      </c>
      <c r="X964" s="6" t="s">
        <v>39</v>
      </c>
      <c r="Y964" s="8" t="s">
        <v>40</v>
      </c>
      <c r="Z964" s="8" t="s">
        <v>41</v>
      </c>
      <c r="AA964" s="8" t="s">
        <v>42</v>
      </c>
      <c r="AB964" s="6" t="s">
        <v>42</v>
      </c>
    </row>
    <row r="965" spans="1:28">
      <c r="A965" s="9">
        <v>958</v>
      </c>
      <c r="B965" s="9" t="s">
        <v>1263</v>
      </c>
      <c r="C965" s="9" t="s">
        <v>1080</v>
      </c>
      <c r="D965" s="9" t="s">
        <v>652</v>
      </c>
      <c r="E965" s="9" t="s">
        <v>33</v>
      </c>
      <c r="F965" s="7" t="s">
        <v>50</v>
      </c>
      <c r="G965" s="7" t="s">
        <v>51</v>
      </c>
      <c r="H965" s="7" t="s">
        <v>51</v>
      </c>
      <c r="I965" s="9">
        <v>134</v>
      </c>
      <c r="J965" s="9" t="s">
        <v>175</v>
      </c>
      <c r="K965" s="9" t="s">
        <v>53</v>
      </c>
      <c r="L965" s="11">
        <v>1</v>
      </c>
      <c r="M965" s="14">
        <v>8000.0</v>
      </c>
      <c r="N965" s="14"/>
      <c r="O965" s="16">
        <f>IF(M965&gt;0, N965/M965, 0)</f>
        <v>0</v>
      </c>
      <c r="P965" s="14">
        <f>M965-N965</f>
        <v>8000</v>
      </c>
      <c r="Q965" s="14">
        <f>L965*M965</f>
        <v>8000</v>
      </c>
      <c r="R965" s="14">
        <f>L965*N965</f>
        <v>0</v>
      </c>
      <c r="S965" s="14">
        <f>L965*P965</f>
        <v>8000</v>
      </c>
      <c r="T965" s="14"/>
      <c r="U965" s="14">
        <f>L965*T965</f>
        <v>0</v>
      </c>
      <c r="V965" s="14">
        <f>S965-U965</f>
        <v>8000</v>
      </c>
      <c r="W965" s="16">
        <f>IF(S965&gt;0, V965/S965, 0)</f>
        <v>1</v>
      </c>
      <c r="X965" s="7" t="s">
        <v>39</v>
      </c>
      <c r="Y965" s="9" t="s">
        <v>40</v>
      </c>
      <c r="Z965" s="9" t="s">
        <v>41</v>
      </c>
      <c r="AA965" s="9" t="s">
        <v>42</v>
      </c>
      <c r="AB965" s="7" t="s">
        <v>42</v>
      </c>
    </row>
    <row r="966" spans="1:28">
      <c r="A966" s="8">
        <v>959</v>
      </c>
      <c r="B966" s="8" t="s">
        <v>1264</v>
      </c>
      <c r="C966" s="8" t="s">
        <v>1080</v>
      </c>
      <c r="D966" s="8" t="s">
        <v>652</v>
      </c>
      <c r="E966" s="8" t="s">
        <v>33</v>
      </c>
      <c r="F966" s="6" t="s">
        <v>50</v>
      </c>
      <c r="G966" s="6" t="s">
        <v>35</v>
      </c>
      <c r="H966" s="6" t="s">
        <v>36</v>
      </c>
      <c r="I966" s="8">
        <v>134</v>
      </c>
      <c r="J966" s="8" t="s">
        <v>177</v>
      </c>
      <c r="K966" s="8" t="s">
        <v>53</v>
      </c>
      <c r="L966" s="10">
        <v>1</v>
      </c>
      <c r="M966" s="13">
        <v>7000.0</v>
      </c>
      <c r="N966" s="13"/>
      <c r="O966" s="15">
        <f>IF(M966&gt;0, N966/M966, 0)</f>
        <v>0</v>
      </c>
      <c r="P966" s="13">
        <f>M966-N966</f>
        <v>7000</v>
      </c>
      <c r="Q966" s="13">
        <f>L966*M966</f>
        <v>7000</v>
      </c>
      <c r="R966" s="13">
        <f>L966*N966</f>
        <v>0</v>
      </c>
      <c r="S966" s="13">
        <f>L966*P966</f>
        <v>7000</v>
      </c>
      <c r="T966" s="13"/>
      <c r="U966" s="13">
        <f>L966*T966</f>
        <v>0</v>
      </c>
      <c r="V966" s="13">
        <f>S966-U966</f>
        <v>7000</v>
      </c>
      <c r="W966" s="15">
        <f>IF(S966&gt;0, V966/S966, 0)</f>
        <v>1</v>
      </c>
      <c r="X966" s="6" t="s">
        <v>39</v>
      </c>
      <c r="Y966" s="8" t="s">
        <v>40</v>
      </c>
      <c r="Z966" s="8" t="s">
        <v>41</v>
      </c>
      <c r="AA966" s="8" t="s">
        <v>42</v>
      </c>
      <c r="AB966" s="6" t="s">
        <v>42</v>
      </c>
    </row>
    <row r="967" spans="1:28">
      <c r="A967" s="9">
        <v>960</v>
      </c>
      <c r="B967" s="9" t="s">
        <v>1265</v>
      </c>
      <c r="C967" s="9" t="s">
        <v>1080</v>
      </c>
      <c r="D967" s="9" t="s">
        <v>652</v>
      </c>
      <c r="E967" s="9" t="s">
        <v>33</v>
      </c>
      <c r="F967" s="7" t="s">
        <v>50</v>
      </c>
      <c r="G967" s="7" t="s">
        <v>69</v>
      </c>
      <c r="H967" s="7" t="s">
        <v>69</v>
      </c>
      <c r="I967" s="9">
        <v>134</v>
      </c>
      <c r="J967" s="9" t="s">
        <v>209</v>
      </c>
      <c r="K967" s="9" t="s">
        <v>38</v>
      </c>
      <c r="L967" s="11">
        <v>1</v>
      </c>
      <c r="M967" s="14">
        <v>16000.0</v>
      </c>
      <c r="N967" s="14"/>
      <c r="O967" s="16">
        <f>IF(M967&gt;0, N967/M967, 0)</f>
        <v>0</v>
      </c>
      <c r="P967" s="14">
        <f>M967-N967</f>
        <v>16000</v>
      </c>
      <c r="Q967" s="14">
        <f>L967*M967</f>
        <v>16000</v>
      </c>
      <c r="R967" s="14">
        <f>L967*N967</f>
        <v>0</v>
      </c>
      <c r="S967" s="14">
        <f>L967*P967</f>
        <v>16000</v>
      </c>
      <c r="T967" s="14"/>
      <c r="U967" s="14">
        <f>L967*T967</f>
        <v>0</v>
      </c>
      <c r="V967" s="14">
        <f>S967-U967</f>
        <v>16000</v>
      </c>
      <c r="W967" s="16">
        <f>IF(S967&gt;0, V967/S967, 0)</f>
        <v>1</v>
      </c>
      <c r="X967" s="7" t="s">
        <v>39</v>
      </c>
      <c r="Y967" s="9" t="s">
        <v>40</v>
      </c>
      <c r="Z967" s="9" t="s">
        <v>41</v>
      </c>
      <c r="AA967" s="9" t="s">
        <v>42</v>
      </c>
      <c r="AB967" s="7" t="s">
        <v>42</v>
      </c>
    </row>
    <row r="968" spans="1:28">
      <c r="A968" s="8">
        <v>961</v>
      </c>
      <c r="B968" s="8" t="s">
        <v>1266</v>
      </c>
      <c r="C968" s="8" t="s">
        <v>1080</v>
      </c>
      <c r="D968" s="8" t="s">
        <v>652</v>
      </c>
      <c r="E968" s="8" t="s">
        <v>33</v>
      </c>
      <c r="F968" s="6" t="s">
        <v>50</v>
      </c>
      <c r="G968" s="6" t="s">
        <v>45</v>
      </c>
      <c r="H968" s="6" t="s">
        <v>46</v>
      </c>
      <c r="I968" s="8">
        <v>122</v>
      </c>
      <c r="J968" s="8" t="s">
        <v>476</v>
      </c>
      <c r="K968" s="8" t="s">
        <v>38</v>
      </c>
      <c r="L968" s="10">
        <v>1</v>
      </c>
      <c r="M968" s="13">
        <v>18000.0</v>
      </c>
      <c r="N968" s="13"/>
      <c r="O968" s="15">
        <f>IF(M968&gt;0, N968/M968, 0)</f>
        <v>0</v>
      </c>
      <c r="P968" s="13">
        <f>M968-N968</f>
        <v>18000</v>
      </c>
      <c r="Q968" s="13">
        <f>L968*M968</f>
        <v>18000</v>
      </c>
      <c r="R968" s="13">
        <f>L968*N968</f>
        <v>0</v>
      </c>
      <c r="S968" s="13">
        <f>L968*P968</f>
        <v>18000</v>
      </c>
      <c r="T968" s="13"/>
      <c r="U968" s="13">
        <f>L968*T968</f>
        <v>0</v>
      </c>
      <c r="V968" s="13">
        <f>S968-U968</f>
        <v>18000</v>
      </c>
      <c r="W968" s="15">
        <f>IF(S968&gt;0, V968/S968, 0)</f>
        <v>1</v>
      </c>
      <c r="X968" s="6" t="s">
        <v>39</v>
      </c>
      <c r="Y968" s="8" t="s">
        <v>40</v>
      </c>
      <c r="Z968" s="8" t="s">
        <v>41</v>
      </c>
      <c r="AA968" s="8" t="s">
        <v>42</v>
      </c>
      <c r="AB968" s="6" t="s">
        <v>42</v>
      </c>
    </row>
    <row r="969" spans="1:28">
      <c r="A969" s="9">
        <v>962</v>
      </c>
      <c r="B969" s="9" t="s">
        <v>1267</v>
      </c>
      <c r="C969" s="9" t="s">
        <v>1080</v>
      </c>
      <c r="D969" s="9" t="s">
        <v>652</v>
      </c>
      <c r="E969" s="9" t="s">
        <v>33</v>
      </c>
      <c r="F969" s="7" t="s">
        <v>50</v>
      </c>
      <c r="G969" s="7" t="s">
        <v>63</v>
      </c>
      <c r="H969" s="7" t="s">
        <v>148</v>
      </c>
      <c r="I969" s="9">
        <v>122</v>
      </c>
      <c r="J969" s="9" t="s">
        <v>241</v>
      </c>
      <c r="K969" s="9" t="s">
        <v>38</v>
      </c>
      <c r="L969" s="11">
        <v>1</v>
      </c>
      <c r="M969" s="14">
        <v>9000.0</v>
      </c>
      <c r="N969" s="14"/>
      <c r="O969" s="16">
        <f>IF(M969&gt;0, N969/M969, 0)</f>
        <v>0</v>
      </c>
      <c r="P969" s="14">
        <f>M969-N969</f>
        <v>9000</v>
      </c>
      <c r="Q969" s="14">
        <f>L969*M969</f>
        <v>9000</v>
      </c>
      <c r="R969" s="14">
        <f>L969*N969</f>
        <v>0</v>
      </c>
      <c r="S969" s="14">
        <f>L969*P969</f>
        <v>9000</v>
      </c>
      <c r="T969" s="14"/>
      <c r="U969" s="14">
        <f>L969*T969</f>
        <v>0</v>
      </c>
      <c r="V969" s="14">
        <f>S969-U969</f>
        <v>9000</v>
      </c>
      <c r="W969" s="16">
        <f>IF(S969&gt;0, V969/S969, 0)</f>
        <v>1</v>
      </c>
      <c r="X969" s="7" t="s">
        <v>39</v>
      </c>
      <c r="Y969" s="9" t="s">
        <v>40</v>
      </c>
      <c r="Z969" s="9" t="s">
        <v>41</v>
      </c>
      <c r="AA969" s="9" t="s">
        <v>42</v>
      </c>
      <c r="AB969" s="7" t="s">
        <v>42</v>
      </c>
    </row>
    <row r="970" spans="1:28">
      <c r="A970" s="8">
        <v>963</v>
      </c>
      <c r="B970" s="8" t="s">
        <v>1268</v>
      </c>
      <c r="C970" s="8" t="s">
        <v>1080</v>
      </c>
      <c r="D970" s="8" t="s">
        <v>652</v>
      </c>
      <c r="E970" s="8" t="s">
        <v>33</v>
      </c>
      <c r="F970" s="6" t="s">
        <v>50</v>
      </c>
      <c r="G970" s="6" t="s">
        <v>51</v>
      </c>
      <c r="H970" s="6" t="s">
        <v>51</v>
      </c>
      <c r="I970" s="8">
        <v>122</v>
      </c>
      <c r="J970" s="8" t="s">
        <v>82</v>
      </c>
      <c r="K970" s="8" t="s">
        <v>53</v>
      </c>
      <c r="L970" s="10">
        <v>1</v>
      </c>
      <c r="M970" s="13">
        <v>8000.0</v>
      </c>
      <c r="N970" s="13"/>
      <c r="O970" s="15">
        <f>IF(M970&gt;0, N970/M970, 0)</f>
        <v>0</v>
      </c>
      <c r="P970" s="13">
        <f>M970-N970</f>
        <v>8000</v>
      </c>
      <c r="Q970" s="13">
        <f>L970*M970</f>
        <v>8000</v>
      </c>
      <c r="R970" s="13">
        <f>L970*N970</f>
        <v>0</v>
      </c>
      <c r="S970" s="13">
        <f>L970*P970</f>
        <v>8000</v>
      </c>
      <c r="T970" s="13"/>
      <c r="U970" s="13">
        <f>L970*T970</f>
        <v>0</v>
      </c>
      <c r="V970" s="13">
        <f>S970-U970</f>
        <v>8000</v>
      </c>
      <c r="W970" s="15">
        <f>IF(S970&gt;0, V970/S970, 0)</f>
        <v>1</v>
      </c>
      <c r="X970" s="6" t="s">
        <v>39</v>
      </c>
      <c r="Y970" s="8" t="s">
        <v>40</v>
      </c>
      <c r="Z970" s="8" t="s">
        <v>41</v>
      </c>
      <c r="AA970" s="8" t="s">
        <v>42</v>
      </c>
      <c r="AB970" s="6" t="s">
        <v>42</v>
      </c>
    </row>
    <row r="971" spans="1:28">
      <c r="A971" s="9">
        <v>964</v>
      </c>
      <c r="B971" s="9" t="s">
        <v>1269</v>
      </c>
      <c r="C971" s="9" t="s">
        <v>1080</v>
      </c>
      <c r="D971" s="9" t="s">
        <v>652</v>
      </c>
      <c r="E971" s="9" t="s">
        <v>33</v>
      </c>
      <c r="F971" s="7" t="s">
        <v>50</v>
      </c>
      <c r="G971" s="7" t="s">
        <v>35</v>
      </c>
      <c r="H971" s="7" t="s">
        <v>36</v>
      </c>
      <c r="I971" s="9">
        <v>122</v>
      </c>
      <c r="J971" s="9" t="s">
        <v>105</v>
      </c>
      <c r="K971" s="9" t="s">
        <v>53</v>
      </c>
      <c r="L971" s="11">
        <v>1</v>
      </c>
      <c r="M971" s="14">
        <v>7000.0</v>
      </c>
      <c r="N971" s="14"/>
      <c r="O971" s="16">
        <f>IF(M971&gt;0, N971/M971, 0)</f>
        <v>0</v>
      </c>
      <c r="P971" s="14">
        <f>M971-N971</f>
        <v>7000</v>
      </c>
      <c r="Q971" s="14">
        <f>L971*M971</f>
        <v>7000</v>
      </c>
      <c r="R971" s="14">
        <f>L971*N971</f>
        <v>0</v>
      </c>
      <c r="S971" s="14">
        <f>L971*P971</f>
        <v>7000</v>
      </c>
      <c r="T971" s="14"/>
      <c r="U971" s="14">
        <f>L971*T971</f>
        <v>0</v>
      </c>
      <c r="V971" s="14">
        <f>S971-U971</f>
        <v>7000</v>
      </c>
      <c r="W971" s="16">
        <f>IF(S971&gt;0, V971/S971, 0)</f>
        <v>1</v>
      </c>
      <c r="X971" s="7" t="s">
        <v>39</v>
      </c>
      <c r="Y971" s="9" t="s">
        <v>40</v>
      </c>
      <c r="Z971" s="9" t="s">
        <v>41</v>
      </c>
      <c r="AA971" s="9" t="s">
        <v>42</v>
      </c>
      <c r="AB971" s="7" t="s">
        <v>42</v>
      </c>
    </row>
    <row r="972" spans="1:28">
      <c r="A972" s="8">
        <v>965</v>
      </c>
      <c r="B972" s="8" t="s">
        <v>1270</v>
      </c>
      <c r="C972" s="8" t="s">
        <v>1080</v>
      </c>
      <c r="D972" s="8" t="s">
        <v>652</v>
      </c>
      <c r="E972" s="8" t="s">
        <v>33</v>
      </c>
      <c r="F972" s="6" t="s">
        <v>50</v>
      </c>
      <c r="G972" s="6" t="s">
        <v>35</v>
      </c>
      <c r="H972" s="6" t="s">
        <v>73</v>
      </c>
      <c r="I972" s="8">
        <v>122</v>
      </c>
      <c r="J972" s="8" t="s">
        <v>102</v>
      </c>
      <c r="K972" s="8" t="s">
        <v>53</v>
      </c>
      <c r="L972" s="10">
        <v>1</v>
      </c>
      <c r="M972" s="13">
        <v>8000.0</v>
      </c>
      <c r="N972" s="13"/>
      <c r="O972" s="15">
        <f>IF(M972&gt;0, N972/M972, 0)</f>
        <v>0</v>
      </c>
      <c r="P972" s="13">
        <f>M972-N972</f>
        <v>8000</v>
      </c>
      <c r="Q972" s="13">
        <f>L972*M972</f>
        <v>8000</v>
      </c>
      <c r="R972" s="13">
        <f>L972*N972</f>
        <v>0</v>
      </c>
      <c r="S972" s="13">
        <f>L972*P972</f>
        <v>8000</v>
      </c>
      <c r="T972" s="13"/>
      <c r="U972" s="13">
        <f>L972*T972</f>
        <v>0</v>
      </c>
      <c r="V972" s="13">
        <f>S972-U972</f>
        <v>8000</v>
      </c>
      <c r="W972" s="15">
        <f>IF(S972&gt;0, V972/S972, 0)</f>
        <v>1</v>
      </c>
      <c r="X972" s="6" t="s">
        <v>39</v>
      </c>
      <c r="Y972" s="8" t="s">
        <v>40</v>
      </c>
      <c r="Z972" s="8" t="s">
        <v>41</v>
      </c>
      <c r="AA972" s="8" t="s">
        <v>42</v>
      </c>
      <c r="AB972" s="6" t="s">
        <v>42</v>
      </c>
    </row>
    <row r="973" spans="1:28">
      <c r="A973" s="9">
        <v>966</v>
      </c>
      <c r="B973" s="9" t="s">
        <v>1271</v>
      </c>
      <c r="C973" s="9" t="s">
        <v>1080</v>
      </c>
      <c r="D973" s="9" t="s">
        <v>652</v>
      </c>
      <c r="E973" s="9" t="s">
        <v>33</v>
      </c>
      <c r="F973" s="7" t="s">
        <v>34</v>
      </c>
      <c r="G973" s="7" t="s">
        <v>45</v>
      </c>
      <c r="H973" s="7" t="s">
        <v>46</v>
      </c>
      <c r="I973" s="9">
        <v>176</v>
      </c>
      <c r="J973" s="9" t="s">
        <v>424</v>
      </c>
      <c r="K973" s="9" t="s">
        <v>38</v>
      </c>
      <c r="L973" s="11">
        <v>1</v>
      </c>
      <c r="M973" s="14">
        <v>18000.0</v>
      </c>
      <c r="N973" s="14"/>
      <c r="O973" s="16">
        <f>IF(M973&gt;0, N973/M973, 0)</f>
        <v>0</v>
      </c>
      <c r="P973" s="14">
        <f>M973-N973</f>
        <v>18000</v>
      </c>
      <c r="Q973" s="14">
        <f>L973*M973</f>
        <v>18000</v>
      </c>
      <c r="R973" s="14">
        <f>L973*N973</f>
        <v>0</v>
      </c>
      <c r="S973" s="14">
        <f>L973*P973</f>
        <v>18000</v>
      </c>
      <c r="T973" s="14"/>
      <c r="U973" s="14">
        <f>L973*T973</f>
        <v>0</v>
      </c>
      <c r="V973" s="14">
        <f>S973-U973</f>
        <v>18000</v>
      </c>
      <c r="W973" s="16">
        <f>IF(S973&gt;0, V973/S973, 0)</f>
        <v>1</v>
      </c>
      <c r="X973" s="7" t="s">
        <v>39</v>
      </c>
      <c r="Y973" s="9" t="s">
        <v>40</v>
      </c>
      <c r="Z973" s="9" t="s">
        <v>41</v>
      </c>
      <c r="AA973" s="9" t="s">
        <v>42</v>
      </c>
      <c r="AB973" s="7" t="s">
        <v>42</v>
      </c>
    </row>
    <row r="974" spans="1:28">
      <c r="A974" s="8">
        <v>967</v>
      </c>
      <c r="B974" s="8" t="s">
        <v>1272</v>
      </c>
      <c r="C974" s="8" t="s">
        <v>1080</v>
      </c>
      <c r="D974" s="8" t="s">
        <v>652</v>
      </c>
      <c r="E974" s="8" t="s">
        <v>33</v>
      </c>
      <c r="F974" s="6" t="s">
        <v>34</v>
      </c>
      <c r="G974" s="6" t="s">
        <v>69</v>
      </c>
      <c r="H974" s="6" t="s">
        <v>69</v>
      </c>
      <c r="I974" s="8">
        <v>176</v>
      </c>
      <c r="J974" s="8" t="s">
        <v>203</v>
      </c>
      <c r="K974" s="8" t="s">
        <v>38</v>
      </c>
      <c r="L974" s="10">
        <v>1</v>
      </c>
      <c r="M974" s="13">
        <v>16500.0</v>
      </c>
      <c r="N974" s="13"/>
      <c r="O974" s="15">
        <f>IF(M974&gt;0, N974/M974, 0)</f>
        <v>0</v>
      </c>
      <c r="P974" s="13">
        <f>M974-N974</f>
        <v>16500</v>
      </c>
      <c r="Q974" s="13">
        <f>L974*M974</f>
        <v>16500</v>
      </c>
      <c r="R974" s="13">
        <f>L974*N974</f>
        <v>0</v>
      </c>
      <c r="S974" s="13">
        <f>L974*P974</f>
        <v>16500</v>
      </c>
      <c r="T974" s="13"/>
      <c r="U974" s="13">
        <f>L974*T974</f>
        <v>0</v>
      </c>
      <c r="V974" s="13">
        <f>S974-U974</f>
        <v>16500</v>
      </c>
      <c r="W974" s="15">
        <f>IF(S974&gt;0, V974/S974, 0)</f>
        <v>1</v>
      </c>
      <c r="X974" s="6" t="s">
        <v>39</v>
      </c>
      <c r="Y974" s="8" t="s">
        <v>40</v>
      </c>
      <c r="Z974" s="8" t="s">
        <v>41</v>
      </c>
      <c r="AA974" s="8" t="s">
        <v>42</v>
      </c>
      <c r="AB974" s="6" t="s">
        <v>42</v>
      </c>
    </row>
    <row r="975" spans="1:28">
      <c r="A975" s="9">
        <v>968</v>
      </c>
      <c r="B975" s="9" t="s">
        <v>1273</v>
      </c>
      <c r="C975" s="9" t="s">
        <v>1080</v>
      </c>
      <c r="D975" s="9" t="s">
        <v>652</v>
      </c>
      <c r="E975" s="9" t="s">
        <v>33</v>
      </c>
      <c r="F975" s="7" t="s">
        <v>34</v>
      </c>
      <c r="G975" s="7" t="s">
        <v>63</v>
      </c>
      <c r="H975" s="7" t="s">
        <v>148</v>
      </c>
      <c r="I975" s="9">
        <v>176</v>
      </c>
      <c r="J975" s="9" t="s">
        <v>233</v>
      </c>
      <c r="K975" s="9" t="s">
        <v>38</v>
      </c>
      <c r="L975" s="11">
        <v>1</v>
      </c>
      <c r="M975" s="14">
        <v>9500.0</v>
      </c>
      <c r="N975" s="14"/>
      <c r="O975" s="16">
        <f>IF(M975&gt;0, N975/M975, 0)</f>
        <v>0</v>
      </c>
      <c r="P975" s="14">
        <f>M975-N975</f>
        <v>9500</v>
      </c>
      <c r="Q975" s="14">
        <f>L975*M975</f>
        <v>9500</v>
      </c>
      <c r="R975" s="14">
        <f>L975*N975</f>
        <v>0</v>
      </c>
      <c r="S975" s="14">
        <f>L975*P975</f>
        <v>9500</v>
      </c>
      <c r="T975" s="14"/>
      <c r="U975" s="14">
        <f>L975*T975</f>
        <v>0</v>
      </c>
      <c r="V975" s="14">
        <f>S975-U975</f>
        <v>9500</v>
      </c>
      <c r="W975" s="16">
        <f>IF(S975&gt;0, V975/S975, 0)</f>
        <v>1</v>
      </c>
      <c r="X975" s="7" t="s">
        <v>39</v>
      </c>
      <c r="Y975" s="9" t="s">
        <v>40</v>
      </c>
      <c r="Z975" s="9" t="s">
        <v>41</v>
      </c>
      <c r="AA975" s="9" t="s">
        <v>42</v>
      </c>
      <c r="AB975" s="7" t="s">
        <v>42</v>
      </c>
    </row>
    <row r="976" spans="1:28">
      <c r="A976" s="8">
        <v>969</v>
      </c>
      <c r="B976" s="8" t="s">
        <v>1274</v>
      </c>
      <c r="C976" s="8" t="s">
        <v>1080</v>
      </c>
      <c r="D976" s="8" t="s">
        <v>652</v>
      </c>
      <c r="E976" s="8" t="s">
        <v>33</v>
      </c>
      <c r="F976" s="6" t="s">
        <v>34</v>
      </c>
      <c r="G976" s="6" t="s">
        <v>51</v>
      </c>
      <c r="H976" s="6" t="s">
        <v>51</v>
      </c>
      <c r="I976" s="8">
        <v>176</v>
      </c>
      <c r="J976" s="8" t="s">
        <v>418</v>
      </c>
      <c r="K976" s="8" t="s">
        <v>38</v>
      </c>
      <c r="L976" s="10">
        <v>1</v>
      </c>
      <c r="M976" s="13">
        <v>8500.0</v>
      </c>
      <c r="N976" s="13"/>
      <c r="O976" s="15">
        <f>IF(M976&gt;0, N976/M976, 0)</f>
        <v>0</v>
      </c>
      <c r="P976" s="13">
        <f>M976-N976</f>
        <v>8500</v>
      </c>
      <c r="Q976" s="13">
        <f>L976*M976</f>
        <v>8500</v>
      </c>
      <c r="R976" s="13">
        <f>L976*N976</f>
        <v>0</v>
      </c>
      <c r="S976" s="13">
        <f>L976*P976</f>
        <v>8500</v>
      </c>
      <c r="T976" s="13"/>
      <c r="U976" s="13">
        <f>L976*T976</f>
        <v>0</v>
      </c>
      <c r="V976" s="13">
        <f>S976-U976</f>
        <v>8500</v>
      </c>
      <c r="W976" s="15">
        <f>IF(S976&gt;0, V976/S976, 0)</f>
        <v>1</v>
      </c>
      <c r="X976" s="6" t="s">
        <v>39</v>
      </c>
      <c r="Y976" s="8" t="s">
        <v>40</v>
      </c>
      <c r="Z976" s="8" t="s">
        <v>41</v>
      </c>
      <c r="AA976" s="8" t="s">
        <v>42</v>
      </c>
      <c r="AB976" s="6" t="s">
        <v>42</v>
      </c>
    </row>
    <row r="977" spans="1:28">
      <c r="A977" s="9">
        <v>970</v>
      </c>
      <c r="B977" s="9" t="s">
        <v>1275</v>
      </c>
      <c r="C977" s="9" t="s">
        <v>1080</v>
      </c>
      <c r="D977" s="9" t="s">
        <v>652</v>
      </c>
      <c r="E977" s="9" t="s">
        <v>33</v>
      </c>
      <c r="F977" s="7" t="s">
        <v>34</v>
      </c>
      <c r="G977" s="7" t="s">
        <v>35</v>
      </c>
      <c r="H977" s="7" t="s">
        <v>73</v>
      </c>
      <c r="I977" s="9">
        <v>170</v>
      </c>
      <c r="J977" s="9" t="s">
        <v>648</v>
      </c>
      <c r="K977" s="9" t="s">
        <v>38</v>
      </c>
      <c r="L977" s="11">
        <v>1</v>
      </c>
      <c r="M977" s="14">
        <v>9000.0</v>
      </c>
      <c r="N977" s="14"/>
      <c r="O977" s="16">
        <f>IF(M977&gt;0, N977/M977, 0)</f>
        <v>0</v>
      </c>
      <c r="P977" s="14">
        <f>M977-N977</f>
        <v>9000</v>
      </c>
      <c r="Q977" s="14">
        <f>L977*M977</f>
        <v>9000</v>
      </c>
      <c r="R977" s="14">
        <f>L977*N977</f>
        <v>0</v>
      </c>
      <c r="S977" s="14">
        <f>L977*P977</f>
        <v>9000</v>
      </c>
      <c r="T977" s="14"/>
      <c r="U977" s="14">
        <f>L977*T977</f>
        <v>0</v>
      </c>
      <c r="V977" s="14">
        <f>S977-U977</f>
        <v>9000</v>
      </c>
      <c r="W977" s="16">
        <f>IF(S977&gt;0, V977/S977, 0)</f>
        <v>1</v>
      </c>
      <c r="X977" s="7" t="s">
        <v>39</v>
      </c>
      <c r="Y977" s="9" t="s">
        <v>40</v>
      </c>
      <c r="Z977" s="9" t="s">
        <v>41</v>
      </c>
      <c r="AA977" s="9" t="s">
        <v>42</v>
      </c>
      <c r="AB977" s="7" t="s">
        <v>42</v>
      </c>
    </row>
    <row r="978" spans="1:28">
      <c r="A978" s="8">
        <v>971</v>
      </c>
      <c r="B978" s="8" t="s">
        <v>1276</v>
      </c>
      <c r="C978" s="8" t="s">
        <v>1080</v>
      </c>
      <c r="D978" s="8" t="s">
        <v>652</v>
      </c>
      <c r="E978" s="8" t="s">
        <v>33</v>
      </c>
      <c r="F978" s="6" t="s">
        <v>34</v>
      </c>
      <c r="G978" s="6" t="s">
        <v>35</v>
      </c>
      <c r="H978" s="6" t="s">
        <v>36</v>
      </c>
      <c r="I978" s="8">
        <v>170</v>
      </c>
      <c r="J978" s="8" t="s">
        <v>142</v>
      </c>
      <c r="K978" s="8" t="s">
        <v>38</v>
      </c>
      <c r="L978" s="10">
        <v>1</v>
      </c>
      <c r="M978" s="13">
        <v>8000.0</v>
      </c>
      <c r="N978" s="13"/>
      <c r="O978" s="15">
        <f>IF(M978&gt;0, N978/M978, 0)</f>
        <v>0</v>
      </c>
      <c r="P978" s="13">
        <f>M978-N978</f>
        <v>8000</v>
      </c>
      <c r="Q978" s="13">
        <f>L978*M978</f>
        <v>8000</v>
      </c>
      <c r="R978" s="13">
        <f>L978*N978</f>
        <v>0</v>
      </c>
      <c r="S978" s="13">
        <f>L978*P978</f>
        <v>8000</v>
      </c>
      <c r="T978" s="13"/>
      <c r="U978" s="13">
        <f>L978*T978</f>
        <v>0</v>
      </c>
      <c r="V978" s="13">
        <f>S978-U978</f>
        <v>8000</v>
      </c>
      <c r="W978" s="15">
        <f>IF(S978&gt;0, V978/S978, 0)</f>
        <v>1</v>
      </c>
      <c r="X978" s="6" t="s">
        <v>39</v>
      </c>
      <c r="Y978" s="8" t="s">
        <v>40</v>
      </c>
      <c r="Z978" s="8" t="s">
        <v>41</v>
      </c>
      <c r="AA978" s="8" t="s">
        <v>42</v>
      </c>
      <c r="AB978" s="6" t="s">
        <v>42</v>
      </c>
    </row>
    <row r="979" spans="1:28">
      <c r="A979" s="9">
        <v>972</v>
      </c>
      <c r="B979" s="9" t="s">
        <v>1277</v>
      </c>
      <c r="C979" s="9" t="s">
        <v>1080</v>
      </c>
      <c r="D979" s="9" t="s">
        <v>652</v>
      </c>
      <c r="E979" s="9" t="s">
        <v>33</v>
      </c>
      <c r="F979" s="7" t="s">
        <v>50</v>
      </c>
      <c r="G979" s="7" t="s">
        <v>35</v>
      </c>
      <c r="H979" s="7" t="s">
        <v>36</v>
      </c>
      <c r="I979" s="9">
        <v>140</v>
      </c>
      <c r="J979" s="9" t="s">
        <v>223</v>
      </c>
      <c r="K979" s="9" t="s">
        <v>53</v>
      </c>
      <c r="L979" s="11">
        <v>2</v>
      </c>
      <c r="M979" s="14">
        <v>7200.0</v>
      </c>
      <c r="N979" s="14"/>
      <c r="O979" s="16">
        <f>IF(M979&gt;0, N979/M979, 0)</f>
        <v>0</v>
      </c>
      <c r="P979" s="14">
        <f>M979-N979</f>
        <v>7200</v>
      </c>
      <c r="Q979" s="14">
        <f>L979*M979</f>
        <v>14400</v>
      </c>
      <c r="R979" s="14">
        <f>L979*N979</f>
        <v>0</v>
      </c>
      <c r="S979" s="14">
        <f>L979*P979</f>
        <v>14400</v>
      </c>
      <c r="T979" s="14"/>
      <c r="U979" s="14">
        <f>L979*T979</f>
        <v>0</v>
      </c>
      <c r="V979" s="14">
        <f>S979-U979</f>
        <v>14400</v>
      </c>
      <c r="W979" s="16">
        <f>IF(S979&gt;0, V979/S979, 0)</f>
        <v>1</v>
      </c>
      <c r="X979" s="7" t="s">
        <v>39</v>
      </c>
      <c r="Y979" s="9" t="s">
        <v>40</v>
      </c>
      <c r="Z979" s="9" t="s">
        <v>41</v>
      </c>
      <c r="AA979" s="9" t="s">
        <v>42</v>
      </c>
      <c r="AB979" s="7" t="s">
        <v>42</v>
      </c>
    </row>
    <row r="980" spans="1:28">
      <c r="A980" s="8">
        <v>973</v>
      </c>
      <c r="B980" s="8" t="s">
        <v>1278</v>
      </c>
      <c r="C980" s="8" t="s">
        <v>1080</v>
      </c>
      <c r="D980" s="8" t="s">
        <v>652</v>
      </c>
      <c r="E980" s="8" t="s">
        <v>33</v>
      </c>
      <c r="F980" s="6" t="s">
        <v>50</v>
      </c>
      <c r="G980" s="6" t="s">
        <v>51</v>
      </c>
      <c r="H980" s="6" t="s">
        <v>51</v>
      </c>
      <c r="I980" s="8">
        <v>140</v>
      </c>
      <c r="J980" s="8" t="s">
        <v>279</v>
      </c>
      <c r="K980" s="8" t="s">
        <v>53</v>
      </c>
      <c r="L980" s="10">
        <v>2</v>
      </c>
      <c r="M980" s="13">
        <v>6300.0</v>
      </c>
      <c r="N980" s="13"/>
      <c r="O980" s="15">
        <f>IF(M980&gt;0, N980/M980, 0)</f>
        <v>0</v>
      </c>
      <c r="P980" s="13">
        <f>M980-N980</f>
        <v>6300</v>
      </c>
      <c r="Q980" s="13">
        <f>L980*M980</f>
        <v>12600</v>
      </c>
      <c r="R980" s="13">
        <f>L980*N980</f>
        <v>0</v>
      </c>
      <c r="S980" s="13">
        <f>L980*P980</f>
        <v>12600</v>
      </c>
      <c r="T980" s="13"/>
      <c r="U980" s="13">
        <f>L980*T980</f>
        <v>0</v>
      </c>
      <c r="V980" s="13">
        <f>S980-U980</f>
        <v>12600</v>
      </c>
      <c r="W980" s="15">
        <f>IF(S980&gt;0, V980/S980, 0)</f>
        <v>1</v>
      </c>
      <c r="X980" s="6" t="s">
        <v>39</v>
      </c>
      <c r="Y980" s="8" t="s">
        <v>40</v>
      </c>
      <c r="Z980" s="8" t="s">
        <v>41</v>
      </c>
      <c r="AA980" s="8" t="s">
        <v>42</v>
      </c>
      <c r="AB980" s="6" t="s">
        <v>42</v>
      </c>
    </row>
    <row r="981" spans="1:28">
      <c r="A981" s="9">
        <v>974</v>
      </c>
      <c r="B981" s="9" t="s">
        <v>1279</v>
      </c>
      <c r="C981" s="9" t="s">
        <v>1080</v>
      </c>
      <c r="D981" s="9" t="s">
        <v>652</v>
      </c>
      <c r="E981" s="9" t="s">
        <v>33</v>
      </c>
      <c r="F981" s="7" t="s">
        <v>34</v>
      </c>
      <c r="G981" s="7" t="s">
        <v>56</v>
      </c>
      <c r="H981" s="7" t="s">
        <v>56</v>
      </c>
      <c r="I981" s="9">
        <v>176</v>
      </c>
      <c r="J981" s="9" t="s">
        <v>665</v>
      </c>
      <c r="K981" s="9" t="s">
        <v>38</v>
      </c>
      <c r="L981" s="11">
        <v>1</v>
      </c>
      <c r="M981" s="14">
        <v>7500.0</v>
      </c>
      <c r="N981" s="14"/>
      <c r="O981" s="16">
        <f>IF(M981&gt;0, N981/M981, 0)</f>
        <v>0</v>
      </c>
      <c r="P981" s="14">
        <f>M981-N981</f>
        <v>7500</v>
      </c>
      <c r="Q981" s="14">
        <f>L981*M981</f>
        <v>7500</v>
      </c>
      <c r="R981" s="14">
        <f>L981*N981</f>
        <v>0</v>
      </c>
      <c r="S981" s="14">
        <f>L981*P981</f>
        <v>7500</v>
      </c>
      <c r="T981" s="14"/>
      <c r="U981" s="14">
        <f>L981*T981</f>
        <v>0</v>
      </c>
      <c r="V981" s="14">
        <f>S981-U981</f>
        <v>7500</v>
      </c>
      <c r="W981" s="16">
        <f>IF(S981&gt;0, V981/S981, 0)</f>
        <v>1</v>
      </c>
      <c r="X981" s="7" t="s">
        <v>39</v>
      </c>
      <c r="Y981" s="9" t="s">
        <v>40</v>
      </c>
      <c r="Z981" s="9" t="s">
        <v>41</v>
      </c>
      <c r="AA981" s="9" t="s">
        <v>42</v>
      </c>
      <c r="AB981" s="7" t="s">
        <v>42</v>
      </c>
    </row>
    <row r="982" spans="1:28">
      <c r="A982" s="8">
        <v>975</v>
      </c>
      <c r="B982" s="8" t="s">
        <v>1280</v>
      </c>
      <c r="C982" s="8" t="s">
        <v>1080</v>
      </c>
      <c r="D982" s="8" t="s">
        <v>652</v>
      </c>
      <c r="E982" s="8" t="s">
        <v>33</v>
      </c>
      <c r="F982" s="6" t="s">
        <v>34</v>
      </c>
      <c r="G982" s="6" t="s">
        <v>63</v>
      </c>
      <c r="H982" s="6" t="s">
        <v>148</v>
      </c>
      <c r="I982" s="8">
        <v>176</v>
      </c>
      <c r="J982" s="8" t="s">
        <v>233</v>
      </c>
      <c r="K982" s="8" t="s">
        <v>38</v>
      </c>
      <c r="L982" s="10">
        <v>1</v>
      </c>
      <c r="M982" s="13">
        <v>9500.0</v>
      </c>
      <c r="N982" s="13"/>
      <c r="O982" s="15">
        <f>IF(M982&gt;0, N982/M982, 0)</f>
        <v>0</v>
      </c>
      <c r="P982" s="13">
        <f>M982-N982</f>
        <v>9500</v>
      </c>
      <c r="Q982" s="13">
        <f>L982*M982</f>
        <v>9500</v>
      </c>
      <c r="R982" s="13">
        <f>L982*N982</f>
        <v>0</v>
      </c>
      <c r="S982" s="13">
        <f>L982*P982</f>
        <v>9500</v>
      </c>
      <c r="T982" s="13"/>
      <c r="U982" s="13">
        <f>L982*T982</f>
        <v>0</v>
      </c>
      <c r="V982" s="13">
        <f>S982-U982</f>
        <v>9500</v>
      </c>
      <c r="W982" s="15">
        <f>IF(S982&gt;0, V982/S982, 0)</f>
        <v>1</v>
      </c>
      <c r="X982" s="6" t="s">
        <v>39</v>
      </c>
      <c r="Y982" s="8" t="s">
        <v>40</v>
      </c>
      <c r="Z982" s="8" t="s">
        <v>41</v>
      </c>
      <c r="AA982" s="8" t="s">
        <v>42</v>
      </c>
      <c r="AB982" s="6" t="s">
        <v>42</v>
      </c>
    </row>
    <row r="983" spans="1:28">
      <c r="A983" s="9">
        <v>976</v>
      </c>
      <c r="B983" s="9" t="s">
        <v>1281</v>
      </c>
      <c r="C983" s="9" t="s">
        <v>1080</v>
      </c>
      <c r="D983" s="9" t="s">
        <v>652</v>
      </c>
      <c r="E983" s="9" t="s">
        <v>33</v>
      </c>
      <c r="F983" s="7" t="s">
        <v>34</v>
      </c>
      <c r="G983" s="7" t="s">
        <v>63</v>
      </c>
      <c r="H983" s="7" t="s">
        <v>148</v>
      </c>
      <c r="I983" s="9">
        <v>170</v>
      </c>
      <c r="J983" s="9" t="s">
        <v>149</v>
      </c>
      <c r="K983" s="9" t="s">
        <v>38</v>
      </c>
      <c r="L983" s="11">
        <v>1</v>
      </c>
      <c r="M983" s="14">
        <v>9500.0</v>
      </c>
      <c r="N983" s="14"/>
      <c r="O983" s="16">
        <f>IF(M983&gt;0, N983/M983, 0)</f>
        <v>0</v>
      </c>
      <c r="P983" s="14">
        <f>M983-N983</f>
        <v>9500</v>
      </c>
      <c r="Q983" s="14">
        <f>L983*M983</f>
        <v>9500</v>
      </c>
      <c r="R983" s="14">
        <f>L983*N983</f>
        <v>0</v>
      </c>
      <c r="S983" s="14">
        <f>L983*P983</f>
        <v>9500</v>
      </c>
      <c r="T983" s="14"/>
      <c r="U983" s="14">
        <f>L983*T983</f>
        <v>0</v>
      </c>
      <c r="V983" s="14">
        <f>S983-U983</f>
        <v>9500</v>
      </c>
      <c r="W983" s="16">
        <f>IF(S983&gt;0, V983/S983, 0)</f>
        <v>1</v>
      </c>
      <c r="X983" s="7" t="s">
        <v>39</v>
      </c>
      <c r="Y983" s="9" t="s">
        <v>40</v>
      </c>
      <c r="Z983" s="9" t="s">
        <v>41</v>
      </c>
      <c r="AA983" s="9" t="s">
        <v>42</v>
      </c>
      <c r="AB983" s="7" t="s">
        <v>42</v>
      </c>
    </row>
    <row r="984" spans="1:28">
      <c r="A984" s="8">
        <v>977</v>
      </c>
      <c r="B984" s="8" t="s">
        <v>1282</v>
      </c>
      <c r="C984" s="8" t="s">
        <v>1080</v>
      </c>
      <c r="D984" s="8" t="s">
        <v>652</v>
      </c>
      <c r="E984" s="8" t="s">
        <v>33</v>
      </c>
      <c r="F984" s="6" t="s">
        <v>34</v>
      </c>
      <c r="G984" s="6" t="s">
        <v>35</v>
      </c>
      <c r="H984" s="6" t="s">
        <v>36</v>
      </c>
      <c r="I984" s="8">
        <v>170</v>
      </c>
      <c r="J984" s="8" t="s">
        <v>142</v>
      </c>
      <c r="K984" s="8" t="s">
        <v>38</v>
      </c>
      <c r="L984" s="10">
        <v>3</v>
      </c>
      <c r="M984" s="13">
        <v>8000.0</v>
      </c>
      <c r="N984" s="13"/>
      <c r="O984" s="15">
        <f>IF(M984&gt;0, N984/M984, 0)</f>
        <v>0</v>
      </c>
      <c r="P984" s="13">
        <f>M984-N984</f>
        <v>8000</v>
      </c>
      <c r="Q984" s="13">
        <f>L984*M984</f>
        <v>24000</v>
      </c>
      <c r="R984" s="13">
        <f>L984*N984</f>
        <v>0</v>
      </c>
      <c r="S984" s="13">
        <f>L984*P984</f>
        <v>24000</v>
      </c>
      <c r="T984" s="13"/>
      <c r="U984" s="13">
        <f>L984*T984</f>
        <v>0</v>
      </c>
      <c r="V984" s="13">
        <f>S984-U984</f>
        <v>24000</v>
      </c>
      <c r="W984" s="15">
        <f>IF(S984&gt;0, V984/S984, 0)</f>
        <v>1</v>
      </c>
      <c r="X984" s="6" t="s">
        <v>39</v>
      </c>
      <c r="Y984" s="8" t="s">
        <v>40</v>
      </c>
      <c r="Z984" s="8" t="s">
        <v>41</v>
      </c>
      <c r="AA984" s="8" t="s">
        <v>42</v>
      </c>
      <c r="AB984" s="6" t="s">
        <v>42</v>
      </c>
    </row>
    <row r="985" spans="1:28">
      <c r="A985" s="9">
        <v>978</v>
      </c>
      <c r="B985" s="9" t="s">
        <v>1283</v>
      </c>
      <c r="C985" s="9" t="s">
        <v>1080</v>
      </c>
      <c r="D985" s="9" t="s">
        <v>652</v>
      </c>
      <c r="E985" s="9" t="s">
        <v>33</v>
      </c>
      <c r="F985" s="7" t="s">
        <v>34</v>
      </c>
      <c r="G985" s="7" t="s">
        <v>35</v>
      </c>
      <c r="H985" s="7" t="s">
        <v>73</v>
      </c>
      <c r="I985" s="9">
        <v>176</v>
      </c>
      <c r="J985" s="9" t="s">
        <v>420</v>
      </c>
      <c r="K985" s="9" t="s">
        <v>38</v>
      </c>
      <c r="L985" s="11">
        <v>2</v>
      </c>
      <c r="M985" s="14">
        <v>9000.0</v>
      </c>
      <c r="N985" s="14"/>
      <c r="O985" s="16">
        <f>IF(M985&gt;0, N985/M985, 0)</f>
        <v>0</v>
      </c>
      <c r="P985" s="14">
        <f>M985-N985</f>
        <v>9000</v>
      </c>
      <c r="Q985" s="14">
        <f>L985*M985</f>
        <v>18000</v>
      </c>
      <c r="R985" s="14">
        <f>L985*N985</f>
        <v>0</v>
      </c>
      <c r="S985" s="14">
        <f>L985*P985</f>
        <v>18000</v>
      </c>
      <c r="T985" s="14"/>
      <c r="U985" s="14">
        <f>L985*T985</f>
        <v>0</v>
      </c>
      <c r="V985" s="14">
        <f>S985-U985</f>
        <v>18000</v>
      </c>
      <c r="W985" s="16">
        <f>IF(S985&gt;0, V985/S985, 0)</f>
        <v>1</v>
      </c>
      <c r="X985" s="7" t="s">
        <v>39</v>
      </c>
      <c r="Y985" s="9" t="s">
        <v>40</v>
      </c>
      <c r="Z985" s="9" t="s">
        <v>41</v>
      </c>
      <c r="AA985" s="9" t="s">
        <v>42</v>
      </c>
      <c r="AB985" s="7" t="s">
        <v>42</v>
      </c>
    </row>
    <row r="986" spans="1:28">
      <c r="A986" s="8">
        <v>979</v>
      </c>
      <c r="B986" s="8" t="s">
        <v>1284</v>
      </c>
      <c r="C986" s="8" t="s">
        <v>1080</v>
      </c>
      <c r="D986" s="8" t="s">
        <v>652</v>
      </c>
      <c r="E986" s="8" t="s">
        <v>33</v>
      </c>
      <c r="F986" s="6" t="s">
        <v>34</v>
      </c>
      <c r="G986" s="6" t="s">
        <v>35</v>
      </c>
      <c r="H986" s="6" t="s">
        <v>36</v>
      </c>
      <c r="I986" s="8">
        <v>176</v>
      </c>
      <c r="J986" s="8" t="s">
        <v>352</v>
      </c>
      <c r="K986" s="8" t="s">
        <v>38</v>
      </c>
      <c r="L986" s="10">
        <v>1</v>
      </c>
      <c r="M986" s="13">
        <v>8000.0</v>
      </c>
      <c r="N986" s="13"/>
      <c r="O986" s="15">
        <f>IF(M986&gt;0, N986/M986, 0)</f>
        <v>0</v>
      </c>
      <c r="P986" s="13">
        <f>M986-N986</f>
        <v>8000</v>
      </c>
      <c r="Q986" s="13">
        <f>L986*M986</f>
        <v>8000</v>
      </c>
      <c r="R986" s="13">
        <f>L986*N986</f>
        <v>0</v>
      </c>
      <c r="S986" s="13">
        <f>L986*P986</f>
        <v>8000</v>
      </c>
      <c r="T986" s="13"/>
      <c r="U986" s="13">
        <f>L986*T986</f>
        <v>0</v>
      </c>
      <c r="V986" s="13">
        <f>S986-U986</f>
        <v>8000</v>
      </c>
      <c r="W986" s="15">
        <f>IF(S986&gt;0, V986/S986, 0)</f>
        <v>1</v>
      </c>
      <c r="X986" s="6" t="s">
        <v>39</v>
      </c>
      <c r="Y986" s="8" t="s">
        <v>40</v>
      </c>
      <c r="Z986" s="8" t="s">
        <v>41</v>
      </c>
      <c r="AA986" s="8" t="s">
        <v>42</v>
      </c>
      <c r="AB986" s="6" t="s">
        <v>42</v>
      </c>
    </row>
    <row r="987" spans="1:28">
      <c r="A987" s="9">
        <v>980</v>
      </c>
      <c r="B987" s="9" t="s">
        <v>1285</v>
      </c>
      <c r="C987" s="9" t="s">
        <v>1080</v>
      </c>
      <c r="D987" s="9" t="s">
        <v>652</v>
      </c>
      <c r="E987" s="9" t="s">
        <v>68</v>
      </c>
      <c r="F987" s="7" t="s">
        <v>34</v>
      </c>
      <c r="G987" s="7" t="s">
        <v>63</v>
      </c>
      <c r="H987" s="7" t="s">
        <v>148</v>
      </c>
      <c r="I987" s="9">
        <v>158</v>
      </c>
      <c r="J987" s="9" t="s">
        <v>217</v>
      </c>
      <c r="K987" s="9" t="s">
        <v>38</v>
      </c>
      <c r="L987" s="11">
        <v>1</v>
      </c>
      <c r="M987" s="14">
        <v>11000.0</v>
      </c>
      <c r="N987" s="14"/>
      <c r="O987" s="16">
        <f>IF(M987&gt;0, N987/M987, 0)</f>
        <v>0</v>
      </c>
      <c r="P987" s="14">
        <f>M987-N987</f>
        <v>11000</v>
      </c>
      <c r="Q987" s="14">
        <f>L987*M987</f>
        <v>11000</v>
      </c>
      <c r="R987" s="14">
        <f>L987*N987</f>
        <v>0</v>
      </c>
      <c r="S987" s="14">
        <f>L987*P987</f>
        <v>11000</v>
      </c>
      <c r="T987" s="14"/>
      <c r="U987" s="14">
        <f>L987*T987</f>
        <v>0</v>
      </c>
      <c r="V987" s="14">
        <f>S987-U987</f>
        <v>11000</v>
      </c>
      <c r="W987" s="16">
        <f>IF(S987&gt;0, V987/S987, 0)</f>
        <v>1</v>
      </c>
      <c r="X987" s="7" t="s">
        <v>39</v>
      </c>
      <c r="Y987" s="9" t="s">
        <v>40</v>
      </c>
      <c r="Z987" s="9" t="s">
        <v>71</v>
      </c>
      <c r="AA987" s="9" t="s">
        <v>42</v>
      </c>
      <c r="AB987" s="7" t="s">
        <v>42</v>
      </c>
    </row>
    <row r="988" spans="1:28">
      <c r="A988" s="8">
        <v>981</v>
      </c>
      <c r="B988" s="8" t="s">
        <v>1286</v>
      </c>
      <c r="C988" s="8" t="s">
        <v>1287</v>
      </c>
      <c r="D988" s="8" t="s">
        <v>652</v>
      </c>
      <c r="E988" s="8" t="s">
        <v>68</v>
      </c>
      <c r="F988" s="6" t="s">
        <v>34</v>
      </c>
      <c r="G988" s="6" t="s">
        <v>35</v>
      </c>
      <c r="H988" s="6" t="s">
        <v>36</v>
      </c>
      <c r="I988" s="8">
        <v>146</v>
      </c>
      <c r="J988" s="8" t="s">
        <v>528</v>
      </c>
      <c r="K988" s="8" t="s">
        <v>38</v>
      </c>
      <c r="L988" s="10">
        <v>3</v>
      </c>
      <c r="M988" s="13">
        <v>10000.0</v>
      </c>
      <c r="N988" s="13"/>
      <c r="O988" s="15">
        <f>IF(M988&gt;0, N988/M988, 0)</f>
        <v>0</v>
      </c>
      <c r="P988" s="13">
        <f>M988-N988</f>
        <v>10000</v>
      </c>
      <c r="Q988" s="13">
        <f>L988*M988</f>
        <v>30000</v>
      </c>
      <c r="R988" s="13">
        <f>L988*N988</f>
        <v>0</v>
      </c>
      <c r="S988" s="13">
        <f>L988*P988</f>
        <v>30000</v>
      </c>
      <c r="T988" s="13"/>
      <c r="U988" s="13">
        <f>L988*T988</f>
        <v>0</v>
      </c>
      <c r="V988" s="13">
        <f>S988-U988</f>
        <v>30000</v>
      </c>
      <c r="W988" s="15">
        <f>IF(S988&gt;0, V988/S988, 0)</f>
        <v>1</v>
      </c>
      <c r="X988" s="6" t="s">
        <v>39</v>
      </c>
      <c r="Y988" s="8" t="s">
        <v>40</v>
      </c>
      <c r="Z988" s="8" t="s">
        <v>71</v>
      </c>
      <c r="AA988" s="8" t="s">
        <v>42</v>
      </c>
      <c r="AB988" s="6" t="s">
        <v>42</v>
      </c>
    </row>
    <row r="989" spans="1:28">
      <c r="A989" s="9">
        <v>982</v>
      </c>
      <c r="B989" s="9" t="s">
        <v>1288</v>
      </c>
      <c r="C989" s="9" t="s">
        <v>1287</v>
      </c>
      <c r="D989" s="9" t="s">
        <v>652</v>
      </c>
      <c r="E989" s="9" t="s">
        <v>33</v>
      </c>
      <c r="F989" s="7" t="s">
        <v>34</v>
      </c>
      <c r="G989" s="7" t="s">
        <v>69</v>
      </c>
      <c r="H989" s="7" t="s">
        <v>69</v>
      </c>
      <c r="I989" s="9">
        <v>176</v>
      </c>
      <c r="J989" s="9" t="s">
        <v>203</v>
      </c>
      <c r="K989" s="9" t="s">
        <v>38</v>
      </c>
      <c r="L989" s="11">
        <v>1</v>
      </c>
      <c r="M989" s="14">
        <v>16500.0</v>
      </c>
      <c r="N989" s="14"/>
      <c r="O989" s="16">
        <f>IF(M989&gt;0, N989/M989, 0)</f>
        <v>0</v>
      </c>
      <c r="P989" s="14">
        <f>M989-N989</f>
        <v>16500</v>
      </c>
      <c r="Q989" s="14">
        <f>L989*M989</f>
        <v>16500</v>
      </c>
      <c r="R989" s="14">
        <f>L989*N989</f>
        <v>0</v>
      </c>
      <c r="S989" s="14">
        <f>L989*P989</f>
        <v>16500</v>
      </c>
      <c r="T989" s="14"/>
      <c r="U989" s="14">
        <f>L989*T989</f>
        <v>0</v>
      </c>
      <c r="V989" s="14">
        <f>S989-U989</f>
        <v>16500</v>
      </c>
      <c r="W989" s="16">
        <f>IF(S989&gt;0, V989/S989, 0)</f>
        <v>1</v>
      </c>
      <c r="X989" s="7" t="s">
        <v>39</v>
      </c>
      <c r="Y989" s="9" t="s">
        <v>40</v>
      </c>
      <c r="Z989" s="9" t="s">
        <v>41</v>
      </c>
      <c r="AA989" s="9" t="s">
        <v>42</v>
      </c>
      <c r="AB989" s="7" t="s">
        <v>42</v>
      </c>
    </row>
    <row r="990" spans="1:28">
      <c r="A990" s="8">
        <v>983</v>
      </c>
      <c r="B990" s="8" t="s">
        <v>1289</v>
      </c>
      <c r="C990" s="8" t="s">
        <v>1287</v>
      </c>
      <c r="D990" s="8" t="s">
        <v>652</v>
      </c>
      <c r="E990" s="8" t="s">
        <v>33</v>
      </c>
      <c r="F990" s="6" t="s">
        <v>34</v>
      </c>
      <c r="G990" s="6" t="s">
        <v>56</v>
      </c>
      <c r="H990" s="6" t="s">
        <v>56</v>
      </c>
      <c r="I990" s="8">
        <v>170</v>
      </c>
      <c r="J990" s="8" t="s">
        <v>212</v>
      </c>
      <c r="K990" s="8" t="s">
        <v>38</v>
      </c>
      <c r="L990" s="10">
        <v>1</v>
      </c>
      <c r="M990" s="13">
        <v>7500.0</v>
      </c>
      <c r="N990" s="13"/>
      <c r="O990" s="15">
        <f>IF(M990&gt;0, N990/M990, 0)</f>
        <v>0</v>
      </c>
      <c r="P990" s="13">
        <f>M990-N990</f>
        <v>7500</v>
      </c>
      <c r="Q990" s="13">
        <f>L990*M990</f>
        <v>7500</v>
      </c>
      <c r="R990" s="13">
        <f>L990*N990</f>
        <v>0</v>
      </c>
      <c r="S990" s="13">
        <f>L990*P990</f>
        <v>7500</v>
      </c>
      <c r="T990" s="13"/>
      <c r="U990" s="13">
        <f>L990*T990</f>
        <v>0</v>
      </c>
      <c r="V990" s="13">
        <f>S990-U990</f>
        <v>7500</v>
      </c>
      <c r="W990" s="15">
        <f>IF(S990&gt;0, V990/S990, 0)</f>
        <v>1</v>
      </c>
      <c r="X990" s="6" t="s">
        <v>39</v>
      </c>
      <c r="Y990" s="8" t="s">
        <v>40</v>
      </c>
      <c r="Z990" s="8" t="s">
        <v>41</v>
      </c>
      <c r="AA990" s="8" t="s">
        <v>42</v>
      </c>
      <c r="AB990" s="6" t="s">
        <v>42</v>
      </c>
    </row>
    <row r="991" spans="1:28">
      <c r="A991" s="9">
        <v>984</v>
      </c>
      <c r="B991" s="9" t="s">
        <v>1290</v>
      </c>
      <c r="C991" s="9" t="s">
        <v>1287</v>
      </c>
      <c r="D991" s="9" t="s">
        <v>652</v>
      </c>
      <c r="E991" s="9" t="s">
        <v>33</v>
      </c>
      <c r="F991" s="7" t="s">
        <v>34</v>
      </c>
      <c r="G991" s="7" t="s">
        <v>51</v>
      </c>
      <c r="H991" s="7" t="s">
        <v>51</v>
      </c>
      <c r="I991" s="9">
        <v>176</v>
      </c>
      <c r="J991" s="9" t="s">
        <v>418</v>
      </c>
      <c r="K991" s="9" t="s">
        <v>38</v>
      </c>
      <c r="L991" s="11">
        <v>1</v>
      </c>
      <c r="M991" s="14">
        <v>8500.0</v>
      </c>
      <c r="N991" s="14"/>
      <c r="O991" s="16">
        <f>IF(M991&gt;0, N991/M991, 0)</f>
        <v>0</v>
      </c>
      <c r="P991" s="14">
        <f>M991-N991</f>
        <v>8500</v>
      </c>
      <c r="Q991" s="14">
        <f>L991*M991</f>
        <v>8500</v>
      </c>
      <c r="R991" s="14">
        <f>L991*N991</f>
        <v>0</v>
      </c>
      <c r="S991" s="14">
        <f>L991*P991</f>
        <v>8500</v>
      </c>
      <c r="T991" s="14"/>
      <c r="U991" s="14">
        <f>L991*T991</f>
        <v>0</v>
      </c>
      <c r="V991" s="14">
        <f>S991-U991</f>
        <v>8500</v>
      </c>
      <c r="W991" s="16">
        <f>IF(S991&gt;0, V991/S991, 0)</f>
        <v>1</v>
      </c>
      <c r="X991" s="7" t="s">
        <v>39</v>
      </c>
      <c r="Y991" s="9" t="s">
        <v>40</v>
      </c>
      <c r="Z991" s="9" t="s">
        <v>41</v>
      </c>
      <c r="AA991" s="9" t="s">
        <v>42</v>
      </c>
      <c r="AB991" s="7" t="s">
        <v>42</v>
      </c>
    </row>
    <row r="992" spans="1:28">
      <c r="A992" s="8">
        <v>985</v>
      </c>
      <c r="B992" s="8" t="s">
        <v>1291</v>
      </c>
      <c r="C992" s="8" t="s">
        <v>1287</v>
      </c>
      <c r="D992" s="8" t="s">
        <v>652</v>
      </c>
      <c r="E992" s="8" t="s">
        <v>33</v>
      </c>
      <c r="F992" s="6" t="s">
        <v>34</v>
      </c>
      <c r="G992" s="6" t="s">
        <v>63</v>
      </c>
      <c r="H992" s="6" t="s">
        <v>148</v>
      </c>
      <c r="I992" s="8">
        <v>170</v>
      </c>
      <c r="J992" s="8" t="s">
        <v>149</v>
      </c>
      <c r="K992" s="8" t="s">
        <v>38</v>
      </c>
      <c r="L992" s="10">
        <v>1</v>
      </c>
      <c r="M992" s="13">
        <v>9500.0</v>
      </c>
      <c r="N992" s="13"/>
      <c r="O992" s="15">
        <f>IF(M992&gt;0, N992/M992, 0)</f>
        <v>0</v>
      </c>
      <c r="P992" s="13">
        <f>M992-N992</f>
        <v>9500</v>
      </c>
      <c r="Q992" s="13">
        <f>L992*M992</f>
        <v>9500</v>
      </c>
      <c r="R992" s="13">
        <f>L992*N992</f>
        <v>0</v>
      </c>
      <c r="S992" s="13">
        <f>L992*P992</f>
        <v>9500</v>
      </c>
      <c r="T992" s="13"/>
      <c r="U992" s="13">
        <f>L992*T992</f>
        <v>0</v>
      </c>
      <c r="V992" s="13">
        <f>S992-U992</f>
        <v>9500</v>
      </c>
      <c r="W992" s="15">
        <f>IF(S992&gt;0, V992/S992, 0)</f>
        <v>1</v>
      </c>
      <c r="X992" s="6" t="s">
        <v>39</v>
      </c>
      <c r="Y992" s="8" t="s">
        <v>40</v>
      </c>
      <c r="Z992" s="8" t="s">
        <v>41</v>
      </c>
      <c r="AA992" s="8" t="s">
        <v>42</v>
      </c>
      <c r="AB992" s="6" t="s">
        <v>42</v>
      </c>
    </row>
    <row r="993" spans="1:28">
      <c r="A993" s="9">
        <v>986</v>
      </c>
      <c r="B993" s="9" t="s">
        <v>1292</v>
      </c>
      <c r="C993" s="9" t="s">
        <v>1287</v>
      </c>
      <c r="D993" s="9" t="s">
        <v>652</v>
      </c>
      <c r="E993" s="9" t="s">
        <v>33</v>
      </c>
      <c r="F993" s="7" t="s">
        <v>34</v>
      </c>
      <c r="G993" s="7" t="s">
        <v>35</v>
      </c>
      <c r="H993" s="7" t="s">
        <v>73</v>
      </c>
      <c r="I993" s="9">
        <v>176</v>
      </c>
      <c r="J993" s="9" t="s">
        <v>420</v>
      </c>
      <c r="K993" s="9" t="s">
        <v>38</v>
      </c>
      <c r="L993" s="11">
        <v>1</v>
      </c>
      <c r="M993" s="14">
        <v>9000.0</v>
      </c>
      <c r="N993" s="14"/>
      <c r="O993" s="16">
        <f>IF(M993&gt;0, N993/M993, 0)</f>
        <v>0</v>
      </c>
      <c r="P993" s="14">
        <f>M993-N993</f>
        <v>9000</v>
      </c>
      <c r="Q993" s="14">
        <f>L993*M993</f>
        <v>9000</v>
      </c>
      <c r="R993" s="14">
        <f>L993*N993</f>
        <v>0</v>
      </c>
      <c r="S993" s="14">
        <f>L993*P993</f>
        <v>9000</v>
      </c>
      <c r="T993" s="14"/>
      <c r="U993" s="14">
        <f>L993*T993</f>
        <v>0</v>
      </c>
      <c r="V993" s="14">
        <f>S993-U993</f>
        <v>9000</v>
      </c>
      <c r="W993" s="16">
        <f>IF(S993&gt;0, V993/S993, 0)</f>
        <v>1</v>
      </c>
      <c r="X993" s="7" t="s">
        <v>39</v>
      </c>
      <c r="Y993" s="9" t="s">
        <v>40</v>
      </c>
      <c r="Z993" s="9" t="s">
        <v>41</v>
      </c>
      <c r="AA993" s="9" t="s">
        <v>42</v>
      </c>
      <c r="AB993" s="7" t="s">
        <v>42</v>
      </c>
    </row>
    <row r="994" spans="1:28">
      <c r="A994" s="8">
        <v>987</v>
      </c>
      <c r="B994" s="8" t="s">
        <v>1293</v>
      </c>
      <c r="C994" s="8" t="s">
        <v>1287</v>
      </c>
      <c r="D994" s="8" t="s">
        <v>652</v>
      </c>
      <c r="E994" s="8" t="s">
        <v>33</v>
      </c>
      <c r="F994" s="6" t="s">
        <v>34</v>
      </c>
      <c r="G994" s="6" t="s">
        <v>35</v>
      </c>
      <c r="H994" s="6" t="s">
        <v>36</v>
      </c>
      <c r="I994" s="8">
        <v>176</v>
      </c>
      <c r="J994" s="8" t="s">
        <v>352</v>
      </c>
      <c r="K994" s="8" t="s">
        <v>38</v>
      </c>
      <c r="L994" s="10">
        <v>2</v>
      </c>
      <c r="M994" s="13">
        <v>8000.0</v>
      </c>
      <c r="N994" s="13"/>
      <c r="O994" s="15">
        <f>IF(M994&gt;0, N994/M994, 0)</f>
        <v>0</v>
      </c>
      <c r="P994" s="13">
        <f>M994-N994</f>
        <v>8000</v>
      </c>
      <c r="Q994" s="13">
        <f>L994*M994</f>
        <v>16000</v>
      </c>
      <c r="R994" s="13">
        <f>L994*N994</f>
        <v>0</v>
      </c>
      <c r="S994" s="13">
        <f>L994*P994</f>
        <v>16000</v>
      </c>
      <c r="T994" s="13"/>
      <c r="U994" s="13">
        <f>L994*T994</f>
        <v>0</v>
      </c>
      <c r="V994" s="13">
        <f>S994-U994</f>
        <v>16000</v>
      </c>
      <c r="W994" s="15">
        <f>IF(S994&gt;0, V994/S994, 0)</f>
        <v>1</v>
      </c>
      <c r="X994" s="6" t="s">
        <v>39</v>
      </c>
      <c r="Y994" s="8" t="s">
        <v>40</v>
      </c>
      <c r="Z994" s="8" t="s">
        <v>41</v>
      </c>
      <c r="AA994" s="8" t="s">
        <v>42</v>
      </c>
      <c r="AB994" s="6" t="s">
        <v>42</v>
      </c>
    </row>
    <row r="995" spans="1:28">
      <c r="A995" s="9">
        <v>988</v>
      </c>
      <c r="B995" s="9" t="s">
        <v>1294</v>
      </c>
      <c r="C995" s="9" t="s">
        <v>1287</v>
      </c>
      <c r="D995" s="9" t="s">
        <v>652</v>
      </c>
      <c r="E995" s="9" t="s">
        <v>68</v>
      </c>
      <c r="F995" s="7" t="s">
        <v>34</v>
      </c>
      <c r="G995" s="7" t="s">
        <v>51</v>
      </c>
      <c r="H995" s="7" t="s">
        <v>51</v>
      </c>
      <c r="I995" s="9">
        <v>146</v>
      </c>
      <c r="J995" s="9" t="s">
        <v>324</v>
      </c>
      <c r="K995" s="9" t="s">
        <v>38</v>
      </c>
      <c r="L995" s="11">
        <v>1</v>
      </c>
      <c r="M995" s="14">
        <v>10000.0</v>
      </c>
      <c r="N995" s="14"/>
      <c r="O995" s="16">
        <f>IF(M995&gt;0, N995/M995, 0)</f>
        <v>0</v>
      </c>
      <c r="P995" s="14">
        <f>M995-N995</f>
        <v>10000</v>
      </c>
      <c r="Q995" s="14">
        <f>L995*M995</f>
        <v>10000</v>
      </c>
      <c r="R995" s="14">
        <f>L995*N995</f>
        <v>0</v>
      </c>
      <c r="S995" s="14">
        <f>L995*P995</f>
        <v>10000</v>
      </c>
      <c r="T995" s="14"/>
      <c r="U995" s="14">
        <f>L995*T995</f>
        <v>0</v>
      </c>
      <c r="V995" s="14">
        <f>S995-U995</f>
        <v>10000</v>
      </c>
      <c r="W995" s="16">
        <f>IF(S995&gt;0, V995/S995, 0)</f>
        <v>1</v>
      </c>
      <c r="X995" s="7" t="s">
        <v>39</v>
      </c>
      <c r="Y995" s="9" t="s">
        <v>40</v>
      </c>
      <c r="Z995" s="9" t="s">
        <v>71</v>
      </c>
      <c r="AA995" s="9" t="s">
        <v>42</v>
      </c>
      <c r="AB995" s="7" t="s">
        <v>42</v>
      </c>
    </row>
    <row r="996" spans="1:28">
      <c r="A996" s="8">
        <v>989</v>
      </c>
      <c r="B996" s="8" t="s">
        <v>1295</v>
      </c>
      <c r="C996" s="8" t="s">
        <v>1287</v>
      </c>
      <c r="D996" s="8" t="s">
        <v>652</v>
      </c>
      <c r="E996" s="8" t="s">
        <v>33</v>
      </c>
      <c r="F996" s="6" t="s">
        <v>50</v>
      </c>
      <c r="G996" s="6" t="s">
        <v>35</v>
      </c>
      <c r="H996" s="6" t="s">
        <v>36</v>
      </c>
      <c r="I996" s="8">
        <v>110</v>
      </c>
      <c r="J996" s="8" t="s">
        <v>1296</v>
      </c>
      <c r="K996" s="8" t="s">
        <v>53</v>
      </c>
      <c r="L996" s="10">
        <v>1</v>
      </c>
      <c r="M996" s="13">
        <v>7000.0</v>
      </c>
      <c r="N996" s="13"/>
      <c r="O996" s="15">
        <f>IF(M996&gt;0, N996/M996, 0)</f>
        <v>0</v>
      </c>
      <c r="P996" s="13">
        <f>M996-N996</f>
        <v>7000</v>
      </c>
      <c r="Q996" s="13">
        <f>L996*M996</f>
        <v>7000</v>
      </c>
      <c r="R996" s="13">
        <f>L996*N996</f>
        <v>0</v>
      </c>
      <c r="S996" s="13">
        <f>L996*P996</f>
        <v>7000</v>
      </c>
      <c r="T996" s="13"/>
      <c r="U996" s="13">
        <f>L996*T996</f>
        <v>0</v>
      </c>
      <c r="V996" s="13">
        <f>S996-U996</f>
        <v>7000</v>
      </c>
      <c r="W996" s="15">
        <f>IF(S996&gt;0, V996/S996, 0)</f>
        <v>1</v>
      </c>
      <c r="X996" s="6" t="s">
        <v>39</v>
      </c>
      <c r="Y996" s="8" t="s">
        <v>40</v>
      </c>
      <c r="Z996" s="8" t="s">
        <v>41</v>
      </c>
      <c r="AA996" s="8" t="s">
        <v>42</v>
      </c>
      <c r="AB996" s="6" t="s">
        <v>42</v>
      </c>
    </row>
    <row r="997" spans="1:28">
      <c r="A997" s="9">
        <v>990</v>
      </c>
      <c r="B997" s="9" t="s">
        <v>1297</v>
      </c>
      <c r="C997" s="9" t="s">
        <v>1287</v>
      </c>
      <c r="D997" s="9" t="s">
        <v>652</v>
      </c>
      <c r="E997" s="9" t="s">
        <v>33</v>
      </c>
      <c r="F997" s="7" t="s">
        <v>34</v>
      </c>
      <c r="G997" s="7" t="s">
        <v>45</v>
      </c>
      <c r="H997" s="7" t="s">
        <v>46</v>
      </c>
      <c r="I997" s="9">
        <v>146</v>
      </c>
      <c r="J997" s="9" t="s">
        <v>707</v>
      </c>
      <c r="K997" s="9" t="s">
        <v>38</v>
      </c>
      <c r="L997" s="11">
        <v>1</v>
      </c>
      <c r="M997" s="14">
        <v>18000.0</v>
      </c>
      <c r="N997" s="14"/>
      <c r="O997" s="16">
        <f>IF(M997&gt;0, N997/M997, 0)</f>
        <v>0</v>
      </c>
      <c r="P997" s="14">
        <f>M997-N997</f>
        <v>18000</v>
      </c>
      <c r="Q997" s="14">
        <f>L997*M997</f>
        <v>18000</v>
      </c>
      <c r="R997" s="14">
        <f>L997*N997</f>
        <v>0</v>
      </c>
      <c r="S997" s="14">
        <f>L997*P997</f>
        <v>18000</v>
      </c>
      <c r="T997" s="14"/>
      <c r="U997" s="14">
        <f>L997*T997</f>
        <v>0</v>
      </c>
      <c r="V997" s="14">
        <f>S997-U997</f>
        <v>18000</v>
      </c>
      <c r="W997" s="16">
        <f>IF(S997&gt;0, V997/S997, 0)</f>
        <v>1</v>
      </c>
      <c r="X997" s="7" t="s">
        <v>39</v>
      </c>
      <c r="Y997" s="9" t="s">
        <v>40</v>
      </c>
      <c r="Z997" s="9" t="s">
        <v>41</v>
      </c>
      <c r="AA997" s="9" t="s">
        <v>42</v>
      </c>
      <c r="AB997" s="7" t="s">
        <v>42</v>
      </c>
    </row>
    <row r="998" spans="1:28">
      <c r="A998" s="8">
        <v>991</v>
      </c>
      <c r="B998" s="8" t="s">
        <v>1298</v>
      </c>
      <c r="C998" s="8" t="s">
        <v>1287</v>
      </c>
      <c r="D998" s="8" t="s">
        <v>652</v>
      </c>
      <c r="E998" s="8" t="s">
        <v>33</v>
      </c>
      <c r="F998" s="6" t="s">
        <v>34</v>
      </c>
      <c r="G998" s="6" t="s">
        <v>69</v>
      </c>
      <c r="H998" s="6" t="s">
        <v>69</v>
      </c>
      <c r="I998" s="8">
        <v>146</v>
      </c>
      <c r="J998" s="8" t="s">
        <v>264</v>
      </c>
      <c r="K998" s="8" t="s">
        <v>38</v>
      </c>
      <c r="L998" s="10">
        <v>1</v>
      </c>
      <c r="M998" s="13">
        <v>16500.0</v>
      </c>
      <c r="N998" s="13"/>
      <c r="O998" s="15">
        <f>IF(M998&gt;0, N998/M998, 0)</f>
        <v>0</v>
      </c>
      <c r="P998" s="13">
        <f>M998-N998</f>
        <v>16500</v>
      </c>
      <c r="Q998" s="13">
        <f>L998*M998</f>
        <v>16500</v>
      </c>
      <c r="R998" s="13">
        <f>L998*N998</f>
        <v>0</v>
      </c>
      <c r="S998" s="13">
        <f>L998*P998</f>
        <v>16500</v>
      </c>
      <c r="T998" s="13"/>
      <c r="U998" s="13">
        <f>L998*T998</f>
        <v>0</v>
      </c>
      <c r="V998" s="13">
        <f>S998-U998</f>
        <v>16500</v>
      </c>
      <c r="W998" s="15">
        <f>IF(S998&gt;0, V998/S998, 0)</f>
        <v>1</v>
      </c>
      <c r="X998" s="6" t="s">
        <v>39</v>
      </c>
      <c r="Y998" s="8" t="s">
        <v>40</v>
      </c>
      <c r="Z998" s="8" t="s">
        <v>41</v>
      </c>
      <c r="AA998" s="8" t="s">
        <v>42</v>
      </c>
      <c r="AB998" s="6" t="s">
        <v>42</v>
      </c>
    </row>
    <row r="999" spans="1:28">
      <c r="A999" s="9">
        <v>992</v>
      </c>
      <c r="B999" s="9" t="s">
        <v>1299</v>
      </c>
      <c r="C999" s="9" t="s">
        <v>1287</v>
      </c>
      <c r="D999" s="9" t="s">
        <v>652</v>
      </c>
      <c r="E999" s="9" t="s">
        <v>68</v>
      </c>
      <c r="F999" s="7" t="s">
        <v>50</v>
      </c>
      <c r="G999" s="7" t="s">
        <v>63</v>
      </c>
      <c r="H999" s="7" t="s">
        <v>148</v>
      </c>
      <c r="I999" s="9">
        <v>146</v>
      </c>
      <c r="J999" s="9" t="s">
        <v>167</v>
      </c>
      <c r="K999" s="9" t="s">
        <v>38</v>
      </c>
      <c r="L999" s="11">
        <v>1</v>
      </c>
      <c r="M999" s="14">
        <v>10000.0</v>
      </c>
      <c r="N999" s="14"/>
      <c r="O999" s="16">
        <f>IF(M999&gt;0, N999/M999, 0)</f>
        <v>0</v>
      </c>
      <c r="P999" s="14">
        <f>M999-N999</f>
        <v>10000</v>
      </c>
      <c r="Q999" s="14">
        <f>L999*M999</f>
        <v>10000</v>
      </c>
      <c r="R999" s="14">
        <f>L999*N999</f>
        <v>0</v>
      </c>
      <c r="S999" s="14">
        <f>L999*P999</f>
        <v>10000</v>
      </c>
      <c r="T999" s="14"/>
      <c r="U999" s="14">
        <f>L999*T999</f>
        <v>0</v>
      </c>
      <c r="V999" s="14">
        <f>S999-U999</f>
        <v>10000</v>
      </c>
      <c r="W999" s="16">
        <f>IF(S999&gt;0, V999/S999, 0)</f>
        <v>1</v>
      </c>
      <c r="X999" s="7" t="s">
        <v>39</v>
      </c>
      <c r="Y999" s="9" t="s">
        <v>40</v>
      </c>
      <c r="Z999" s="9" t="s">
        <v>71</v>
      </c>
      <c r="AA999" s="9" t="s">
        <v>42</v>
      </c>
      <c r="AB999" s="7" t="s">
        <v>42</v>
      </c>
    </row>
    <row r="1000" spans="1:28">
      <c r="A1000" s="8">
        <v>993</v>
      </c>
      <c r="B1000" s="8" t="s">
        <v>1300</v>
      </c>
      <c r="C1000" s="8" t="s">
        <v>1287</v>
      </c>
      <c r="D1000" s="8" t="s">
        <v>652</v>
      </c>
      <c r="E1000" s="8" t="s">
        <v>68</v>
      </c>
      <c r="F1000" s="6" t="s">
        <v>50</v>
      </c>
      <c r="G1000" s="6" t="s">
        <v>56</v>
      </c>
      <c r="H1000" s="6" t="s">
        <v>56</v>
      </c>
      <c r="I1000" s="8">
        <v>146</v>
      </c>
      <c r="J1000" s="8" t="s">
        <v>751</v>
      </c>
      <c r="K1000" s="8" t="s">
        <v>38</v>
      </c>
      <c r="L1000" s="10">
        <v>1</v>
      </c>
      <c r="M1000" s="13">
        <v>8000.0</v>
      </c>
      <c r="N1000" s="13"/>
      <c r="O1000" s="15">
        <f>IF(M1000&gt;0, N1000/M1000, 0)</f>
        <v>0</v>
      </c>
      <c r="P1000" s="13">
        <f>M1000-N1000</f>
        <v>8000</v>
      </c>
      <c r="Q1000" s="13">
        <f>L1000*M1000</f>
        <v>8000</v>
      </c>
      <c r="R1000" s="13">
        <f>L1000*N1000</f>
        <v>0</v>
      </c>
      <c r="S1000" s="13">
        <f>L1000*P1000</f>
        <v>8000</v>
      </c>
      <c r="T1000" s="13"/>
      <c r="U1000" s="13">
        <f>L1000*T1000</f>
        <v>0</v>
      </c>
      <c r="V1000" s="13">
        <f>S1000-U1000</f>
        <v>8000</v>
      </c>
      <c r="W1000" s="15">
        <f>IF(S1000&gt;0, V1000/S1000, 0)</f>
        <v>1</v>
      </c>
      <c r="X1000" s="6" t="s">
        <v>39</v>
      </c>
      <c r="Y1000" s="8" t="s">
        <v>40</v>
      </c>
      <c r="Z1000" s="8" t="s">
        <v>71</v>
      </c>
      <c r="AA1000" s="8" t="s">
        <v>42</v>
      </c>
      <c r="AB1000" s="6" t="s">
        <v>42</v>
      </c>
    </row>
    <row r="1001" spans="1:28">
      <c r="A1001" s="9">
        <v>994</v>
      </c>
      <c r="B1001" s="9" t="s">
        <v>1301</v>
      </c>
      <c r="C1001" s="9" t="s">
        <v>1287</v>
      </c>
      <c r="D1001" s="9" t="s">
        <v>652</v>
      </c>
      <c r="E1001" s="9" t="s">
        <v>33</v>
      </c>
      <c r="F1001" s="7" t="s">
        <v>50</v>
      </c>
      <c r="G1001" s="7" t="s">
        <v>69</v>
      </c>
      <c r="H1001" s="7" t="s">
        <v>69</v>
      </c>
      <c r="I1001" s="9">
        <v>152</v>
      </c>
      <c r="J1001" s="9" t="s">
        <v>350</v>
      </c>
      <c r="K1001" s="9" t="s">
        <v>38</v>
      </c>
      <c r="L1001" s="11">
        <v>1</v>
      </c>
      <c r="M1001" s="14">
        <v>16000.0</v>
      </c>
      <c r="N1001" s="14"/>
      <c r="O1001" s="16">
        <f>IF(M1001&gt;0, N1001/M1001, 0)</f>
        <v>0</v>
      </c>
      <c r="P1001" s="14">
        <f>M1001-N1001</f>
        <v>16000</v>
      </c>
      <c r="Q1001" s="14">
        <f>L1001*M1001</f>
        <v>16000</v>
      </c>
      <c r="R1001" s="14">
        <f>L1001*N1001</f>
        <v>0</v>
      </c>
      <c r="S1001" s="14">
        <f>L1001*P1001</f>
        <v>16000</v>
      </c>
      <c r="T1001" s="14"/>
      <c r="U1001" s="14">
        <f>L1001*T1001</f>
        <v>0</v>
      </c>
      <c r="V1001" s="14">
        <f>S1001-U1001</f>
        <v>16000</v>
      </c>
      <c r="W1001" s="16">
        <f>IF(S1001&gt;0, V1001/S1001, 0)</f>
        <v>1</v>
      </c>
      <c r="X1001" s="7" t="s">
        <v>39</v>
      </c>
      <c r="Y1001" s="9" t="s">
        <v>40</v>
      </c>
      <c r="Z1001" s="9" t="s">
        <v>41</v>
      </c>
      <c r="AA1001" s="9" t="s">
        <v>42</v>
      </c>
      <c r="AB1001" s="7" t="s">
        <v>42</v>
      </c>
    </row>
    <row r="1002" spans="1:28">
      <c r="A1002" s="8">
        <v>995</v>
      </c>
      <c r="B1002" s="8" t="s">
        <v>1302</v>
      </c>
      <c r="C1002" s="8" t="s">
        <v>1287</v>
      </c>
      <c r="D1002" s="8" t="s">
        <v>652</v>
      </c>
      <c r="E1002" s="8" t="s">
        <v>33</v>
      </c>
      <c r="F1002" s="6" t="s">
        <v>50</v>
      </c>
      <c r="G1002" s="6" t="s">
        <v>51</v>
      </c>
      <c r="H1002" s="6" t="s">
        <v>51</v>
      </c>
      <c r="I1002" s="8">
        <v>146</v>
      </c>
      <c r="J1002" s="8" t="s">
        <v>254</v>
      </c>
      <c r="K1002" s="8" t="s">
        <v>53</v>
      </c>
      <c r="L1002" s="10">
        <v>1</v>
      </c>
      <c r="M1002" s="13">
        <v>8000.0</v>
      </c>
      <c r="N1002" s="13"/>
      <c r="O1002" s="15">
        <f>IF(M1002&gt;0, N1002/M1002, 0)</f>
        <v>0</v>
      </c>
      <c r="P1002" s="13">
        <f>M1002-N1002</f>
        <v>8000</v>
      </c>
      <c r="Q1002" s="13">
        <f>L1002*M1002</f>
        <v>8000</v>
      </c>
      <c r="R1002" s="13">
        <f>L1002*N1002</f>
        <v>0</v>
      </c>
      <c r="S1002" s="13">
        <f>L1002*P1002</f>
        <v>8000</v>
      </c>
      <c r="T1002" s="13"/>
      <c r="U1002" s="13">
        <f>L1002*T1002</f>
        <v>0</v>
      </c>
      <c r="V1002" s="13">
        <f>S1002-U1002</f>
        <v>8000</v>
      </c>
      <c r="W1002" s="15">
        <f>IF(S1002&gt;0, V1002/S1002, 0)</f>
        <v>1</v>
      </c>
      <c r="X1002" s="6" t="s">
        <v>39</v>
      </c>
      <c r="Y1002" s="8" t="s">
        <v>40</v>
      </c>
      <c r="Z1002" s="8" t="s">
        <v>41</v>
      </c>
      <c r="AA1002" s="8" t="s">
        <v>42</v>
      </c>
      <c r="AB1002" s="6" t="s">
        <v>42</v>
      </c>
    </row>
    <row r="1003" spans="1:28">
      <c r="A1003" s="9">
        <v>996</v>
      </c>
      <c r="B1003" s="9" t="s">
        <v>1303</v>
      </c>
      <c r="C1003" s="9" t="s">
        <v>1287</v>
      </c>
      <c r="D1003" s="9" t="s">
        <v>652</v>
      </c>
      <c r="E1003" s="9" t="s">
        <v>33</v>
      </c>
      <c r="F1003" s="7" t="s">
        <v>50</v>
      </c>
      <c r="G1003" s="7" t="s">
        <v>35</v>
      </c>
      <c r="H1003" s="7" t="s">
        <v>36</v>
      </c>
      <c r="I1003" s="9">
        <v>152</v>
      </c>
      <c r="J1003" s="9" t="s">
        <v>151</v>
      </c>
      <c r="K1003" s="9" t="s">
        <v>53</v>
      </c>
      <c r="L1003" s="11">
        <v>1</v>
      </c>
      <c r="M1003" s="14">
        <v>7000.0</v>
      </c>
      <c r="N1003" s="14"/>
      <c r="O1003" s="16">
        <f>IF(M1003&gt;0, N1003/M1003, 0)</f>
        <v>0</v>
      </c>
      <c r="P1003" s="14">
        <f>M1003-N1003</f>
        <v>7000</v>
      </c>
      <c r="Q1003" s="14">
        <f>L1003*M1003</f>
        <v>7000</v>
      </c>
      <c r="R1003" s="14">
        <f>L1003*N1003</f>
        <v>0</v>
      </c>
      <c r="S1003" s="14">
        <f>L1003*P1003</f>
        <v>7000</v>
      </c>
      <c r="T1003" s="14"/>
      <c r="U1003" s="14">
        <f>L1003*T1003</f>
        <v>0</v>
      </c>
      <c r="V1003" s="14">
        <f>S1003-U1003</f>
        <v>7000</v>
      </c>
      <c r="W1003" s="16">
        <f>IF(S1003&gt;0, V1003/S1003, 0)</f>
        <v>1</v>
      </c>
      <c r="X1003" s="7" t="s">
        <v>39</v>
      </c>
      <c r="Y1003" s="9" t="s">
        <v>40</v>
      </c>
      <c r="Z1003" s="9" t="s">
        <v>41</v>
      </c>
      <c r="AA1003" s="9" t="s">
        <v>42</v>
      </c>
      <c r="AB1003" s="7" t="s">
        <v>42</v>
      </c>
    </row>
    <row r="1004" spans="1:28">
      <c r="A1004" s="8">
        <v>997</v>
      </c>
      <c r="B1004" s="8" t="s">
        <v>1304</v>
      </c>
      <c r="C1004" s="8" t="s">
        <v>1287</v>
      </c>
      <c r="D1004" s="8" t="s">
        <v>652</v>
      </c>
      <c r="E1004" s="8" t="s">
        <v>68</v>
      </c>
      <c r="F1004" s="6" t="s">
        <v>34</v>
      </c>
      <c r="G1004" s="6" t="s">
        <v>69</v>
      </c>
      <c r="H1004" s="6" t="s">
        <v>69</v>
      </c>
      <c r="I1004" s="8">
        <v>158</v>
      </c>
      <c r="J1004" s="8" t="s">
        <v>260</v>
      </c>
      <c r="K1004" s="8" t="s">
        <v>38</v>
      </c>
      <c r="L1004" s="10">
        <v>1</v>
      </c>
      <c r="M1004" s="13">
        <v>18000.0</v>
      </c>
      <c r="N1004" s="13"/>
      <c r="O1004" s="15">
        <f>IF(M1004&gt;0, N1004/M1004, 0)</f>
        <v>0</v>
      </c>
      <c r="P1004" s="13">
        <f>M1004-N1004</f>
        <v>18000</v>
      </c>
      <c r="Q1004" s="13">
        <f>L1004*M1004</f>
        <v>18000</v>
      </c>
      <c r="R1004" s="13">
        <f>L1004*N1004</f>
        <v>0</v>
      </c>
      <c r="S1004" s="13">
        <f>L1004*P1004</f>
        <v>18000</v>
      </c>
      <c r="T1004" s="13"/>
      <c r="U1004" s="13">
        <f>L1004*T1004</f>
        <v>0</v>
      </c>
      <c r="V1004" s="13">
        <f>S1004-U1004</f>
        <v>18000</v>
      </c>
      <c r="W1004" s="15">
        <f>IF(S1004&gt;0, V1004/S1004, 0)</f>
        <v>1</v>
      </c>
      <c r="X1004" s="6" t="s">
        <v>39</v>
      </c>
      <c r="Y1004" s="8" t="s">
        <v>40</v>
      </c>
      <c r="Z1004" s="8" t="s">
        <v>71</v>
      </c>
      <c r="AA1004" s="8" t="s">
        <v>42</v>
      </c>
      <c r="AB1004" s="6" t="s">
        <v>42</v>
      </c>
    </row>
    <row r="1005" spans="1:28">
      <c r="A1005" s="9">
        <v>998</v>
      </c>
      <c r="B1005" s="9" t="s">
        <v>1305</v>
      </c>
      <c r="C1005" s="9" t="s">
        <v>1287</v>
      </c>
      <c r="D1005" s="9" t="s">
        <v>652</v>
      </c>
      <c r="E1005" s="9" t="s">
        <v>33</v>
      </c>
      <c r="F1005" s="7" t="s">
        <v>34</v>
      </c>
      <c r="G1005" s="7" t="s">
        <v>56</v>
      </c>
      <c r="H1005" s="7" t="s">
        <v>56</v>
      </c>
      <c r="I1005" s="9">
        <v>158</v>
      </c>
      <c r="J1005" s="9" t="s">
        <v>128</v>
      </c>
      <c r="K1005" s="9" t="s">
        <v>38</v>
      </c>
      <c r="L1005" s="11">
        <v>1</v>
      </c>
      <c r="M1005" s="14">
        <v>7500.0</v>
      </c>
      <c r="N1005" s="14"/>
      <c r="O1005" s="16">
        <f>IF(M1005&gt;0, N1005/M1005, 0)</f>
        <v>0</v>
      </c>
      <c r="P1005" s="14">
        <f>M1005-N1005</f>
        <v>7500</v>
      </c>
      <c r="Q1005" s="14">
        <f>L1005*M1005</f>
        <v>7500</v>
      </c>
      <c r="R1005" s="14">
        <f>L1005*N1005</f>
        <v>0</v>
      </c>
      <c r="S1005" s="14">
        <f>L1005*P1005</f>
        <v>7500</v>
      </c>
      <c r="T1005" s="14"/>
      <c r="U1005" s="14">
        <f>L1005*T1005</f>
        <v>0</v>
      </c>
      <c r="V1005" s="14">
        <f>S1005-U1005</f>
        <v>7500</v>
      </c>
      <c r="W1005" s="16">
        <f>IF(S1005&gt;0, V1005/S1005, 0)</f>
        <v>1</v>
      </c>
      <c r="X1005" s="7" t="s">
        <v>39</v>
      </c>
      <c r="Y1005" s="9" t="s">
        <v>40</v>
      </c>
      <c r="Z1005" s="9" t="s">
        <v>41</v>
      </c>
      <c r="AA1005" s="9" t="s">
        <v>42</v>
      </c>
      <c r="AB1005" s="7" t="s">
        <v>42</v>
      </c>
    </row>
    <row r="1006" spans="1:28">
      <c r="A1006" s="8">
        <v>999</v>
      </c>
      <c r="B1006" s="8" t="s">
        <v>1306</v>
      </c>
      <c r="C1006" s="8" t="s">
        <v>1287</v>
      </c>
      <c r="D1006" s="8" t="s">
        <v>652</v>
      </c>
      <c r="E1006" s="8" t="s">
        <v>33</v>
      </c>
      <c r="F1006" s="6" t="s">
        <v>34</v>
      </c>
      <c r="G1006" s="6" t="s">
        <v>35</v>
      </c>
      <c r="H1006" s="6" t="s">
        <v>36</v>
      </c>
      <c r="I1006" s="8">
        <v>164</v>
      </c>
      <c r="J1006" s="8" t="s">
        <v>77</v>
      </c>
      <c r="K1006" s="8" t="s">
        <v>38</v>
      </c>
      <c r="L1006" s="10">
        <v>1</v>
      </c>
      <c r="M1006" s="13">
        <v>8000.0</v>
      </c>
      <c r="N1006" s="13"/>
      <c r="O1006" s="15">
        <f>IF(M1006&gt;0, N1006/M1006, 0)</f>
        <v>0</v>
      </c>
      <c r="P1006" s="13">
        <f>M1006-N1006</f>
        <v>8000</v>
      </c>
      <c r="Q1006" s="13">
        <f>L1006*M1006</f>
        <v>8000</v>
      </c>
      <c r="R1006" s="13">
        <f>L1006*N1006</f>
        <v>0</v>
      </c>
      <c r="S1006" s="13">
        <f>L1006*P1006</f>
        <v>8000</v>
      </c>
      <c r="T1006" s="13"/>
      <c r="U1006" s="13">
        <f>L1006*T1006</f>
        <v>0</v>
      </c>
      <c r="V1006" s="13">
        <f>S1006-U1006</f>
        <v>8000</v>
      </c>
      <c r="W1006" s="15">
        <f>IF(S1006&gt;0, V1006/S1006, 0)</f>
        <v>1</v>
      </c>
      <c r="X1006" s="6" t="s">
        <v>39</v>
      </c>
      <c r="Y1006" s="8" t="s">
        <v>40</v>
      </c>
      <c r="Z1006" s="8" t="s">
        <v>41</v>
      </c>
      <c r="AA1006" s="8" t="s">
        <v>42</v>
      </c>
      <c r="AB1006" s="6" t="s">
        <v>42</v>
      </c>
    </row>
    <row r="1007" spans="1:28">
      <c r="A1007" s="9">
        <v>1000</v>
      </c>
      <c r="B1007" s="9" t="s">
        <v>1307</v>
      </c>
      <c r="C1007" s="9" t="s">
        <v>1287</v>
      </c>
      <c r="D1007" s="9" t="s">
        <v>652</v>
      </c>
      <c r="E1007" s="9" t="s">
        <v>33</v>
      </c>
      <c r="F1007" s="7" t="s">
        <v>34</v>
      </c>
      <c r="G1007" s="7" t="s">
        <v>51</v>
      </c>
      <c r="H1007" s="7" t="s">
        <v>51</v>
      </c>
      <c r="I1007" s="9">
        <v>158</v>
      </c>
      <c r="J1007" s="9" t="s">
        <v>122</v>
      </c>
      <c r="K1007" s="9" t="s">
        <v>38</v>
      </c>
      <c r="L1007" s="11">
        <v>1</v>
      </c>
      <c r="M1007" s="14">
        <v>8500.0</v>
      </c>
      <c r="N1007" s="14"/>
      <c r="O1007" s="16">
        <f>IF(M1007&gt;0, N1007/M1007, 0)</f>
        <v>0</v>
      </c>
      <c r="P1007" s="14">
        <f>M1007-N1007</f>
        <v>8500</v>
      </c>
      <c r="Q1007" s="14">
        <f>L1007*M1007</f>
        <v>8500</v>
      </c>
      <c r="R1007" s="14">
        <f>L1007*N1007</f>
        <v>0</v>
      </c>
      <c r="S1007" s="14">
        <f>L1007*P1007</f>
        <v>8500</v>
      </c>
      <c r="T1007" s="14"/>
      <c r="U1007" s="14">
        <f>L1007*T1007</f>
        <v>0</v>
      </c>
      <c r="V1007" s="14">
        <f>S1007-U1007</f>
        <v>8500</v>
      </c>
      <c r="W1007" s="16">
        <f>IF(S1007&gt;0, V1007/S1007, 0)</f>
        <v>1</v>
      </c>
      <c r="X1007" s="7" t="s">
        <v>39</v>
      </c>
      <c r="Y1007" s="9" t="s">
        <v>40</v>
      </c>
      <c r="Z1007" s="9" t="s">
        <v>41</v>
      </c>
      <c r="AA1007" s="9" t="s">
        <v>42</v>
      </c>
      <c r="AB1007" s="7" t="s">
        <v>42</v>
      </c>
    </row>
    <row r="1008" spans="1:28">
      <c r="A1008" s="8">
        <v>1001</v>
      </c>
      <c r="B1008" s="8" t="s">
        <v>1308</v>
      </c>
      <c r="C1008" s="8" t="s">
        <v>1287</v>
      </c>
      <c r="D1008" s="8" t="s">
        <v>652</v>
      </c>
      <c r="E1008" s="8" t="s">
        <v>33</v>
      </c>
      <c r="F1008" s="6" t="s">
        <v>34</v>
      </c>
      <c r="G1008" s="6" t="s">
        <v>51</v>
      </c>
      <c r="H1008" s="6" t="s">
        <v>51</v>
      </c>
      <c r="I1008" s="8">
        <v>164</v>
      </c>
      <c r="J1008" s="8" t="s">
        <v>61</v>
      </c>
      <c r="K1008" s="8" t="s">
        <v>38</v>
      </c>
      <c r="L1008" s="10">
        <v>1</v>
      </c>
      <c r="M1008" s="13">
        <v>8500.0</v>
      </c>
      <c r="N1008" s="13"/>
      <c r="O1008" s="15">
        <f>IF(M1008&gt;0, N1008/M1008, 0)</f>
        <v>0</v>
      </c>
      <c r="P1008" s="13">
        <f>M1008-N1008</f>
        <v>8500</v>
      </c>
      <c r="Q1008" s="13">
        <f>L1008*M1008</f>
        <v>8500</v>
      </c>
      <c r="R1008" s="13">
        <f>L1008*N1008</f>
        <v>0</v>
      </c>
      <c r="S1008" s="13">
        <f>L1008*P1008</f>
        <v>8500</v>
      </c>
      <c r="T1008" s="13"/>
      <c r="U1008" s="13">
        <f>L1008*T1008</f>
        <v>0</v>
      </c>
      <c r="V1008" s="13">
        <f>S1008-U1008</f>
        <v>8500</v>
      </c>
      <c r="W1008" s="15">
        <f>IF(S1008&gt;0, V1008/S1008, 0)</f>
        <v>1</v>
      </c>
      <c r="X1008" s="6" t="s">
        <v>39</v>
      </c>
      <c r="Y1008" s="8" t="s">
        <v>40</v>
      </c>
      <c r="Z1008" s="8" t="s">
        <v>41</v>
      </c>
      <c r="AA1008" s="8" t="s">
        <v>42</v>
      </c>
      <c r="AB1008" s="6" t="s">
        <v>42</v>
      </c>
    </row>
    <row r="1009" spans="1:28">
      <c r="A1009" s="9">
        <v>1002</v>
      </c>
      <c r="B1009" s="9" t="s">
        <v>1309</v>
      </c>
      <c r="C1009" s="9" t="s">
        <v>1287</v>
      </c>
      <c r="D1009" s="9" t="s">
        <v>652</v>
      </c>
      <c r="E1009" s="9" t="s">
        <v>33</v>
      </c>
      <c r="F1009" s="7" t="s">
        <v>34</v>
      </c>
      <c r="G1009" s="7" t="s">
        <v>56</v>
      </c>
      <c r="H1009" s="7" t="s">
        <v>56</v>
      </c>
      <c r="I1009" s="9">
        <v>164</v>
      </c>
      <c r="J1009" s="9" t="s">
        <v>57</v>
      </c>
      <c r="K1009" s="9" t="s">
        <v>38</v>
      </c>
      <c r="L1009" s="11">
        <v>1</v>
      </c>
      <c r="M1009" s="14">
        <v>7500.0</v>
      </c>
      <c r="N1009" s="14"/>
      <c r="O1009" s="16">
        <f>IF(M1009&gt;0, N1009/M1009, 0)</f>
        <v>0</v>
      </c>
      <c r="P1009" s="14">
        <f>M1009-N1009</f>
        <v>7500</v>
      </c>
      <c r="Q1009" s="14">
        <f>L1009*M1009</f>
        <v>7500</v>
      </c>
      <c r="R1009" s="14">
        <f>L1009*N1009</f>
        <v>0</v>
      </c>
      <c r="S1009" s="14">
        <f>L1009*P1009</f>
        <v>7500</v>
      </c>
      <c r="T1009" s="14"/>
      <c r="U1009" s="14">
        <f>L1009*T1009</f>
        <v>0</v>
      </c>
      <c r="V1009" s="14">
        <f>S1009-U1009</f>
        <v>7500</v>
      </c>
      <c r="W1009" s="16">
        <f>IF(S1009&gt;0, V1009/S1009, 0)</f>
        <v>1</v>
      </c>
      <c r="X1009" s="7" t="s">
        <v>39</v>
      </c>
      <c r="Y1009" s="9" t="s">
        <v>40</v>
      </c>
      <c r="Z1009" s="9" t="s">
        <v>41</v>
      </c>
      <c r="AA1009" s="9" t="s">
        <v>42</v>
      </c>
      <c r="AB1009" s="7" t="s">
        <v>42</v>
      </c>
    </row>
    <row r="1010" spans="1:28">
      <c r="A1010" s="8">
        <v>1003</v>
      </c>
      <c r="B1010" s="8" t="s">
        <v>1310</v>
      </c>
      <c r="C1010" s="8" t="s">
        <v>1287</v>
      </c>
      <c r="D1010" s="8" t="s">
        <v>652</v>
      </c>
      <c r="E1010" s="8" t="s">
        <v>33</v>
      </c>
      <c r="F1010" s="6" t="s">
        <v>34</v>
      </c>
      <c r="G1010" s="6" t="s">
        <v>69</v>
      </c>
      <c r="H1010" s="6" t="s">
        <v>69</v>
      </c>
      <c r="I1010" s="8">
        <v>170</v>
      </c>
      <c r="J1010" s="8" t="s">
        <v>179</v>
      </c>
      <c r="K1010" s="8" t="s">
        <v>38</v>
      </c>
      <c r="L1010" s="10">
        <v>1</v>
      </c>
      <c r="M1010" s="13">
        <v>16500.0</v>
      </c>
      <c r="N1010" s="13"/>
      <c r="O1010" s="15">
        <f>IF(M1010&gt;0, N1010/M1010, 0)</f>
        <v>0</v>
      </c>
      <c r="P1010" s="13">
        <f>M1010-N1010</f>
        <v>16500</v>
      </c>
      <c r="Q1010" s="13">
        <f>L1010*M1010</f>
        <v>16500</v>
      </c>
      <c r="R1010" s="13">
        <f>L1010*N1010</f>
        <v>0</v>
      </c>
      <c r="S1010" s="13">
        <f>L1010*P1010</f>
        <v>16500</v>
      </c>
      <c r="T1010" s="13"/>
      <c r="U1010" s="13">
        <f>L1010*T1010</f>
        <v>0</v>
      </c>
      <c r="V1010" s="13">
        <f>S1010-U1010</f>
        <v>16500</v>
      </c>
      <c r="W1010" s="15">
        <f>IF(S1010&gt;0, V1010/S1010, 0)</f>
        <v>1</v>
      </c>
      <c r="X1010" s="6" t="s">
        <v>39</v>
      </c>
      <c r="Y1010" s="8" t="s">
        <v>40</v>
      </c>
      <c r="Z1010" s="8" t="s">
        <v>41</v>
      </c>
      <c r="AA1010" s="8" t="s">
        <v>42</v>
      </c>
      <c r="AB1010" s="6" t="s">
        <v>42</v>
      </c>
    </row>
    <row r="1011" spans="1:28">
      <c r="A1011" s="9">
        <v>1004</v>
      </c>
      <c r="B1011" s="9" t="s">
        <v>1311</v>
      </c>
      <c r="C1011" s="9" t="s">
        <v>1287</v>
      </c>
      <c r="D1011" s="9" t="s">
        <v>652</v>
      </c>
      <c r="E1011" s="9" t="s">
        <v>33</v>
      </c>
      <c r="F1011" s="7" t="s">
        <v>34</v>
      </c>
      <c r="G1011" s="7" t="s">
        <v>35</v>
      </c>
      <c r="H1011" s="7" t="s">
        <v>73</v>
      </c>
      <c r="I1011" s="9">
        <v>170</v>
      </c>
      <c r="J1011" s="9" t="s">
        <v>648</v>
      </c>
      <c r="K1011" s="9" t="s">
        <v>38</v>
      </c>
      <c r="L1011" s="11">
        <v>1</v>
      </c>
      <c r="M1011" s="14">
        <v>9000.0</v>
      </c>
      <c r="N1011" s="14"/>
      <c r="O1011" s="16">
        <f>IF(M1011&gt;0, N1011/M1011, 0)</f>
        <v>0</v>
      </c>
      <c r="P1011" s="14">
        <f>M1011-N1011</f>
        <v>9000</v>
      </c>
      <c r="Q1011" s="14">
        <f>L1011*M1011</f>
        <v>9000</v>
      </c>
      <c r="R1011" s="14">
        <f>L1011*N1011</f>
        <v>0</v>
      </c>
      <c r="S1011" s="14">
        <f>L1011*P1011</f>
        <v>9000</v>
      </c>
      <c r="T1011" s="14"/>
      <c r="U1011" s="14">
        <f>L1011*T1011</f>
        <v>0</v>
      </c>
      <c r="V1011" s="14">
        <f>S1011-U1011</f>
        <v>9000</v>
      </c>
      <c r="W1011" s="16">
        <f>IF(S1011&gt;0, V1011/S1011, 0)</f>
        <v>1</v>
      </c>
      <c r="X1011" s="7" t="s">
        <v>39</v>
      </c>
      <c r="Y1011" s="9" t="s">
        <v>40</v>
      </c>
      <c r="Z1011" s="9" t="s">
        <v>41</v>
      </c>
      <c r="AA1011" s="9" t="s">
        <v>42</v>
      </c>
      <c r="AB1011" s="7" t="s">
        <v>42</v>
      </c>
    </row>
    <row r="1012" spans="1:28">
      <c r="A1012" s="8">
        <v>1005</v>
      </c>
      <c r="B1012" s="8" t="s">
        <v>1312</v>
      </c>
      <c r="C1012" s="8" t="s">
        <v>1287</v>
      </c>
      <c r="D1012" s="8" t="s">
        <v>652</v>
      </c>
      <c r="E1012" s="8" t="s">
        <v>33</v>
      </c>
      <c r="F1012" s="6" t="s">
        <v>34</v>
      </c>
      <c r="G1012" s="6" t="s">
        <v>35</v>
      </c>
      <c r="H1012" s="6" t="s">
        <v>36</v>
      </c>
      <c r="I1012" s="8">
        <v>164</v>
      </c>
      <c r="J1012" s="8" t="s">
        <v>77</v>
      </c>
      <c r="K1012" s="8" t="s">
        <v>38</v>
      </c>
      <c r="L1012" s="10">
        <v>1</v>
      </c>
      <c r="M1012" s="13">
        <v>8000.0</v>
      </c>
      <c r="N1012" s="13"/>
      <c r="O1012" s="15">
        <f>IF(M1012&gt;0, N1012/M1012, 0)</f>
        <v>0</v>
      </c>
      <c r="P1012" s="13">
        <f>M1012-N1012</f>
        <v>8000</v>
      </c>
      <c r="Q1012" s="13">
        <f>L1012*M1012</f>
        <v>8000</v>
      </c>
      <c r="R1012" s="13">
        <f>L1012*N1012</f>
        <v>0</v>
      </c>
      <c r="S1012" s="13">
        <f>L1012*P1012</f>
        <v>8000</v>
      </c>
      <c r="T1012" s="13"/>
      <c r="U1012" s="13">
        <f>L1012*T1012</f>
        <v>0</v>
      </c>
      <c r="V1012" s="13">
        <f>S1012-U1012</f>
        <v>8000</v>
      </c>
      <c r="W1012" s="15">
        <f>IF(S1012&gt;0, V1012/S1012, 0)</f>
        <v>1</v>
      </c>
      <c r="X1012" s="6" t="s">
        <v>39</v>
      </c>
      <c r="Y1012" s="8" t="s">
        <v>40</v>
      </c>
      <c r="Z1012" s="8" t="s">
        <v>41</v>
      </c>
      <c r="AA1012" s="8" t="s">
        <v>42</v>
      </c>
      <c r="AB1012" s="6" t="s">
        <v>42</v>
      </c>
    </row>
    <row r="1013" spans="1:28">
      <c r="A1013" s="9">
        <v>1006</v>
      </c>
      <c r="B1013" s="9" t="s">
        <v>1313</v>
      </c>
      <c r="C1013" s="9" t="s">
        <v>1287</v>
      </c>
      <c r="D1013" s="9" t="s">
        <v>652</v>
      </c>
      <c r="E1013" s="9" t="s">
        <v>33</v>
      </c>
      <c r="F1013" s="7" t="s">
        <v>50</v>
      </c>
      <c r="G1013" s="7" t="s">
        <v>63</v>
      </c>
      <c r="H1013" s="7" t="s">
        <v>148</v>
      </c>
      <c r="I1013" s="9">
        <v>152</v>
      </c>
      <c r="J1013" s="9" t="s">
        <v>251</v>
      </c>
      <c r="K1013" s="9" t="s">
        <v>38</v>
      </c>
      <c r="L1013" s="11">
        <v>1</v>
      </c>
      <c r="M1013" s="14">
        <v>9500.0</v>
      </c>
      <c r="N1013" s="14"/>
      <c r="O1013" s="16">
        <f>IF(M1013&gt;0, N1013/M1013, 0)</f>
        <v>0</v>
      </c>
      <c r="P1013" s="14">
        <f>M1013-N1013</f>
        <v>9500</v>
      </c>
      <c r="Q1013" s="14">
        <f>L1013*M1013</f>
        <v>9500</v>
      </c>
      <c r="R1013" s="14">
        <f>L1013*N1013</f>
        <v>0</v>
      </c>
      <c r="S1013" s="14">
        <f>L1013*P1013</f>
        <v>9500</v>
      </c>
      <c r="T1013" s="14"/>
      <c r="U1013" s="14">
        <f>L1013*T1013</f>
        <v>0</v>
      </c>
      <c r="V1013" s="14">
        <f>S1013-U1013</f>
        <v>9500</v>
      </c>
      <c r="W1013" s="16">
        <f>IF(S1013&gt;0, V1013/S1013, 0)</f>
        <v>1</v>
      </c>
      <c r="X1013" s="7" t="s">
        <v>39</v>
      </c>
      <c r="Y1013" s="9" t="s">
        <v>40</v>
      </c>
      <c r="Z1013" s="9" t="s">
        <v>41</v>
      </c>
      <c r="AA1013" s="9" t="s">
        <v>42</v>
      </c>
      <c r="AB1013" s="7" t="s">
        <v>42</v>
      </c>
    </row>
    <row r="1014" spans="1:28">
      <c r="A1014" s="8">
        <v>1007</v>
      </c>
      <c r="B1014" s="8" t="s">
        <v>1314</v>
      </c>
      <c r="C1014" s="8" t="s">
        <v>1287</v>
      </c>
      <c r="D1014" s="8" t="s">
        <v>652</v>
      </c>
      <c r="E1014" s="8" t="s">
        <v>33</v>
      </c>
      <c r="F1014" s="6" t="s">
        <v>50</v>
      </c>
      <c r="G1014" s="6" t="s">
        <v>35</v>
      </c>
      <c r="H1014" s="6" t="s">
        <v>36</v>
      </c>
      <c r="I1014" s="8">
        <v>152</v>
      </c>
      <c r="J1014" s="8" t="s">
        <v>151</v>
      </c>
      <c r="K1014" s="8" t="s">
        <v>53</v>
      </c>
      <c r="L1014" s="10">
        <v>1</v>
      </c>
      <c r="M1014" s="13">
        <v>7000.0</v>
      </c>
      <c r="N1014" s="13"/>
      <c r="O1014" s="15">
        <f>IF(M1014&gt;0, N1014/M1014, 0)</f>
        <v>0</v>
      </c>
      <c r="P1014" s="13">
        <f>M1014-N1014</f>
        <v>7000</v>
      </c>
      <c r="Q1014" s="13">
        <f>L1014*M1014</f>
        <v>7000</v>
      </c>
      <c r="R1014" s="13">
        <f>L1014*N1014</f>
        <v>0</v>
      </c>
      <c r="S1014" s="13">
        <f>L1014*P1014</f>
        <v>7000</v>
      </c>
      <c r="T1014" s="13"/>
      <c r="U1014" s="13">
        <f>L1014*T1014</f>
        <v>0</v>
      </c>
      <c r="V1014" s="13">
        <f>S1014-U1014</f>
        <v>7000</v>
      </c>
      <c r="W1014" s="15">
        <f>IF(S1014&gt;0, V1014/S1014, 0)</f>
        <v>1</v>
      </c>
      <c r="X1014" s="6" t="s">
        <v>39</v>
      </c>
      <c r="Y1014" s="8" t="s">
        <v>40</v>
      </c>
      <c r="Z1014" s="8" t="s">
        <v>41</v>
      </c>
      <c r="AA1014" s="8" t="s">
        <v>42</v>
      </c>
      <c r="AB1014" s="6" t="s">
        <v>42</v>
      </c>
    </row>
    <row r="1015" spans="1:28">
      <c r="A1015" s="9">
        <v>1008</v>
      </c>
      <c r="B1015" s="9" t="s">
        <v>1315</v>
      </c>
      <c r="C1015" s="9" t="s">
        <v>1287</v>
      </c>
      <c r="D1015" s="9" t="s">
        <v>652</v>
      </c>
      <c r="E1015" s="9" t="s">
        <v>68</v>
      </c>
      <c r="F1015" s="7" t="s">
        <v>34</v>
      </c>
      <c r="G1015" s="7" t="s">
        <v>69</v>
      </c>
      <c r="H1015" s="7" t="s">
        <v>69</v>
      </c>
      <c r="I1015" s="9">
        <v>158</v>
      </c>
      <c r="J1015" s="9" t="s">
        <v>260</v>
      </c>
      <c r="K1015" s="9" t="s">
        <v>38</v>
      </c>
      <c r="L1015" s="11">
        <v>1</v>
      </c>
      <c r="M1015" s="14">
        <v>17000.0</v>
      </c>
      <c r="N1015" s="14"/>
      <c r="O1015" s="16">
        <f>IF(M1015&gt;0, N1015/M1015, 0)</f>
        <v>0</v>
      </c>
      <c r="P1015" s="14">
        <f>M1015-N1015</f>
        <v>17000</v>
      </c>
      <c r="Q1015" s="14">
        <f>L1015*M1015</f>
        <v>17000</v>
      </c>
      <c r="R1015" s="14">
        <f>L1015*N1015</f>
        <v>0</v>
      </c>
      <c r="S1015" s="14">
        <f>L1015*P1015</f>
        <v>17000</v>
      </c>
      <c r="T1015" s="14"/>
      <c r="U1015" s="14">
        <f>L1015*T1015</f>
        <v>0</v>
      </c>
      <c r="V1015" s="14">
        <f>S1015-U1015</f>
        <v>17000</v>
      </c>
      <c r="W1015" s="16">
        <f>IF(S1015&gt;0, V1015/S1015, 0)</f>
        <v>1</v>
      </c>
      <c r="X1015" s="7" t="s">
        <v>39</v>
      </c>
      <c r="Y1015" s="9" t="s">
        <v>40</v>
      </c>
      <c r="Z1015" s="9" t="s">
        <v>71</v>
      </c>
      <c r="AA1015" s="9" t="s">
        <v>42</v>
      </c>
      <c r="AB1015" s="7" t="s">
        <v>42</v>
      </c>
    </row>
    <row r="1016" spans="1:28">
      <c r="A1016" s="8">
        <v>1009</v>
      </c>
      <c r="B1016" s="8" t="s">
        <v>1316</v>
      </c>
      <c r="C1016" s="8" t="s">
        <v>1287</v>
      </c>
      <c r="D1016" s="8" t="s">
        <v>652</v>
      </c>
      <c r="E1016" s="8" t="s">
        <v>68</v>
      </c>
      <c r="F1016" s="6" t="s">
        <v>34</v>
      </c>
      <c r="G1016" s="6" t="s">
        <v>69</v>
      </c>
      <c r="H1016" s="6" t="s">
        <v>69</v>
      </c>
      <c r="I1016" s="8">
        <v>164</v>
      </c>
      <c r="J1016" s="8" t="s">
        <v>70</v>
      </c>
      <c r="K1016" s="8" t="s">
        <v>38</v>
      </c>
      <c r="L1016" s="10">
        <v>1</v>
      </c>
      <c r="M1016" s="13">
        <v>18000.0</v>
      </c>
      <c r="N1016" s="13"/>
      <c r="O1016" s="15">
        <f>IF(M1016&gt;0, N1016/M1016, 0)</f>
        <v>0</v>
      </c>
      <c r="P1016" s="13">
        <f>M1016-N1016</f>
        <v>18000</v>
      </c>
      <c r="Q1016" s="13">
        <f>L1016*M1016</f>
        <v>18000</v>
      </c>
      <c r="R1016" s="13">
        <f>L1016*N1016</f>
        <v>0</v>
      </c>
      <c r="S1016" s="13">
        <f>L1016*P1016</f>
        <v>18000</v>
      </c>
      <c r="T1016" s="13"/>
      <c r="U1016" s="13">
        <f>L1016*T1016</f>
        <v>0</v>
      </c>
      <c r="V1016" s="13">
        <f>S1016-U1016</f>
        <v>18000</v>
      </c>
      <c r="W1016" s="15">
        <f>IF(S1016&gt;0, V1016/S1016, 0)</f>
        <v>1</v>
      </c>
      <c r="X1016" s="6" t="s">
        <v>39</v>
      </c>
      <c r="Y1016" s="8" t="s">
        <v>40</v>
      </c>
      <c r="Z1016" s="8" t="s">
        <v>71</v>
      </c>
      <c r="AA1016" s="8" t="s">
        <v>42</v>
      </c>
      <c r="AB1016" s="6" t="s">
        <v>42</v>
      </c>
    </row>
    <row r="1017" spans="1:28">
      <c r="A1017" s="9">
        <v>1010</v>
      </c>
      <c r="B1017" s="9" t="s">
        <v>1317</v>
      </c>
      <c r="C1017" s="9" t="s">
        <v>1287</v>
      </c>
      <c r="D1017" s="9" t="s">
        <v>652</v>
      </c>
      <c r="E1017" s="9" t="s">
        <v>33</v>
      </c>
      <c r="F1017" s="7" t="s">
        <v>34</v>
      </c>
      <c r="G1017" s="7" t="s">
        <v>35</v>
      </c>
      <c r="H1017" s="7" t="s">
        <v>36</v>
      </c>
      <c r="I1017" s="9">
        <v>158</v>
      </c>
      <c r="J1017" s="9" t="s">
        <v>37</v>
      </c>
      <c r="K1017" s="9" t="s">
        <v>38</v>
      </c>
      <c r="L1017" s="11">
        <v>3</v>
      </c>
      <c r="M1017" s="14">
        <v>8000.0</v>
      </c>
      <c r="N1017" s="14"/>
      <c r="O1017" s="16">
        <f>IF(M1017&gt;0, N1017/M1017, 0)</f>
        <v>0</v>
      </c>
      <c r="P1017" s="14">
        <f>M1017-N1017</f>
        <v>8000</v>
      </c>
      <c r="Q1017" s="14">
        <f>L1017*M1017</f>
        <v>24000</v>
      </c>
      <c r="R1017" s="14">
        <f>L1017*N1017</f>
        <v>0</v>
      </c>
      <c r="S1017" s="14">
        <f>L1017*P1017</f>
        <v>24000</v>
      </c>
      <c r="T1017" s="14"/>
      <c r="U1017" s="14">
        <f>L1017*T1017</f>
        <v>0</v>
      </c>
      <c r="V1017" s="14">
        <f>S1017-U1017</f>
        <v>24000</v>
      </c>
      <c r="W1017" s="16">
        <f>IF(S1017&gt;0, V1017/S1017, 0)</f>
        <v>1</v>
      </c>
      <c r="X1017" s="7" t="s">
        <v>39</v>
      </c>
      <c r="Y1017" s="9" t="s">
        <v>40</v>
      </c>
      <c r="Z1017" s="9" t="s">
        <v>41</v>
      </c>
      <c r="AA1017" s="9" t="s">
        <v>42</v>
      </c>
      <c r="AB1017" s="7" t="s">
        <v>42</v>
      </c>
    </row>
    <row r="1018" spans="1:28">
      <c r="A1018" s="8">
        <v>1011</v>
      </c>
      <c r="B1018" s="8" t="s">
        <v>1318</v>
      </c>
      <c r="C1018" s="8" t="s">
        <v>1287</v>
      </c>
      <c r="D1018" s="8" t="s">
        <v>652</v>
      </c>
      <c r="E1018" s="8" t="s">
        <v>33</v>
      </c>
      <c r="F1018" s="6" t="s">
        <v>50</v>
      </c>
      <c r="G1018" s="6" t="s">
        <v>69</v>
      </c>
      <c r="H1018" s="6" t="s">
        <v>69</v>
      </c>
      <c r="I1018" s="8">
        <v>140</v>
      </c>
      <c r="J1018" s="8" t="s">
        <v>225</v>
      </c>
      <c r="K1018" s="8" t="s">
        <v>38</v>
      </c>
      <c r="L1018" s="10">
        <v>1</v>
      </c>
      <c r="M1018" s="13">
        <v>16000.0</v>
      </c>
      <c r="N1018" s="13"/>
      <c r="O1018" s="15">
        <f>IF(M1018&gt;0, N1018/M1018, 0)</f>
        <v>0</v>
      </c>
      <c r="P1018" s="13">
        <f>M1018-N1018</f>
        <v>16000</v>
      </c>
      <c r="Q1018" s="13">
        <f>L1018*M1018</f>
        <v>16000</v>
      </c>
      <c r="R1018" s="13">
        <f>L1018*N1018</f>
        <v>0</v>
      </c>
      <c r="S1018" s="13">
        <f>L1018*P1018</f>
        <v>16000</v>
      </c>
      <c r="T1018" s="13"/>
      <c r="U1018" s="13">
        <f>L1018*T1018</f>
        <v>0</v>
      </c>
      <c r="V1018" s="13">
        <f>S1018-U1018</f>
        <v>16000</v>
      </c>
      <c r="W1018" s="15">
        <f>IF(S1018&gt;0, V1018/S1018, 0)</f>
        <v>1</v>
      </c>
      <c r="X1018" s="6" t="s">
        <v>39</v>
      </c>
      <c r="Y1018" s="8" t="s">
        <v>40</v>
      </c>
      <c r="Z1018" s="8" t="s">
        <v>41</v>
      </c>
      <c r="AA1018" s="8" t="s">
        <v>42</v>
      </c>
      <c r="AB1018" s="6" t="s">
        <v>42</v>
      </c>
    </row>
    <row r="1019" spans="1:28">
      <c r="A1019" s="9">
        <v>1012</v>
      </c>
      <c r="B1019" s="9" t="s">
        <v>1319</v>
      </c>
      <c r="C1019" s="9" t="s">
        <v>1287</v>
      </c>
      <c r="D1019" s="9" t="s">
        <v>652</v>
      </c>
      <c r="E1019" s="9" t="s">
        <v>33</v>
      </c>
      <c r="F1019" s="7" t="s">
        <v>50</v>
      </c>
      <c r="G1019" s="7" t="s">
        <v>35</v>
      </c>
      <c r="H1019" s="7" t="s">
        <v>73</v>
      </c>
      <c r="I1019" s="9">
        <v>140</v>
      </c>
      <c r="J1019" s="9" t="s">
        <v>570</v>
      </c>
      <c r="K1019" s="9" t="s">
        <v>53</v>
      </c>
      <c r="L1019" s="11">
        <v>1</v>
      </c>
      <c r="M1019" s="14">
        <v>8000.0</v>
      </c>
      <c r="N1019" s="14"/>
      <c r="O1019" s="16">
        <f>IF(M1019&gt;0, N1019/M1019, 0)</f>
        <v>0</v>
      </c>
      <c r="P1019" s="14">
        <f>M1019-N1019</f>
        <v>8000</v>
      </c>
      <c r="Q1019" s="14">
        <f>L1019*M1019</f>
        <v>8000</v>
      </c>
      <c r="R1019" s="14">
        <f>L1019*N1019</f>
        <v>0</v>
      </c>
      <c r="S1019" s="14">
        <f>L1019*P1019</f>
        <v>8000</v>
      </c>
      <c r="T1019" s="14"/>
      <c r="U1019" s="14">
        <f>L1019*T1019</f>
        <v>0</v>
      </c>
      <c r="V1019" s="14">
        <f>S1019-U1019</f>
        <v>8000</v>
      </c>
      <c r="W1019" s="16">
        <f>IF(S1019&gt;0, V1019/S1019, 0)</f>
        <v>1</v>
      </c>
      <c r="X1019" s="7" t="s">
        <v>39</v>
      </c>
      <c r="Y1019" s="9" t="s">
        <v>40</v>
      </c>
      <c r="Z1019" s="9" t="s">
        <v>41</v>
      </c>
      <c r="AA1019" s="9" t="s">
        <v>42</v>
      </c>
      <c r="AB1019" s="7" t="s">
        <v>42</v>
      </c>
    </row>
    <row r="1020" spans="1:28">
      <c r="A1020" s="8">
        <v>1013</v>
      </c>
      <c r="B1020" s="8" t="s">
        <v>1320</v>
      </c>
      <c r="C1020" s="8" t="s">
        <v>1287</v>
      </c>
      <c r="D1020" s="8" t="s">
        <v>652</v>
      </c>
      <c r="E1020" s="8" t="s">
        <v>33</v>
      </c>
      <c r="F1020" s="6" t="s">
        <v>50</v>
      </c>
      <c r="G1020" s="6" t="s">
        <v>35</v>
      </c>
      <c r="H1020" s="6" t="s">
        <v>36</v>
      </c>
      <c r="I1020" s="8">
        <v>140</v>
      </c>
      <c r="J1020" s="8" t="s">
        <v>223</v>
      </c>
      <c r="K1020" s="8" t="s">
        <v>53</v>
      </c>
      <c r="L1020" s="10">
        <v>1</v>
      </c>
      <c r="M1020" s="13">
        <v>7000.0</v>
      </c>
      <c r="N1020" s="13"/>
      <c r="O1020" s="15">
        <f>IF(M1020&gt;0, N1020/M1020, 0)</f>
        <v>0</v>
      </c>
      <c r="P1020" s="13">
        <f>M1020-N1020</f>
        <v>7000</v>
      </c>
      <c r="Q1020" s="13">
        <f>L1020*M1020</f>
        <v>7000</v>
      </c>
      <c r="R1020" s="13">
        <f>L1020*N1020</f>
        <v>0</v>
      </c>
      <c r="S1020" s="13">
        <f>L1020*P1020</f>
        <v>7000</v>
      </c>
      <c r="T1020" s="13"/>
      <c r="U1020" s="13">
        <f>L1020*T1020</f>
        <v>0</v>
      </c>
      <c r="V1020" s="13">
        <f>S1020-U1020</f>
        <v>7000</v>
      </c>
      <c r="W1020" s="15">
        <f>IF(S1020&gt;0, V1020/S1020, 0)</f>
        <v>1</v>
      </c>
      <c r="X1020" s="6" t="s">
        <v>39</v>
      </c>
      <c r="Y1020" s="8" t="s">
        <v>40</v>
      </c>
      <c r="Z1020" s="8" t="s">
        <v>41</v>
      </c>
      <c r="AA1020" s="8" t="s">
        <v>42</v>
      </c>
      <c r="AB1020" s="6" t="s">
        <v>42</v>
      </c>
    </row>
    <row r="1021" spans="1:28">
      <c r="A1021" s="9">
        <v>1014</v>
      </c>
      <c r="B1021" s="9" t="s">
        <v>1321</v>
      </c>
      <c r="C1021" s="9" t="s">
        <v>1287</v>
      </c>
      <c r="D1021" s="9" t="s">
        <v>652</v>
      </c>
      <c r="E1021" s="9" t="s">
        <v>33</v>
      </c>
      <c r="F1021" s="7" t="s">
        <v>50</v>
      </c>
      <c r="G1021" s="7" t="s">
        <v>51</v>
      </c>
      <c r="H1021" s="7" t="s">
        <v>51</v>
      </c>
      <c r="I1021" s="9">
        <v>140</v>
      </c>
      <c r="J1021" s="9" t="s">
        <v>279</v>
      </c>
      <c r="K1021" s="9" t="s">
        <v>53</v>
      </c>
      <c r="L1021" s="11">
        <v>1</v>
      </c>
      <c r="M1021" s="14">
        <v>8000.0</v>
      </c>
      <c r="N1021" s="14"/>
      <c r="O1021" s="16">
        <f>IF(M1021&gt;0, N1021/M1021, 0)</f>
        <v>0</v>
      </c>
      <c r="P1021" s="14">
        <f>M1021-N1021</f>
        <v>8000</v>
      </c>
      <c r="Q1021" s="14">
        <f>L1021*M1021</f>
        <v>8000</v>
      </c>
      <c r="R1021" s="14">
        <f>L1021*N1021</f>
        <v>0</v>
      </c>
      <c r="S1021" s="14">
        <f>L1021*P1021</f>
        <v>8000</v>
      </c>
      <c r="T1021" s="14"/>
      <c r="U1021" s="14">
        <f>L1021*T1021</f>
        <v>0</v>
      </c>
      <c r="V1021" s="14">
        <f>S1021-U1021</f>
        <v>8000</v>
      </c>
      <c r="W1021" s="16">
        <f>IF(S1021&gt;0, V1021/S1021, 0)</f>
        <v>1</v>
      </c>
      <c r="X1021" s="7" t="s">
        <v>39</v>
      </c>
      <c r="Y1021" s="9" t="s">
        <v>40</v>
      </c>
      <c r="Z1021" s="9" t="s">
        <v>41</v>
      </c>
      <c r="AA1021" s="9" t="s">
        <v>42</v>
      </c>
      <c r="AB1021" s="7" t="s">
        <v>42</v>
      </c>
    </row>
    <row r="1022" spans="1:28">
      <c r="A1022" s="8">
        <v>1015</v>
      </c>
      <c r="B1022" s="8" t="s">
        <v>1322</v>
      </c>
      <c r="C1022" s="8" t="s">
        <v>1287</v>
      </c>
      <c r="D1022" s="8" t="s">
        <v>652</v>
      </c>
      <c r="E1022" s="8" t="s">
        <v>33</v>
      </c>
      <c r="F1022" s="6" t="s">
        <v>34</v>
      </c>
      <c r="G1022" s="6" t="s">
        <v>35</v>
      </c>
      <c r="H1022" s="6" t="s">
        <v>36</v>
      </c>
      <c r="I1022" s="8">
        <v>158</v>
      </c>
      <c r="J1022" s="8" t="s">
        <v>37</v>
      </c>
      <c r="K1022" s="8" t="s">
        <v>38</v>
      </c>
      <c r="L1022" s="10">
        <v>1</v>
      </c>
      <c r="M1022" s="13">
        <v>8000.0</v>
      </c>
      <c r="N1022" s="13"/>
      <c r="O1022" s="15">
        <f>IF(M1022&gt;0, N1022/M1022, 0)</f>
        <v>0</v>
      </c>
      <c r="P1022" s="13">
        <f>M1022-N1022</f>
        <v>8000</v>
      </c>
      <c r="Q1022" s="13">
        <f>L1022*M1022</f>
        <v>8000</v>
      </c>
      <c r="R1022" s="13">
        <f>L1022*N1022</f>
        <v>0</v>
      </c>
      <c r="S1022" s="13">
        <f>L1022*P1022</f>
        <v>8000</v>
      </c>
      <c r="T1022" s="13"/>
      <c r="U1022" s="13">
        <f>L1022*T1022</f>
        <v>0</v>
      </c>
      <c r="V1022" s="13">
        <f>S1022-U1022</f>
        <v>8000</v>
      </c>
      <c r="W1022" s="15">
        <f>IF(S1022&gt;0, V1022/S1022, 0)</f>
        <v>1</v>
      </c>
      <c r="X1022" s="6" t="s">
        <v>39</v>
      </c>
      <c r="Y1022" s="8" t="s">
        <v>40</v>
      </c>
      <c r="Z1022" s="8" t="s">
        <v>41</v>
      </c>
      <c r="AA1022" s="8" t="s">
        <v>42</v>
      </c>
      <c r="AB1022" s="6" t="s">
        <v>42</v>
      </c>
    </row>
    <row r="1023" spans="1:28">
      <c r="A1023" s="9">
        <v>1016</v>
      </c>
      <c r="B1023" s="9" t="s">
        <v>1323</v>
      </c>
      <c r="C1023" s="9" t="s">
        <v>1287</v>
      </c>
      <c r="D1023" s="9" t="s">
        <v>652</v>
      </c>
      <c r="E1023" s="9" t="s">
        <v>33</v>
      </c>
      <c r="F1023" s="7" t="s">
        <v>50</v>
      </c>
      <c r="G1023" s="7" t="s">
        <v>69</v>
      </c>
      <c r="H1023" s="7" t="s">
        <v>69</v>
      </c>
      <c r="I1023" s="9">
        <v>140</v>
      </c>
      <c r="J1023" s="9" t="s">
        <v>225</v>
      </c>
      <c r="K1023" s="9" t="s">
        <v>38</v>
      </c>
      <c r="L1023" s="11">
        <v>1</v>
      </c>
      <c r="M1023" s="14">
        <v>16000.0</v>
      </c>
      <c r="N1023" s="14"/>
      <c r="O1023" s="16">
        <f>IF(M1023&gt;0, N1023/M1023, 0)</f>
        <v>0</v>
      </c>
      <c r="P1023" s="14">
        <f>M1023-N1023</f>
        <v>16000</v>
      </c>
      <c r="Q1023" s="14">
        <f>L1023*M1023</f>
        <v>16000</v>
      </c>
      <c r="R1023" s="14">
        <f>L1023*N1023</f>
        <v>0</v>
      </c>
      <c r="S1023" s="14">
        <f>L1023*P1023</f>
        <v>16000</v>
      </c>
      <c r="T1023" s="14"/>
      <c r="U1023" s="14">
        <f>L1023*T1023</f>
        <v>0</v>
      </c>
      <c r="V1023" s="14">
        <f>S1023-U1023</f>
        <v>16000</v>
      </c>
      <c r="W1023" s="16">
        <f>IF(S1023&gt;0, V1023/S1023, 0)</f>
        <v>1</v>
      </c>
      <c r="X1023" s="7" t="s">
        <v>39</v>
      </c>
      <c r="Y1023" s="9" t="s">
        <v>40</v>
      </c>
      <c r="Z1023" s="9" t="s">
        <v>41</v>
      </c>
      <c r="AA1023" s="9" t="s">
        <v>42</v>
      </c>
      <c r="AB1023" s="7" t="s">
        <v>42</v>
      </c>
    </row>
    <row r="1024" spans="1:28">
      <c r="A1024" s="8">
        <v>1017</v>
      </c>
      <c r="B1024" s="8" t="s">
        <v>1324</v>
      </c>
      <c r="C1024" s="8" t="s">
        <v>1287</v>
      </c>
      <c r="D1024" s="8" t="s">
        <v>652</v>
      </c>
      <c r="E1024" s="8" t="s">
        <v>33</v>
      </c>
      <c r="F1024" s="6" t="s">
        <v>34</v>
      </c>
      <c r="G1024" s="6" t="s">
        <v>35</v>
      </c>
      <c r="H1024" s="6" t="s">
        <v>36</v>
      </c>
      <c r="I1024" s="8">
        <v>134</v>
      </c>
      <c r="J1024" s="8" t="s">
        <v>722</v>
      </c>
      <c r="K1024" s="8" t="s">
        <v>38</v>
      </c>
      <c r="L1024" s="10">
        <v>1</v>
      </c>
      <c r="M1024" s="13">
        <v>7000.0</v>
      </c>
      <c r="N1024" s="13"/>
      <c r="O1024" s="15">
        <f>IF(M1024&gt;0, N1024/M1024, 0)</f>
        <v>0</v>
      </c>
      <c r="P1024" s="13">
        <f>M1024-N1024</f>
        <v>7000</v>
      </c>
      <c r="Q1024" s="13">
        <f>L1024*M1024</f>
        <v>7000</v>
      </c>
      <c r="R1024" s="13">
        <f>L1024*N1024</f>
        <v>0</v>
      </c>
      <c r="S1024" s="13">
        <f>L1024*P1024</f>
        <v>7000</v>
      </c>
      <c r="T1024" s="13"/>
      <c r="U1024" s="13">
        <f>L1024*T1024</f>
        <v>0</v>
      </c>
      <c r="V1024" s="13">
        <f>S1024-U1024</f>
        <v>7000</v>
      </c>
      <c r="W1024" s="15">
        <f>IF(S1024&gt;0, V1024/S1024, 0)</f>
        <v>1</v>
      </c>
      <c r="X1024" s="6" t="s">
        <v>39</v>
      </c>
      <c r="Y1024" s="8" t="s">
        <v>40</v>
      </c>
      <c r="Z1024" s="8" t="s">
        <v>41</v>
      </c>
      <c r="AA1024" s="8" t="s">
        <v>42</v>
      </c>
      <c r="AB1024" s="6" t="s">
        <v>42</v>
      </c>
    </row>
    <row r="1025" spans="1:28">
      <c r="A1025" s="9">
        <v>1018</v>
      </c>
      <c r="B1025" s="9" t="s">
        <v>1325</v>
      </c>
      <c r="C1025" s="9" t="s">
        <v>1287</v>
      </c>
      <c r="D1025" s="9" t="s">
        <v>652</v>
      </c>
      <c r="E1025" s="9" t="s">
        <v>68</v>
      </c>
      <c r="F1025" s="7" t="s">
        <v>34</v>
      </c>
      <c r="G1025" s="7" t="s">
        <v>69</v>
      </c>
      <c r="H1025" s="7" t="s">
        <v>69</v>
      </c>
      <c r="I1025" s="9">
        <v>158</v>
      </c>
      <c r="J1025" s="9" t="s">
        <v>260</v>
      </c>
      <c r="K1025" s="9" t="s">
        <v>38</v>
      </c>
      <c r="L1025" s="11">
        <v>1</v>
      </c>
      <c r="M1025" s="14">
        <v>18000.0</v>
      </c>
      <c r="N1025" s="14"/>
      <c r="O1025" s="16">
        <f>IF(M1025&gt;0, N1025/M1025, 0)</f>
        <v>0</v>
      </c>
      <c r="P1025" s="14">
        <f>M1025-N1025</f>
        <v>18000</v>
      </c>
      <c r="Q1025" s="14">
        <f>L1025*M1025</f>
        <v>18000</v>
      </c>
      <c r="R1025" s="14">
        <f>L1025*N1025</f>
        <v>0</v>
      </c>
      <c r="S1025" s="14">
        <f>L1025*P1025</f>
        <v>18000</v>
      </c>
      <c r="T1025" s="14"/>
      <c r="U1025" s="14">
        <f>L1025*T1025</f>
        <v>0</v>
      </c>
      <c r="V1025" s="14">
        <f>S1025-U1025</f>
        <v>18000</v>
      </c>
      <c r="W1025" s="16">
        <f>IF(S1025&gt;0, V1025/S1025, 0)</f>
        <v>1</v>
      </c>
      <c r="X1025" s="7" t="s">
        <v>39</v>
      </c>
      <c r="Y1025" s="9" t="s">
        <v>40</v>
      </c>
      <c r="Z1025" s="9" t="s">
        <v>71</v>
      </c>
      <c r="AA1025" s="9" t="s">
        <v>42</v>
      </c>
      <c r="AB1025" s="7" t="s">
        <v>42</v>
      </c>
    </row>
    <row r="1026" spans="1:28">
      <c r="A1026" s="8">
        <v>1019</v>
      </c>
      <c r="B1026" s="8" t="s">
        <v>1326</v>
      </c>
      <c r="C1026" s="8" t="s">
        <v>1287</v>
      </c>
      <c r="D1026" s="8" t="s">
        <v>652</v>
      </c>
      <c r="E1026" s="8" t="s">
        <v>33</v>
      </c>
      <c r="F1026" s="6" t="s">
        <v>34</v>
      </c>
      <c r="G1026" s="6" t="s">
        <v>45</v>
      </c>
      <c r="H1026" s="6" t="s">
        <v>46</v>
      </c>
      <c r="I1026" s="8">
        <v>158</v>
      </c>
      <c r="J1026" s="8" t="s">
        <v>47</v>
      </c>
      <c r="K1026" s="8" t="s">
        <v>38</v>
      </c>
      <c r="L1026" s="10">
        <v>1</v>
      </c>
      <c r="M1026" s="13">
        <v>18000.0</v>
      </c>
      <c r="N1026" s="13"/>
      <c r="O1026" s="15">
        <f>IF(M1026&gt;0, N1026/M1026, 0)</f>
        <v>0</v>
      </c>
      <c r="P1026" s="13">
        <f>M1026-N1026</f>
        <v>18000</v>
      </c>
      <c r="Q1026" s="13">
        <f>L1026*M1026</f>
        <v>18000</v>
      </c>
      <c r="R1026" s="13">
        <f>L1026*N1026</f>
        <v>0</v>
      </c>
      <c r="S1026" s="13">
        <f>L1026*P1026</f>
        <v>18000</v>
      </c>
      <c r="T1026" s="13"/>
      <c r="U1026" s="13">
        <f>L1026*T1026</f>
        <v>0</v>
      </c>
      <c r="V1026" s="13">
        <f>S1026-U1026</f>
        <v>18000</v>
      </c>
      <c r="W1026" s="15">
        <f>IF(S1026&gt;0, V1026/S1026, 0)</f>
        <v>1</v>
      </c>
      <c r="X1026" s="6" t="s">
        <v>39</v>
      </c>
      <c r="Y1026" s="8" t="s">
        <v>40</v>
      </c>
      <c r="Z1026" s="8" t="s">
        <v>41</v>
      </c>
      <c r="AA1026" s="8" t="s">
        <v>42</v>
      </c>
      <c r="AB1026" s="6" t="s">
        <v>42</v>
      </c>
    </row>
    <row r="1027" spans="1:28">
      <c r="A1027" s="9">
        <v>1020</v>
      </c>
      <c r="B1027" s="9" t="s">
        <v>1327</v>
      </c>
      <c r="C1027" s="9" t="s">
        <v>1287</v>
      </c>
      <c r="D1027" s="9" t="s">
        <v>652</v>
      </c>
      <c r="E1027" s="9" t="s">
        <v>33</v>
      </c>
      <c r="F1027" s="7" t="s">
        <v>34</v>
      </c>
      <c r="G1027" s="7" t="s">
        <v>35</v>
      </c>
      <c r="H1027" s="7" t="s">
        <v>36</v>
      </c>
      <c r="I1027" s="9">
        <v>164</v>
      </c>
      <c r="J1027" s="9" t="s">
        <v>77</v>
      </c>
      <c r="K1027" s="9" t="s">
        <v>38</v>
      </c>
      <c r="L1027" s="11">
        <v>2</v>
      </c>
      <c r="M1027" s="14">
        <v>8000.0</v>
      </c>
      <c r="N1027" s="14"/>
      <c r="O1027" s="16">
        <f>IF(M1027&gt;0, N1027/M1027, 0)</f>
        <v>0</v>
      </c>
      <c r="P1027" s="14">
        <f>M1027-N1027</f>
        <v>8000</v>
      </c>
      <c r="Q1027" s="14">
        <f>L1027*M1027</f>
        <v>16000</v>
      </c>
      <c r="R1027" s="14">
        <f>L1027*N1027</f>
        <v>0</v>
      </c>
      <c r="S1027" s="14">
        <f>L1027*P1027</f>
        <v>16000</v>
      </c>
      <c r="T1027" s="14"/>
      <c r="U1027" s="14">
        <f>L1027*T1027</f>
        <v>0</v>
      </c>
      <c r="V1027" s="14">
        <f>S1027-U1027</f>
        <v>16000</v>
      </c>
      <c r="W1027" s="16">
        <f>IF(S1027&gt;0, V1027/S1027, 0)</f>
        <v>1</v>
      </c>
      <c r="X1027" s="7" t="s">
        <v>39</v>
      </c>
      <c r="Y1027" s="9" t="s">
        <v>40</v>
      </c>
      <c r="Z1027" s="9" t="s">
        <v>41</v>
      </c>
      <c r="AA1027" s="9" t="s">
        <v>42</v>
      </c>
      <c r="AB1027" s="7" t="s">
        <v>42</v>
      </c>
    </row>
    <row r="1028" spans="1:28">
      <c r="A1028" s="8">
        <v>1021</v>
      </c>
      <c r="B1028" s="8" t="s">
        <v>1328</v>
      </c>
      <c r="C1028" s="8" t="s">
        <v>1287</v>
      </c>
      <c r="D1028" s="8" t="s">
        <v>652</v>
      </c>
      <c r="E1028" s="8" t="s">
        <v>68</v>
      </c>
      <c r="F1028" s="6" t="s">
        <v>50</v>
      </c>
      <c r="G1028" s="6" t="s">
        <v>63</v>
      </c>
      <c r="H1028" s="6" t="s">
        <v>148</v>
      </c>
      <c r="I1028" s="8">
        <v>128</v>
      </c>
      <c r="J1028" s="8" t="s">
        <v>165</v>
      </c>
      <c r="K1028" s="8" t="s">
        <v>38</v>
      </c>
      <c r="L1028" s="10">
        <v>1</v>
      </c>
      <c r="M1028" s="13">
        <v>10000.0</v>
      </c>
      <c r="N1028" s="13"/>
      <c r="O1028" s="15">
        <f>IF(M1028&gt;0, N1028/M1028, 0)</f>
        <v>0</v>
      </c>
      <c r="P1028" s="13">
        <f>M1028-N1028</f>
        <v>10000</v>
      </c>
      <c r="Q1028" s="13">
        <f>L1028*M1028</f>
        <v>10000</v>
      </c>
      <c r="R1028" s="13">
        <f>L1028*N1028</f>
        <v>0</v>
      </c>
      <c r="S1028" s="13">
        <f>L1028*P1028</f>
        <v>10000</v>
      </c>
      <c r="T1028" s="13"/>
      <c r="U1028" s="13">
        <f>L1028*T1028</f>
        <v>0</v>
      </c>
      <c r="V1028" s="13">
        <f>S1028-U1028</f>
        <v>10000</v>
      </c>
      <c r="W1028" s="15">
        <f>IF(S1028&gt;0, V1028/S1028, 0)</f>
        <v>1</v>
      </c>
      <c r="X1028" s="6" t="s">
        <v>39</v>
      </c>
      <c r="Y1028" s="8" t="s">
        <v>40</v>
      </c>
      <c r="Z1028" s="8" t="s">
        <v>71</v>
      </c>
      <c r="AA1028" s="8" t="s">
        <v>42</v>
      </c>
      <c r="AB1028" s="6" t="s">
        <v>42</v>
      </c>
    </row>
    <row r="1029" spans="1:28">
      <c r="A1029" s="9">
        <v>1022</v>
      </c>
      <c r="B1029" s="9" t="s">
        <v>1329</v>
      </c>
      <c r="C1029" s="9" t="s">
        <v>1287</v>
      </c>
      <c r="D1029" s="9" t="s">
        <v>652</v>
      </c>
      <c r="E1029" s="9" t="s">
        <v>33</v>
      </c>
      <c r="F1029" s="7" t="s">
        <v>50</v>
      </c>
      <c r="G1029" s="7" t="s">
        <v>56</v>
      </c>
      <c r="H1029" s="7" t="s">
        <v>56</v>
      </c>
      <c r="I1029" s="9">
        <v>110</v>
      </c>
      <c r="J1029" s="9" t="s">
        <v>957</v>
      </c>
      <c r="K1029" s="9" t="s">
        <v>38</v>
      </c>
      <c r="L1029" s="11">
        <v>1</v>
      </c>
      <c r="M1029" s="14">
        <v>7000.0</v>
      </c>
      <c r="N1029" s="14"/>
      <c r="O1029" s="16">
        <f>IF(M1029&gt;0, N1029/M1029, 0)</f>
        <v>0</v>
      </c>
      <c r="P1029" s="14">
        <f>M1029-N1029</f>
        <v>7000</v>
      </c>
      <c r="Q1029" s="14">
        <f>L1029*M1029</f>
        <v>7000</v>
      </c>
      <c r="R1029" s="14">
        <f>L1029*N1029</f>
        <v>0</v>
      </c>
      <c r="S1029" s="14">
        <f>L1029*P1029</f>
        <v>7000</v>
      </c>
      <c r="T1029" s="14"/>
      <c r="U1029" s="14">
        <f>L1029*T1029</f>
        <v>0</v>
      </c>
      <c r="V1029" s="14">
        <f>S1029-U1029</f>
        <v>7000</v>
      </c>
      <c r="W1029" s="16">
        <f>IF(S1029&gt;0, V1029/S1029, 0)</f>
        <v>1</v>
      </c>
      <c r="X1029" s="7" t="s">
        <v>39</v>
      </c>
      <c r="Y1029" s="9" t="s">
        <v>40</v>
      </c>
      <c r="Z1029" s="9" t="s">
        <v>41</v>
      </c>
      <c r="AA1029" s="9" t="s">
        <v>42</v>
      </c>
      <c r="AB1029" s="7" t="s">
        <v>42</v>
      </c>
    </row>
    <row r="1030" spans="1:28">
      <c r="A1030" s="8">
        <v>1023</v>
      </c>
      <c r="B1030" s="8" t="s">
        <v>1330</v>
      </c>
      <c r="C1030" s="8" t="s">
        <v>1287</v>
      </c>
      <c r="D1030" s="8" t="s">
        <v>652</v>
      </c>
      <c r="E1030" s="8" t="s">
        <v>33</v>
      </c>
      <c r="F1030" s="6" t="s">
        <v>50</v>
      </c>
      <c r="G1030" s="6" t="s">
        <v>51</v>
      </c>
      <c r="H1030" s="6" t="s">
        <v>51</v>
      </c>
      <c r="I1030" s="8">
        <v>140</v>
      </c>
      <c r="J1030" s="8" t="s">
        <v>279</v>
      </c>
      <c r="K1030" s="8" t="s">
        <v>53</v>
      </c>
      <c r="L1030" s="10">
        <v>1</v>
      </c>
      <c r="M1030" s="13">
        <v>8000.0</v>
      </c>
      <c r="N1030" s="13"/>
      <c r="O1030" s="15">
        <f>IF(M1030&gt;0, N1030/M1030, 0)</f>
        <v>0</v>
      </c>
      <c r="P1030" s="13">
        <f>M1030-N1030</f>
        <v>8000</v>
      </c>
      <c r="Q1030" s="13">
        <f>L1030*M1030</f>
        <v>8000</v>
      </c>
      <c r="R1030" s="13">
        <f>L1030*N1030</f>
        <v>0</v>
      </c>
      <c r="S1030" s="13">
        <f>L1030*P1030</f>
        <v>8000</v>
      </c>
      <c r="T1030" s="13"/>
      <c r="U1030" s="13">
        <f>L1030*T1030</f>
        <v>0</v>
      </c>
      <c r="V1030" s="13">
        <f>S1030-U1030</f>
        <v>8000</v>
      </c>
      <c r="W1030" s="15">
        <f>IF(S1030&gt;0, V1030/S1030, 0)</f>
        <v>1</v>
      </c>
      <c r="X1030" s="6" t="s">
        <v>39</v>
      </c>
      <c r="Y1030" s="8" t="s">
        <v>40</v>
      </c>
      <c r="Z1030" s="8" t="s">
        <v>41</v>
      </c>
      <c r="AA1030" s="8" t="s">
        <v>42</v>
      </c>
      <c r="AB1030" s="6" t="s">
        <v>42</v>
      </c>
    </row>
    <row r="1031" spans="1:28">
      <c r="A1031" s="9">
        <v>1024</v>
      </c>
      <c r="B1031" s="9" t="s">
        <v>1331</v>
      </c>
      <c r="C1031" s="9" t="s">
        <v>1287</v>
      </c>
      <c r="D1031" s="9" t="s">
        <v>652</v>
      </c>
      <c r="E1031" s="9" t="s">
        <v>33</v>
      </c>
      <c r="F1031" s="7" t="s">
        <v>50</v>
      </c>
      <c r="G1031" s="7" t="s">
        <v>35</v>
      </c>
      <c r="H1031" s="7" t="s">
        <v>36</v>
      </c>
      <c r="I1031" s="9">
        <v>140</v>
      </c>
      <c r="J1031" s="9" t="s">
        <v>223</v>
      </c>
      <c r="K1031" s="9" t="s">
        <v>53</v>
      </c>
      <c r="L1031" s="11">
        <v>2</v>
      </c>
      <c r="M1031" s="14">
        <v>7000.0</v>
      </c>
      <c r="N1031" s="14"/>
      <c r="O1031" s="16">
        <f>IF(M1031&gt;0, N1031/M1031, 0)</f>
        <v>0</v>
      </c>
      <c r="P1031" s="14">
        <f>M1031-N1031</f>
        <v>7000</v>
      </c>
      <c r="Q1031" s="14">
        <f>L1031*M1031</f>
        <v>14000</v>
      </c>
      <c r="R1031" s="14">
        <f>L1031*N1031</f>
        <v>0</v>
      </c>
      <c r="S1031" s="14">
        <f>L1031*P1031</f>
        <v>14000</v>
      </c>
      <c r="T1031" s="14"/>
      <c r="U1031" s="14">
        <f>L1031*T1031</f>
        <v>0</v>
      </c>
      <c r="V1031" s="14">
        <f>S1031-U1031</f>
        <v>14000</v>
      </c>
      <c r="W1031" s="16">
        <f>IF(S1031&gt;0, V1031/S1031, 0)</f>
        <v>1</v>
      </c>
      <c r="X1031" s="7" t="s">
        <v>39</v>
      </c>
      <c r="Y1031" s="9" t="s">
        <v>40</v>
      </c>
      <c r="Z1031" s="9" t="s">
        <v>41</v>
      </c>
      <c r="AA1031" s="9" t="s">
        <v>42</v>
      </c>
      <c r="AB1031" s="7" t="s">
        <v>42</v>
      </c>
    </row>
    <row r="1032" spans="1:28">
      <c r="A1032" s="8">
        <v>1025</v>
      </c>
      <c r="B1032" s="8" t="s">
        <v>1332</v>
      </c>
      <c r="C1032" s="8" t="s">
        <v>1287</v>
      </c>
      <c r="D1032" s="8" t="s">
        <v>652</v>
      </c>
      <c r="E1032" s="8" t="s">
        <v>33</v>
      </c>
      <c r="F1032" s="6" t="s">
        <v>50</v>
      </c>
      <c r="G1032" s="6" t="s">
        <v>35</v>
      </c>
      <c r="H1032" s="6" t="s">
        <v>73</v>
      </c>
      <c r="I1032" s="8">
        <v>140</v>
      </c>
      <c r="J1032" s="8" t="s">
        <v>570</v>
      </c>
      <c r="K1032" s="8" t="s">
        <v>53</v>
      </c>
      <c r="L1032" s="10">
        <v>1</v>
      </c>
      <c r="M1032" s="13">
        <v>8000.0</v>
      </c>
      <c r="N1032" s="13"/>
      <c r="O1032" s="15">
        <f>IF(M1032&gt;0, N1032/M1032, 0)</f>
        <v>0</v>
      </c>
      <c r="P1032" s="13">
        <f>M1032-N1032</f>
        <v>8000</v>
      </c>
      <c r="Q1032" s="13">
        <f>L1032*M1032</f>
        <v>8000</v>
      </c>
      <c r="R1032" s="13">
        <f>L1032*N1032</f>
        <v>0</v>
      </c>
      <c r="S1032" s="13">
        <f>L1032*P1032</f>
        <v>8000</v>
      </c>
      <c r="T1032" s="13"/>
      <c r="U1032" s="13">
        <f>L1032*T1032</f>
        <v>0</v>
      </c>
      <c r="V1032" s="13">
        <f>S1032-U1032</f>
        <v>8000</v>
      </c>
      <c r="W1032" s="15">
        <f>IF(S1032&gt;0, V1032/S1032, 0)</f>
        <v>1</v>
      </c>
      <c r="X1032" s="6" t="s">
        <v>39</v>
      </c>
      <c r="Y1032" s="8" t="s">
        <v>40</v>
      </c>
      <c r="Z1032" s="8" t="s">
        <v>41</v>
      </c>
      <c r="AA1032" s="8" t="s">
        <v>42</v>
      </c>
      <c r="AB1032" s="6" t="s">
        <v>42</v>
      </c>
    </row>
    <row r="1033" spans="1:28">
      <c r="A1033" s="9">
        <v>1026</v>
      </c>
      <c r="B1033" s="9" t="s">
        <v>1333</v>
      </c>
      <c r="C1033" s="9" t="s">
        <v>1334</v>
      </c>
      <c r="D1033" s="9" t="s">
        <v>652</v>
      </c>
      <c r="E1033" s="9" t="s">
        <v>33</v>
      </c>
      <c r="F1033" s="7" t="s">
        <v>50</v>
      </c>
      <c r="G1033" s="7" t="s">
        <v>35</v>
      </c>
      <c r="H1033" s="7" t="s">
        <v>36</v>
      </c>
      <c r="I1033" s="9">
        <v>152</v>
      </c>
      <c r="J1033" s="9" t="s">
        <v>151</v>
      </c>
      <c r="K1033" s="9" t="s">
        <v>53</v>
      </c>
      <c r="L1033" s="11">
        <v>1</v>
      </c>
      <c r="M1033" s="14">
        <v>7000.0</v>
      </c>
      <c r="N1033" s="14"/>
      <c r="O1033" s="16">
        <f>IF(M1033&gt;0, N1033/M1033, 0)</f>
        <v>0</v>
      </c>
      <c r="P1033" s="14">
        <f>M1033-N1033</f>
        <v>7000</v>
      </c>
      <c r="Q1033" s="14">
        <f>L1033*M1033</f>
        <v>7000</v>
      </c>
      <c r="R1033" s="14">
        <f>L1033*N1033</f>
        <v>0</v>
      </c>
      <c r="S1033" s="14">
        <f>L1033*P1033</f>
        <v>7000</v>
      </c>
      <c r="T1033" s="14"/>
      <c r="U1033" s="14">
        <f>L1033*T1033</f>
        <v>0</v>
      </c>
      <c r="V1033" s="14">
        <f>S1033-U1033</f>
        <v>7000</v>
      </c>
      <c r="W1033" s="16">
        <f>IF(S1033&gt;0, V1033/S1033, 0)</f>
        <v>1</v>
      </c>
      <c r="X1033" s="7" t="s">
        <v>39</v>
      </c>
      <c r="Y1033" s="9" t="s">
        <v>40</v>
      </c>
      <c r="Z1033" s="9" t="s">
        <v>41</v>
      </c>
      <c r="AA1033" s="9" t="s">
        <v>42</v>
      </c>
      <c r="AB1033" s="7" t="s">
        <v>42</v>
      </c>
    </row>
    <row r="1034" spans="1:28">
      <c r="A1034" s="8">
        <v>1027</v>
      </c>
      <c r="B1034" s="8" t="s">
        <v>1335</v>
      </c>
      <c r="C1034" s="8" t="s">
        <v>1334</v>
      </c>
      <c r="D1034" s="8" t="s">
        <v>652</v>
      </c>
      <c r="E1034" s="8" t="s">
        <v>33</v>
      </c>
      <c r="F1034" s="6" t="s">
        <v>50</v>
      </c>
      <c r="G1034" s="6" t="s">
        <v>63</v>
      </c>
      <c r="H1034" s="6" t="s">
        <v>148</v>
      </c>
      <c r="I1034" s="8">
        <v>152</v>
      </c>
      <c r="J1034" s="8" t="s">
        <v>251</v>
      </c>
      <c r="K1034" s="8" t="s">
        <v>38</v>
      </c>
      <c r="L1034" s="10">
        <v>1</v>
      </c>
      <c r="M1034" s="13">
        <v>9000.0</v>
      </c>
      <c r="N1034" s="13"/>
      <c r="O1034" s="15">
        <f>IF(M1034&gt;0, N1034/M1034, 0)</f>
        <v>0</v>
      </c>
      <c r="P1034" s="13">
        <f>M1034-N1034</f>
        <v>9000</v>
      </c>
      <c r="Q1034" s="13">
        <f>L1034*M1034</f>
        <v>9000</v>
      </c>
      <c r="R1034" s="13">
        <f>L1034*N1034</f>
        <v>0</v>
      </c>
      <c r="S1034" s="13">
        <f>L1034*P1034</f>
        <v>9000</v>
      </c>
      <c r="T1034" s="13"/>
      <c r="U1034" s="13">
        <f>L1034*T1034</f>
        <v>0</v>
      </c>
      <c r="V1034" s="13">
        <f>S1034-U1034</f>
        <v>9000</v>
      </c>
      <c r="W1034" s="15">
        <f>IF(S1034&gt;0, V1034/S1034, 0)</f>
        <v>1</v>
      </c>
      <c r="X1034" s="6" t="s">
        <v>39</v>
      </c>
      <c r="Y1034" s="8" t="s">
        <v>40</v>
      </c>
      <c r="Z1034" s="8" t="s">
        <v>41</v>
      </c>
      <c r="AA1034" s="8" t="s">
        <v>42</v>
      </c>
      <c r="AB1034" s="6" t="s">
        <v>42</v>
      </c>
    </row>
    <row r="1035" spans="1:28">
      <c r="A1035" s="9">
        <v>1028</v>
      </c>
      <c r="B1035" s="9" t="s">
        <v>1336</v>
      </c>
      <c r="C1035" s="9" t="s">
        <v>1334</v>
      </c>
      <c r="D1035" s="9" t="s">
        <v>652</v>
      </c>
      <c r="E1035" s="9" t="s">
        <v>33</v>
      </c>
      <c r="F1035" s="7" t="s">
        <v>50</v>
      </c>
      <c r="G1035" s="7" t="s">
        <v>69</v>
      </c>
      <c r="H1035" s="7" t="s">
        <v>69</v>
      </c>
      <c r="I1035" s="9">
        <v>146</v>
      </c>
      <c r="J1035" s="9" t="s">
        <v>382</v>
      </c>
      <c r="K1035" s="9" t="s">
        <v>38</v>
      </c>
      <c r="L1035" s="11">
        <v>1</v>
      </c>
      <c r="M1035" s="14">
        <v>16000.0</v>
      </c>
      <c r="N1035" s="14"/>
      <c r="O1035" s="16">
        <f>IF(M1035&gt;0, N1035/M1035, 0)</f>
        <v>0</v>
      </c>
      <c r="P1035" s="14">
        <f>M1035-N1035</f>
        <v>16000</v>
      </c>
      <c r="Q1035" s="14">
        <f>L1035*M1035</f>
        <v>16000</v>
      </c>
      <c r="R1035" s="14">
        <f>L1035*N1035</f>
        <v>0</v>
      </c>
      <c r="S1035" s="14">
        <f>L1035*P1035</f>
        <v>16000</v>
      </c>
      <c r="T1035" s="14"/>
      <c r="U1035" s="14">
        <f>L1035*T1035</f>
        <v>0</v>
      </c>
      <c r="V1035" s="14">
        <f>S1035-U1035</f>
        <v>16000</v>
      </c>
      <c r="W1035" s="16">
        <f>IF(S1035&gt;0, V1035/S1035, 0)</f>
        <v>1</v>
      </c>
      <c r="X1035" s="7" t="s">
        <v>39</v>
      </c>
      <c r="Y1035" s="9" t="s">
        <v>40</v>
      </c>
      <c r="Z1035" s="9" t="s">
        <v>41</v>
      </c>
      <c r="AA1035" s="9" t="s">
        <v>42</v>
      </c>
      <c r="AB1035" s="7" t="s">
        <v>42</v>
      </c>
    </row>
    <row r="1036" spans="1:28">
      <c r="A1036" s="8">
        <v>1029</v>
      </c>
      <c r="B1036" s="8" t="s">
        <v>1337</v>
      </c>
      <c r="C1036" s="8" t="s">
        <v>1334</v>
      </c>
      <c r="D1036" s="8" t="s">
        <v>652</v>
      </c>
      <c r="E1036" s="8" t="s">
        <v>33</v>
      </c>
      <c r="F1036" s="6" t="s">
        <v>50</v>
      </c>
      <c r="G1036" s="6" t="s">
        <v>45</v>
      </c>
      <c r="H1036" s="6" t="s">
        <v>46</v>
      </c>
      <c r="I1036" s="8">
        <v>152</v>
      </c>
      <c r="J1036" s="8" t="s">
        <v>411</v>
      </c>
      <c r="K1036" s="8" t="s">
        <v>38</v>
      </c>
      <c r="L1036" s="10">
        <v>1</v>
      </c>
      <c r="M1036" s="13">
        <v>18000.0</v>
      </c>
      <c r="N1036" s="13"/>
      <c r="O1036" s="15">
        <f>IF(M1036&gt;0, N1036/M1036, 0)</f>
        <v>0</v>
      </c>
      <c r="P1036" s="13">
        <f>M1036-N1036</f>
        <v>18000</v>
      </c>
      <c r="Q1036" s="13">
        <f>L1036*M1036</f>
        <v>18000</v>
      </c>
      <c r="R1036" s="13">
        <f>L1036*N1036</f>
        <v>0</v>
      </c>
      <c r="S1036" s="13">
        <f>L1036*P1036</f>
        <v>18000</v>
      </c>
      <c r="T1036" s="13"/>
      <c r="U1036" s="13">
        <f>L1036*T1036</f>
        <v>0</v>
      </c>
      <c r="V1036" s="13">
        <f>S1036-U1036</f>
        <v>18000</v>
      </c>
      <c r="W1036" s="15">
        <f>IF(S1036&gt;0, V1036/S1036, 0)</f>
        <v>1</v>
      </c>
      <c r="X1036" s="6" t="s">
        <v>39</v>
      </c>
      <c r="Y1036" s="8" t="s">
        <v>40</v>
      </c>
      <c r="Z1036" s="8" t="s">
        <v>41</v>
      </c>
      <c r="AA1036" s="8" t="s">
        <v>42</v>
      </c>
      <c r="AB1036" s="6" t="s">
        <v>42</v>
      </c>
    </row>
    <row r="1037" spans="1:28">
      <c r="A1037" s="9">
        <v>1030</v>
      </c>
      <c r="B1037" s="9" t="s">
        <v>1338</v>
      </c>
      <c r="C1037" s="9" t="s">
        <v>1334</v>
      </c>
      <c r="D1037" s="9" t="s">
        <v>652</v>
      </c>
      <c r="E1037" s="9" t="s">
        <v>33</v>
      </c>
      <c r="F1037" s="7" t="s">
        <v>50</v>
      </c>
      <c r="G1037" s="7" t="s">
        <v>56</v>
      </c>
      <c r="H1037" s="7" t="s">
        <v>56</v>
      </c>
      <c r="I1037" s="9">
        <v>152</v>
      </c>
      <c r="J1037" s="9" t="s">
        <v>311</v>
      </c>
      <c r="K1037" s="9" t="s">
        <v>38</v>
      </c>
      <c r="L1037" s="11">
        <v>1</v>
      </c>
      <c r="M1037" s="14">
        <v>7000.0</v>
      </c>
      <c r="N1037" s="14"/>
      <c r="O1037" s="16">
        <f>IF(M1037&gt;0, N1037/M1037, 0)</f>
        <v>0</v>
      </c>
      <c r="P1037" s="14">
        <f>M1037-N1037</f>
        <v>7000</v>
      </c>
      <c r="Q1037" s="14">
        <f>L1037*M1037</f>
        <v>7000</v>
      </c>
      <c r="R1037" s="14">
        <f>L1037*N1037</f>
        <v>0</v>
      </c>
      <c r="S1037" s="14">
        <f>L1037*P1037</f>
        <v>7000</v>
      </c>
      <c r="T1037" s="14"/>
      <c r="U1037" s="14">
        <f>L1037*T1037</f>
        <v>0</v>
      </c>
      <c r="V1037" s="14">
        <f>S1037-U1037</f>
        <v>7000</v>
      </c>
      <c r="W1037" s="16">
        <f>IF(S1037&gt;0, V1037/S1037, 0)</f>
        <v>1</v>
      </c>
      <c r="X1037" s="7" t="s">
        <v>39</v>
      </c>
      <c r="Y1037" s="9" t="s">
        <v>40</v>
      </c>
      <c r="Z1037" s="9" t="s">
        <v>41</v>
      </c>
      <c r="AA1037" s="9" t="s">
        <v>42</v>
      </c>
      <c r="AB1037" s="7" t="s">
        <v>42</v>
      </c>
    </row>
    <row r="1038" spans="1:28">
      <c r="A1038" s="8">
        <v>1031</v>
      </c>
      <c r="B1038" s="8" t="s">
        <v>1339</v>
      </c>
      <c r="C1038" s="8" t="s">
        <v>1334</v>
      </c>
      <c r="D1038" s="8" t="s">
        <v>652</v>
      </c>
      <c r="E1038" s="8" t="s">
        <v>33</v>
      </c>
      <c r="F1038" s="6" t="s">
        <v>50</v>
      </c>
      <c r="G1038" s="6" t="s">
        <v>51</v>
      </c>
      <c r="H1038" s="6" t="s">
        <v>51</v>
      </c>
      <c r="I1038" s="8">
        <v>152</v>
      </c>
      <c r="J1038" s="8" t="s">
        <v>402</v>
      </c>
      <c r="K1038" s="8" t="s">
        <v>53</v>
      </c>
      <c r="L1038" s="10">
        <v>1</v>
      </c>
      <c r="M1038" s="13">
        <v>8000.0</v>
      </c>
      <c r="N1038" s="13"/>
      <c r="O1038" s="15">
        <f>IF(M1038&gt;0, N1038/M1038, 0)</f>
        <v>0</v>
      </c>
      <c r="P1038" s="13">
        <f>M1038-N1038</f>
        <v>8000</v>
      </c>
      <c r="Q1038" s="13">
        <f>L1038*M1038</f>
        <v>8000</v>
      </c>
      <c r="R1038" s="13">
        <f>L1038*N1038</f>
        <v>0</v>
      </c>
      <c r="S1038" s="13">
        <f>L1038*P1038</f>
        <v>8000</v>
      </c>
      <c r="T1038" s="13"/>
      <c r="U1038" s="13">
        <f>L1038*T1038</f>
        <v>0</v>
      </c>
      <c r="V1038" s="13">
        <f>S1038-U1038</f>
        <v>8000</v>
      </c>
      <c r="W1038" s="15">
        <f>IF(S1038&gt;0, V1038/S1038, 0)</f>
        <v>1</v>
      </c>
      <c r="X1038" s="6" t="s">
        <v>39</v>
      </c>
      <c r="Y1038" s="8" t="s">
        <v>40</v>
      </c>
      <c r="Z1038" s="8" t="s">
        <v>41</v>
      </c>
      <c r="AA1038" s="8" t="s">
        <v>42</v>
      </c>
      <c r="AB1038" s="6" t="s">
        <v>42</v>
      </c>
    </row>
    <row r="1039" spans="1:28">
      <c r="A1039" s="9">
        <v>1032</v>
      </c>
      <c r="B1039" s="9" t="s">
        <v>1340</v>
      </c>
      <c r="C1039" s="9" t="s">
        <v>1334</v>
      </c>
      <c r="D1039" s="9" t="s">
        <v>652</v>
      </c>
      <c r="E1039" s="9" t="s">
        <v>33</v>
      </c>
      <c r="F1039" s="7" t="s">
        <v>50</v>
      </c>
      <c r="G1039" s="7" t="s">
        <v>69</v>
      </c>
      <c r="H1039" s="7" t="s">
        <v>69</v>
      </c>
      <c r="I1039" s="9">
        <v>152</v>
      </c>
      <c r="J1039" s="9" t="s">
        <v>350</v>
      </c>
      <c r="K1039" s="9" t="s">
        <v>38</v>
      </c>
      <c r="L1039" s="11">
        <v>1</v>
      </c>
      <c r="M1039" s="14">
        <v>17000.0</v>
      </c>
      <c r="N1039" s="14"/>
      <c r="O1039" s="16">
        <f>IF(M1039&gt;0, N1039/M1039, 0)</f>
        <v>0</v>
      </c>
      <c r="P1039" s="14">
        <f>M1039-N1039</f>
        <v>17000</v>
      </c>
      <c r="Q1039" s="14">
        <f>L1039*M1039</f>
        <v>17000</v>
      </c>
      <c r="R1039" s="14">
        <f>L1039*N1039</f>
        <v>0</v>
      </c>
      <c r="S1039" s="14">
        <f>L1039*P1039</f>
        <v>17000</v>
      </c>
      <c r="T1039" s="14"/>
      <c r="U1039" s="14">
        <f>L1039*T1039</f>
        <v>0</v>
      </c>
      <c r="V1039" s="14">
        <f>S1039-U1039</f>
        <v>17000</v>
      </c>
      <c r="W1039" s="16">
        <f>IF(S1039&gt;0, V1039/S1039, 0)</f>
        <v>1</v>
      </c>
      <c r="X1039" s="7" t="s">
        <v>39</v>
      </c>
      <c r="Y1039" s="9" t="s">
        <v>40</v>
      </c>
      <c r="Z1039" s="9" t="s">
        <v>41</v>
      </c>
      <c r="AA1039" s="9" t="s">
        <v>42</v>
      </c>
      <c r="AB1039" s="7" t="s">
        <v>42</v>
      </c>
    </row>
    <row r="1040" spans="1:28">
      <c r="A1040" s="8">
        <v>1033</v>
      </c>
      <c r="B1040" s="8" t="s">
        <v>1341</v>
      </c>
      <c r="C1040" s="8" t="s">
        <v>1334</v>
      </c>
      <c r="D1040" s="8" t="s">
        <v>652</v>
      </c>
      <c r="E1040" s="8" t="s">
        <v>33</v>
      </c>
      <c r="F1040" s="6" t="s">
        <v>50</v>
      </c>
      <c r="G1040" s="6" t="s">
        <v>56</v>
      </c>
      <c r="H1040" s="6" t="s">
        <v>56</v>
      </c>
      <c r="I1040" s="8">
        <v>152</v>
      </c>
      <c r="J1040" s="8" t="s">
        <v>311</v>
      </c>
      <c r="K1040" s="8" t="s">
        <v>38</v>
      </c>
      <c r="L1040" s="10">
        <v>1</v>
      </c>
      <c r="M1040" s="13">
        <v>7000.0</v>
      </c>
      <c r="N1040" s="13"/>
      <c r="O1040" s="15">
        <f>IF(M1040&gt;0, N1040/M1040, 0)</f>
        <v>0</v>
      </c>
      <c r="P1040" s="13">
        <f>M1040-N1040</f>
        <v>7000</v>
      </c>
      <c r="Q1040" s="13">
        <f>L1040*M1040</f>
        <v>7000</v>
      </c>
      <c r="R1040" s="13">
        <f>L1040*N1040</f>
        <v>0</v>
      </c>
      <c r="S1040" s="13">
        <f>L1040*P1040</f>
        <v>7000</v>
      </c>
      <c r="T1040" s="13"/>
      <c r="U1040" s="13">
        <f>L1040*T1040</f>
        <v>0</v>
      </c>
      <c r="V1040" s="13">
        <f>S1040-U1040</f>
        <v>7000</v>
      </c>
      <c r="W1040" s="15">
        <f>IF(S1040&gt;0, V1040/S1040, 0)</f>
        <v>1</v>
      </c>
      <c r="X1040" s="6" t="s">
        <v>39</v>
      </c>
      <c r="Y1040" s="8" t="s">
        <v>40</v>
      </c>
      <c r="Z1040" s="8" t="s">
        <v>41</v>
      </c>
      <c r="AA1040" s="8" t="s">
        <v>42</v>
      </c>
      <c r="AB1040" s="6" t="s">
        <v>42</v>
      </c>
    </row>
    <row r="1041" spans="1:28">
      <c r="A1041" s="9">
        <v>1034</v>
      </c>
      <c r="B1041" s="9" t="s">
        <v>1342</v>
      </c>
      <c r="C1041" s="9" t="s">
        <v>1334</v>
      </c>
      <c r="D1041" s="9" t="s">
        <v>652</v>
      </c>
      <c r="E1041" s="9" t="s">
        <v>33</v>
      </c>
      <c r="F1041" s="7" t="s">
        <v>50</v>
      </c>
      <c r="G1041" s="7" t="s">
        <v>63</v>
      </c>
      <c r="H1041" s="7" t="s">
        <v>148</v>
      </c>
      <c r="I1041" s="9">
        <v>152</v>
      </c>
      <c r="J1041" s="9" t="s">
        <v>251</v>
      </c>
      <c r="K1041" s="9" t="s">
        <v>38</v>
      </c>
      <c r="L1041" s="11">
        <v>1</v>
      </c>
      <c r="M1041" s="14">
        <v>9000.0</v>
      </c>
      <c r="N1041" s="14"/>
      <c r="O1041" s="16">
        <f>IF(M1041&gt;0, N1041/M1041, 0)</f>
        <v>0</v>
      </c>
      <c r="P1041" s="14">
        <f>M1041-N1041</f>
        <v>9000</v>
      </c>
      <c r="Q1041" s="14">
        <f>L1041*M1041</f>
        <v>9000</v>
      </c>
      <c r="R1041" s="14">
        <f>L1041*N1041</f>
        <v>0</v>
      </c>
      <c r="S1041" s="14">
        <f>L1041*P1041</f>
        <v>9000</v>
      </c>
      <c r="T1041" s="14"/>
      <c r="U1041" s="14">
        <f>L1041*T1041</f>
        <v>0</v>
      </c>
      <c r="V1041" s="14">
        <f>S1041-U1041</f>
        <v>9000</v>
      </c>
      <c r="W1041" s="16">
        <f>IF(S1041&gt;0, V1041/S1041, 0)</f>
        <v>1</v>
      </c>
      <c r="X1041" s="7" t="s">
        <v>39</v>
      </c>
      <c r="Y1041" s="9" t="s">
        <v>40</v>
      </c>
      <c r="Z1041" s="9" t="s">
        <v>41</v>
      </c>
      <c r="AA1041" s="9" t="s">
        <v>42</v>
      </c>
      <c r="AB1041" s="7" t="s">
        <v>42</v>
      </c>
    </row>
    <row r="1042" spans="1:28">
      <c r="A1042" s="8">
        <v>1035</v>
      </c>
      <c r="B1042" s="8" t="s">
        <v>1343</v>
      </c>
      <c r="C1042" s="8" t="s">
        <v>1334</v>
      </c>
      <c r="D1042" s="8" t="s">
        <v>652</v>
      </c>
      <c r="E1042" s="8" t="s">
        <v>33</v>
      </c>
      <c r="F1042" s="6" t="s">
        <v>50</v>
      </c>
      <c r="G1042" s="6" t="s">
        <v>51</v>
      </c>
      <c r="H1042" s="6" t="s">
        <v>51</v>
      </c>
      <c r="I1042" s="8">
        <v>164</v>
      </c>
      <c r="J1042" s="8" t="s">
        <v>404</v>
      </c>
      <c r="K1042" s="8" t="s">
        <v>53</v>
      </c>
      <c r="L1042" s="10">
        <v>1</v>
      </c>
      <c r="M1042" s="13">
        <v>8000.0</v>
      </c>
      <c r="N1042" s="13"/>
      <c r="O1042" s="15">
        <f>IF(M1042&gt;0, N1042/M1042, 0)</f>
        <v>0</v>
      </c>
      <c r="P1042" s="13">
        <f>M1042-N1042</f>
        <v>8000</v>
      </c>
      <c r="Q1042" s="13">
        <f>L1042*M1042</f>
        <v>8000</v>
      </c>
      <c r="R1042" s="13">
        <f>L1042*N1042</f>
        <v>0</v>
      </c>
      <c r="S1042" s="13">
        <f>L1042*P1042</f>
        <v>8000</v>
      </c>
      <c r="T1042" s="13"/>
      <c r="U1042" s="13">
        <f>L1042*T1042</f>
        <v>0</v>
      </c>
      <c r="V1042" s="13">
        <f>S1042-U1042</f>
        <v>8000</v>
      </c>
      <c r="W1042" s="15">
        <f>IF(S1042&gt;0, V1042/S1042, 0)</f>
        <v>1</v>
      </c>
      <c r="X1042" s="6" t="s">
        <v>39</v>
      </c>
      <c r="Y1042" s="8" t="s">
        <v>40</v>
      </c>
      <c r="Z1042" s="8" t="s">
        <v>41</v>
      </c>
      <c r="AA1042" s="8" t="s">
        <v>42</v>
      </c>
      <c r="AB1042" s="6" t="s">
        <v>42</v>
      </c>
    </row>
    <row r="1043" spans="1:28">
      <c r="A1043" s="9">
        <v>1036</v>
      </c>
      <c r="B1043" s="9" t="s">
        <v>1344</v>
      </c>
      <c r="C1043" s="9" t="s">
        <v>1334</v>
      </c>
      <c r="D1043" s="9" t="s">
        <v>652</v>
      </c>
      <c r="E1043" s="9" t="s">
        <v>33</v>
      </c>
      <c r="F1043" s="7" t="s">
        <v>50</v>
      </c>
      <c r="G1043" s="7" t="s">
        <v>35</v>
      </c>
      <c r="H1043" s="7" t="s">
        <v>36</v>
      </c>
      <c r="I1043" s="9">
        <v>158</v>
      </c>
      <c r="J1043" s="9" t="s">
        <v>130</v>
      </c>
      <c r="K1043" s="9" t="s">
        <v>53</v>
      </c>
      <c r="L1043" s="11">
        <v>1</v>
      </c>
      <c r="M1043" s="14">
        <v>7000.0</v>
      </c>
      <c r="N1043" s="14"/>
      <c r="O1043" s="16">
        <f>IF(M1043&gt;0, N1043/M1043, 0)</f>
        <v>0</v>
      </c>
      <c r="P1043" s="14">
        <f>M1043-N1043</f>
        <v>7000</v>
      </c>
      <c r="Q1043" s="14">
        <f>L1043*M1043</f>
        <v>7000</v>
      </c>
      <c r="R1043" s="14">
        <f>L1043*N1043</f>
        <v>0</v>
      </c>
      <c r="S1043" s="14">
        <f>L1043*P1043</f>
        <v>7000</v>
      </c>
      <c r="T1043" s="14"/>
      <c r="U1043" s="14">
        <f>L1043*T1043</f>
        <v>0</v>
      </c>
      <c r="V1043" s="14">
        <f>S1043-U1043</f>
        <v>7000</v>
      </c>
      <c r="W1043" s="16">
        <f>IF(S1043&gt;0, V1043/S1043, 0)</f>
        <v>1</v>
      </c>
      <c r="X1043" s="7" t="s">
        <v>39</v>
      </c>
      <c r="Y1043" s="9" t="s">
        <v>40</v>
      </c>
      <c r="Z1043" s="9" t="s">
        <v>41</v>
      </c>
      <c r="AA1043" s="9" t="s">
        <v>42</v>
      </c>
      <c r="AB1043" s="7" t="s">
        <v>42</v>
      </c>
    </row>
    <row r="1044" spans="1:28">
      <c r="A1044" s="8">
        <v>1037</v>
      </c>
      <c r="B1044" s="8" t="s">
        <v>1345</v>
      </c>
      <c r="C1044" s="8" t="s">
        <v>1334</v>
      </c>
      <c r="D1044" s="8" t="s">
        <v>652</v>
      </c>
      <c r="E1044" s="8" t="s">
        <v>33</v>
      </c>
      <c r="F1044" s="6" t="s">
        <v>50</v>
      </c>
      <c r="G1044" s="6" t="s">
        <v>69</v>
      </c>
      <c r="H1044" s="6" t="s">
        <v>69</v>
      </c>
      <c r="I1044" s="8">
        <v>152</v>
      </c>
      <c r="J1044" s="8" t="s">
        <v>350</v>
      </c>
      <c r="K1044" s="8" t="s">
        <v>38</v>
      </c>
      <c r="L1044" s="10">
        <v>1</v>
      </c>
      <c r="M1044" s="13">
        <v>16000.0</v>
      </c>
      <c r="N1044" s="13"/>
      <c r="O1044" s="15">
        <f>IF(M1044&gt;0, N1044/M1044, 0)</f>
        <v>0</v>
      </c>
      <c r="P1044" s="13">
        <f>M1044-N1044</f>
        <v>16000</v>
      </c>
      <c r="Q1044" s="13">
        <f>L1044*M1044</f>
        <v>16000</v>
      </c>
      <c r="R1044" s="13">
        <f>L1044*N1044</f>
        <v>0</v>
      </c>
      <c r="S1044" s="13">
        <f>L1044*P1044</f>
        <v>16000</v>
      </c>
      <c r="T1044" s="13"/>
      <c r="U1044" s="13">
        <f>L1044*T1044</f>
        <v>0</v>
      </c>
      <c r="V1044" s="13">
        <f>S1044-U1044</f>
        <v>16000</v>
      </c>
      <c r="W1044" s="15">
        <f>IF(S1044&gt;0, V1044/S1044, 0)</f>
        <v>1</v>
      </c>
      <c r="X1044" s="6" t="s">
        <v>39</v>
      </c>
      <c r="Y1044" s="8" t="s">
        <v>40</v>
      </c>
      <c r="Z1044" s="8" t="s">
        <v>41</v>
      </c>
      <c r="AA1044" s="8" t="s">
        <v>42</v>
      </c>
      <c r="AB1044" s="6" t="s">
        <v>42</v>
      </c>
    </row>
    <row r="1045" spans="1:28">
      <c r="A1045" s="9">
        <v>1038</v>
      </c>
      <c r="B1045" s="9" t="s">
        <v>1346</v>
      </c>
      <c r="C1045" s="9" t="s">
        <v>1334</v>
      </c>
      <c r="D1045" s="9" t="s">
        <v>652</v>
      </c>
      <c r="E1045" s="9" t="s">
        <v>33</v>
      </c>
      <c r="F1045" s="7" t="s">
        <v>50</v>
      </c>
      <c r="G1045" s="7" t="s">
        <v>69</v>
      </c>
      <c r="H1045" s="7" t="s">
        <v>69</v>
      </c>
      <c r="I1045" s="9">
        <v>140</v>
      </c>
      <c r="J1045" s="9" t="s">
        <v>225</v>
      </c>
      <c r="K1045" s="9" t="s">
        <v>38</v>
      </c>
      <c r="L1045" s="11">
        <v>1</v>
      </c>
      <c r="M1045" s="14">
        <v>16000.0</v>
      </c>
      <c r="N1045" s="14"/>
      <c r="O1045" s="16">
        <f>IF(M1045&gt;0, N1045/M1045, 0)</f>
        <v>0</v>
      </c>
      <c r="P1045" s="14">
        <f>M1045-N1045</f>
        <v>16000</v>
      </c>
      <c r="Q1045" s="14">
        <f>L1045*M1045</f>
        <v>16000</v>
      </c>
      <c r="R1045" s="14">
        <f>L1045*N1045</f>
        <v>0</v>
      </c>
      <c r="S1045" s="14">
        <f>L1045*P1045</f>
        <v>16000</v>
      </c>
      <c r="T1045" s="14"/>
      <c r="U1045" s="14">
        <f>L1045*T1045</f>
        <v>0</v>
      </c>
      <c r="V1045" s="14">
        <f>S1045-U1045</f>
        <v>16000</v>
      </c>
      <c r="W1045" s="16">
        <f>IF(S1045&gt;0, V1045/S1045, 0)</f>
        <v>1</v>
      </c>
      <c r="X1045" s="7" t="s">
        <v>39</v>
      </c>
      <c r="Y1045" s="9" t="s">
        <v>40</v>
      </c>
      <c r="Z1045" s="9" t="s">
        <v>41</v>
      </c>
      <c r="AA1045" s="9" t="s">
        <v>42</v>
      </c>
      <c r="AB1045" s="7" t="s">
        <v>42</v>
      </c>
    </row>
    <row r="1046" spans="1:28">
      <c r="A1046" s="8">
        <v>1039</v>
      </c>
      <c r="B1046" s="8" t="s">
        <v>1347</v>
      </c>
      <c r="C1046" s="8" t="s">
        <v>1334</v>
      </c>
      <c r="D1046" s="8" t="s">
        <v>652</v>
      </c>
      <c r="E1046" s="8" t="s">
        <v>33</v>
      </c>
      <c r="F1046" s="6" t="s">
        <v>50</v>
      </c>
      <c r="G1046" s="6" t="s">
        <v>63</v>
      </c>
      <c r="H1046" s="6" t="s">
        <v>148</v>
      </c>
      <c r="I1046" s="8">
        <v>152</v>
      </c>
      <c r="J1046" s="8" t="s">
        <v>251</v>
      </c>
      <c r="K1046" s="8" t="s">
        <v>38</v>
      </c>
      <c r="L1046" s="10">
        <v>1</v>
      </c>
      <c r="M1046" s="13">
        <v>9000.0</v>
      </c>
      <c r="N1046" s="13"/>
      <c r="O1046" s="15">
        <f>IF(M1046&gt;0, N1046/M1046, 0)</f>
        <v>0</v>
      </c>
      <c r="P1046" s="13">
        <f>M1046-N1046</f>
        <v>9000</v>
      </c>
      <c r="Q1046" s="13">
        <f>L1046*M1046</f>
        <v>9000</v>
      </c>
      <c r="R1046" s="13">
        <f>L1046*N1046</f>
        <v>0</v>
      </c>
      <c r="S1046" s="13">
        <f>L1046*P1046</f>
        <v>9000</v>
      </c>
      <c r="T1046" s="13"/>
      <c r="U1046" s="13">
        <f>L1046*T1046</f>
        <v>0</v>
      </c>
      <c r="V1046" s="13">
        <f>S1046-U1046</f>
        <v>9000</v>
      </c>
      <c r="W1046" s="15">
        <f>IF(S1046&gt;0, V1046/S1046, 0)</f>
        <v>1</v>
      </c>
      <c r="X1046" s="6" t="s">
        <v>39</v>
      </c>
      <c r="Y1046" s="8" t="s">
        <v>40</v>
      </c>
      <c r="Z1046" s="8" t="s">
        <v>41</v>
      </c>
      <c r="AA1046" s="8" t="s">
        <v>42</v>
      </c>
      <c r="AB1046" s="6" t="s">
        <v>42</v>
      </c>
    </row>
    <row r="1047" spans="1:28">
      <c r="A1047" s="9">
        <v>1040</v>
      </c>
      <c r="B1047" s="9" t="s">
        <v>1348</v>
      </c>
      <c r="C1047" s="9" t="s">
        <v>1334</v>
      </c>
      <c r="D1047" s="9" t="s">
        <v>652</v>
      </c>
      <c r="E1047" s="9" t="s">
        <v>33</v>
      </c>
      <c r="F1047" s="7" t="s">
        <v>50</v>
      </c>
      <c r="G1047" s="7" t="s">
        <v>56</v>
      </c>
      <c r="H1047" s="7" t="s">
        <v>56</v>
      </c>
      <c r="I1047" s="9">
        <v>140</v>
      </c>
      <c r="J1047" s="9" t="s">
        <v>597</v>
      </c>
      <c r="K1047" s="9" t="s">
        <v>38</v>
      </c>
      <c r="L1047" s="11">
        <v>1</v>
      </c>
      <c r="M1047" s="14">
        <v>7000.0</v>
      </c>
      <c r="N1047" s="14"/>
      <c r="O1047" s="16">
        <f>IF(M1047&gt;0, N1047/M1047, 0)</f>
        <v>0</v>
      </c>
      <c r="P1047" s="14">
        <f>M1047-N1047</f>
        <v>7000</v>
      </c>
      <c r="Q1047" s="14">
        <f>L1047*M1047</f>
        <v>7000</v>
      </c>
      <c r="R1047" s="14">
        <f>L1047*N1047</f>
        <v>0</v>
      </c>
      <c r="S1047" s="14">
        <f>L1047*P1047</f>
        <v>7000</v>
      </c>
      <c r="T1047" s="14"/>
      <c r="U1047" s="14">
        <f>L1047*T1047</f>
        <v>0</v>
      </c>
      <c r="V1047" s="14">
        <f>S1047-U1047</f>
        <v>7000</v>
      </c>
      <c r="W1047" s="16">
        <f>IF(S1047&gt;0, V1047/S1047, 0)</f>
        <v>1</v>
      </c>
      <c r="X1047" s="7" t="s">
        <v>39</v>
      </c>
      <c r="Y1047" s="9" t="s">
        <v>40</v>
      </c>
      <c r="Z1047" s="9" t="s">
        <v>41</v>
      </c>
      <c r="AA1047" s="9" t="s">
        <v>42</v>
      </c>
      <c r="AB1047" s="7" t="s">
        <v>42</v>
      </c>
    </row>
    <row r="1048" spans="1:28">
      <c r="A1048" s="8">
        <v>1041</v>
      </c>
      <c r="B1048" s="8" t="s">
        <v>1349</v>
      </c>
      <c r="C1048" s="8" t="s">
        <v>1334</v>
      </c>
      <c r="D1048" s="8" t="s">
        <v>652</v>
      </c>
      <c r="E1048" s="8" t="s">
        <v>33</v>
      </c>
      <c r="F1048" s="6" t="s">
        <v>50</v>
      </c>
      <c r="G1048" s="6" t="s">
        <v>56</v>
      </c>
      <c r="H1048" s="6" t="s">
        <v>56</v>
      </c>
      <c r="I1048" s="8">
        <v>152</v>
      </c>
      <c r="J1048" s="8" t="s">
        <v>311</v>
      </c>
      <c r="K1048" s="8" t="s">
        <v>38</v>
      </c>
      <c r="L1048" s="10">
        <v>1</v>
      </c>
      <c r="M1048" s="13">
        <v>7000.0</v>
      </c>
      <c r="N1048" s="13"/>
      <c r="O1048" s="15">
        <f>IF(M1048&gt;0, N1048/M1048, 0)</f>
        <v>0</v>
      </c>
      <c r="P1048" s="13">
        <f>M1048-N1048</f>
        <v>7000</v>
      </c>
      <c r="Q1048" s="13">
        <f>L1048*M1048</f>
        <v>7000</v>
      </c>
      <c r="R1048" s="13">
        <f>L1048*N1048</f>
        <v>0</v>
      </c>
      <c r="S1048" s="13">
        <f>L1048*P1048</f>
        <v>7000</v>
      </c>
      <c r="T1048" s="13"/>
      <c r="U1048" s="13">
        <f>L1048*T1048</f>
        <v>0</v>
      </c>
      <c r="V1048" s="13">
        <f>S1048-U1048</f>
        <v>7000</v>
      </c>
      <c r="W1048" s="15">
        <f>IF(S1048&gt;0, V1048/S1048, 0)</f>
        <v>1</v>
      </c>
      <c r="X1048" s="6" t="s">
        <v>39</v>
      </c>
      <c r="Y1048" s="8" t="s">
        <v>40</v>
      </c>
      <c r="Z1048" s="8" t="s">
        <v>41</v>
      </c>
      <c r="AA1048" s="8" t="s">
        <v>42</v>
      </c>
      <c r="AB1048" s="6" t="s">
        <v>42</v>
      </c>
    </row>
    <row r="1049" spans="1:28">
      <c r="A1049" s="9">
        <v>1042</v>
      </c>
      <c r="B1049" s="9" t="s">
        <v>1350</v>
      </c>
      <c r="C1049" s="9" t="s">
        <v>1334</v>
      </c>
      <c r="D1049" s="9" t="s">
        <v>652</v>
      </c>
      <c r="E1049" s="9" t="s">
        <v>33</v>
      </c>
      <c r="F1049" s="7" t="s">
        <v>50</v>
      </c>
      <c r="G1049" s="7" t="s">
        <v>51</v>
      </c>
      <c r="H1049" s="7" t="s">
        <v>51</v>
      </c>
      <c r="I1049" s="9">
        <v>134</v>
      </c>
      <c r="J1049" s="9" t="s">
        <v>175</v>
      </c>
      <c r="K1049" s="9" t="s">
        <v>53</v>
      </c>
      <c r="L1049" s="11">
        <v>1</v>
      </c>
      <c r="M1049" s="14">
        <v>8000.0</v>
      </c>
      <c r="N1049" s="14"/>
      <c r="O1049" s="16">
        <f>IF(M1049&gt;0, N1049/M1049, 0)</f>
        <v>0</v>
      </c>
      <c r="P1049" s="14">
        <f>M1049-N1049</f>
        <v>8000</v>
      </c>
      <c r="Q1049" s="14">
        <f>L1049*M1049</f>
        <v>8000</v>
      </c>
      <c r="R1049" s="14">
        <f>L1049*N1049</f>
        <v>0</v>
      </c>
      <c r="S1049" s="14">
        <f>L1049*P1049</f>
        <v>8000</v>
      </c>
      <c r="T1049" s="14"/>
      <c r="U1049" s="14">
        <f>L1049*T1049</f>
        <v>0</v>
      </c>
      <c r="V1049" s="14">
        <f>S1049-U1049</f>
        <v>8000</v>
      </c>
      <c r="W1049" s="16">
        <f>IF(S1049&gt;0, V1049/S1049, 0)</f>
        <v>1</v>
      </c>
      <c r="X1049" s="7" t="s">
        <v>39</v>
      </c>
      <c r="Y1049" s="9" t="s">
        <v>40</v>
      </c>
      <c r="Z1049" s="9" t="s">
        <v>41</v>
      </c>
      <c r="AA1049" s="9" t="s">
        <v>42</v>
      </c>
      <c r="AB1049" s="7" t="s">
        <v>42</v>
      </c>
    </row>
    <row r="1050" spans="1:28">
      <c r="A1050" s="8">
        <v>1043</v>
      </c>
      <c r="B1050" s="8" t="s">
        <v>1351</v>
      </c>
      <c r="C1050" s="8" t="s">
        <v>1334</v>
      </c>
      <c r="D1050" s="8" t="s">
        <v>652</v>
      </c>
      <c r="E1050" s="8" t="s">
        <v>33</v>
      </c>
      <c r="F1050" s="6" t="s">
        <v>50</v>
      </c>
      <c r="G1050" s="6" t="s">
        <v>51</v>
      </c>
      <c r="H1050" s="6" t="s">
        <v>51</v>
      </c>
      <c r="I1050" s="8">
        <v>146</v>
      </c>
      <c r="J1050" s="8" t="s">
        <v>254</v>
      </c>
      <c r="K1050" s="8" t="s">
        <v>53</v>
      </c>
      <c r="L1050" s="10">
        <v>1</v>
      </c>
      <c r="M1050" s="13">
        <v>8000.0</v>
      </c>
      <c r="N1050" s="13"/>
      <c r="O1050" s="15">
        <f>IF(M1050&gt;0, N1050/M1050, 0)</f>
        <v>0</v>
      </c>
      <c r="P1050" s="13">
        <f>M1050-N1050</f>
        <v>8000</v>
      </c>
      <c r="Q1050" s="13">
        <f>L1050*M1050</f>
        <v>8000</v>
      </c>
      <c r="R1050" s="13">
        <f>L1050*N1050</f>
        <v>0</v>
      </c>
      <c r="S1050" s="13">
        <f>L1050*P1050</f>
        <v>8000</v>
      </c>
      <c r="T1050" s="13"/>
      <c r="U1050" s="13">
        <f>L1050*T1050</f>
        <v>0</v>
      </c>
      <c r="V1050" s="13">
        <f>S1050-U1050</f>
        <v>8000</v>
      </c>
      <c r="W1050" s="15">
        <f>IF(S1050&gt;0, V1050/S1050, 0)</f>
        <v>1</v>
      </c>
      <c r="X1050" s="6" t="s">
        <v>39</v>
      </c>
      <c r="Y1050" s="8" t="s">
        <v>40</v>
      </c>
      <c r="Z1050" s="8" t="s">
        <v>41</v>
      </c>
      <c r="AA1050" s="8" t="s">
        <v>42</v>
      </c>
      <c r="AB1050" s="6" t="s">
        <v>42</v>
      </c>
    </row>
    <row r="1051" spans="1:28">
      <c r="A1051" s="9">
        <v>1044</v>
      </c>
      <c r="B1051" s="9" t="s">
        <v>1352</v>
      </c>
      <c r="C1051" s="9" t="s">
        <v>1334</v>
      </c>
      <c r="D1051" s="9" t="s">
        <v>652</v>
      </c>
      <c r="E1051" s="9" t="s">
        <v>33</v>
      </c>
      <c r="F1051" s="7" t="s">
        <v>50</v>
      </c>
      <c r="G1051" s="7" t="s">
        <v>35</v>
      </c>
      <c r="H1051" s="7" t="s">
        <v>36</v>
      </c>
      <c r="I1051" s="9">
        <v>152</v>
      </c>
      <c r="J1051" s="9" t="s">
        <v>151</v>
      </c>
      <c r="K1051" s="9" t="s">
        <v>53</v>
      </c>
      <c r="L1051" s="11">
        <v>3</v>
      </c>
      <c r="M1051" s="14">
        <v>7000.0</v>
      </c>
      <c r="N1051" s="14"/>
      <c r="O1051" s="16">
        <f>IF(M1051&gt;0, N1051/M1051, 0)</f>
        <v>0</v>
      </c>
      <c r="P1051" s="14">
        <f>M1051-N1051</f>
        <v>7000</v>
      </c>
      <c r="Q1051" s="14">
        <f>L1051*M1051</f>
        <v>21000</v>
      </c>
      <c r="R1051" s="14">
        <f>L1051*N1051</f>
        <v>0</v>
      </c>
      <c r="S1051" s="14">
        <f>L1051*P1051</f>
        <v>21000</v>
      </c>
      <c r="T1051" s="14"/>
      <c r="U1051" s="14">
        <f>L1051*T1051</f>
        <v>0</v>
      </c>
      <c r="V1051" s="14">
        <f>S1051-U1051</f>
        <v>21000</v>
      </c>
      <c r="W1051" s="16">
        <f>IF(S1051&gt;0, V1051/S1051, 0)</f>
        <v>1</v>
      </c>
      <c r="X1051" s="7" t="s">
        <v>39</v>
      </c>
      <c r="Y1051" s="9" t="s">
        <v>40</v>
      </c>
      <c r="Z1051" s="9" t="s">
        <v>41</v>
      </c>
      <c r="AA1051" s="9" t="s">
        <v>42</v>
      </c>
      <c r="AB1051" s="7" t="s">
        <v>42</v>
      </c>
    </row>
    <row r="1052" spans="1:28">
      <c r="A1052" s="8">
        <v>1045</v>
      </c>
      <c r="B1052" s="8" t="s">
        <v>1353</v>
      </c>
      <c r="C1052" s="8" t="s">
        <v>1334</v>
      </c>
      <c r="D1052" s="8" t="s">
        <v>652</v>
      </c>
      <c r="E1052" s="8" t="s">
        <v>33</v>
      </c>
      <c r="F1052" s="6" t="s">
        <v>50</v>
      </c>
      <c r="G1052" s="6" t="s">
        <v>35</v>
      </c>
      <c r="H1052" s="6" t="s">
        <v>36</v>
      </c>
      <c r="I1052" s="8">
        <v>140</v>
      </c>
      <c r="J1052" s="8" t="s">
        <v>223</v>
      </c>
      <c r="K1052" s="8" t="s">
        <v>53</v>
      </c>
      <c r="L1052" s="10">
        <v>3</v>
      </c>
      <c r="M1052" s="13">
        <v>7000.0</v>
      </c>
      <c r="N1052" s="13"/>
      <c r="O1052" s="15">
        <f>IF(M1052&gt;0, N1052/M1052, 0)</f>
        <v>0</v>
      </c>
      <c r="P1052" s="13">
        <f>M1052-N1052</f>
        <v>7000</v>
      </c>
      <c r="Q1052" s="13">
        <f>L1052*M1052</f>
        <v>21000</v>
      </c>
      <c r="R1052" s="13">
        <f>L1052*N1052</f>
        <v>0</v>
      </c>
      <c r="S1052" s="13">
        <f>L1052*P1052</f>
        <v>21000</v>
      </c>
      <c r="T1052" s="13"/>
      <c r="U1052" s="13">
        <f>L1052*T1052</f>
        <v>0</v>
      </c>
      <c r="V1052" s="13">
        <f>S1052-U1052</f>
        <v>21000</v>
      </c>
      <c r="W1052" s="15">
        <f>IF(S1052&gt;0, V1052/S1052, 0)</f>
        <v>1</v>
      </c>
      <c r="X1052" s="6" t="s">
        <v>39</v>
      </c>
      <c r="Y1052" s="8" t="s">
        <v>40</v>
      </c>
      <c r="Z1052" s="8" t="s">
        <v>41</v>
      </c>
      <c r="AA1052" s="8" t="s">
        <v>42</v>
      </c>
      <c r="AB1052" s="6" t="s">
        <v>42</v>
      </c>
    </row>
    <row r="1053" spans="1:28">
      <c r="A1053" s="9">
        <v>1046</v>
      </c>
      <c r="B1053" s="9" t="s">
        <v>1354</v>
      </c>
      <c r="C1053" s="9" t="s">
        <v>1334</v>
      </c>
      <c r="D1053" s="9" t="s">
        <v>652</v>
      </c>
      <c r="E1053" s="9" t="s">
        <v>68</v>
      </c>
      <c r="F1053" s="7" t="s">
        <v>50</v>
      </c>
      <c r="G1053" s="7" t="s">
        <v>56</v>
      </c>
      <c r="H1053" s="7" t="s">
        <v>56</v>
      </c>
      <c r="I1053" s="9">
        <v>134</v>
      </c>
      <c r="J1053" s="9" t="s">
        <v>281</v>
      </c>
      <c r="K1053" s="9" t="s">
        <v>38</v>
      </c>
      <c r="L1053" s="11">
        <v>1</v>
      </c>
      <c r="M1053" s="14">
        <v>8000.0</v>
      </c>
      <c r="N1053" s="14"/>
      <c r="O1053" s="16">
        <f>IF(M1053&gt;0, N1053/M1053, 0)</f>
        <v>0</v>
      </c>
      <c r="P1053" s="14">
        <f>M1053-N1053</f>
        <v>8000</v>
      </c>
      <c r="Q1053" s="14">
        <f>L1053*M1053</f>
        <v>8000</v>
      </c>
      <c r="R1053" s="14">
        <f>L1053*N1053</f>
        <v>0</v>
      </c>
      <c r="S1053" s="14">
        <f>L1053*P1053</f>
        <v>8000</v>
      </c>
      <c r="T1053" s="14"/>
      <c r="U1053" s="14">
        <f>L1053*T1053</f>
        <v>0</v>
      </c>
      <c r="V1053" s="14">
        <f>S1053-U1053</f>
        <v>8000</v>
      </c>
      <c r="W1053" s="16">
        <f>IF(S1053&gt;0, V1053/S1053, 0)</f>
        <v>1</v>
      </c>
      <c r="X1053" s="7" t="s">
        <v>39</v>
      </c>
      <c r="Y1053" s="9" t="s">
        <v>40</v>
      </c>
      <c r="Z1053" s="9" t="s">
        <v>71</v>
      </c>
      <c r="AA1053" s="9" t="s">
        <v>42</v>
      </c>
      <c r="AB1053" s="7" t="s">
        <v>42</v>
      </c>
    </row>
    <row r="1054" spans="1:28">
      <c r="A1054" s="8">
        <v>1047</v>
      </c>
      <c r="B1054" s="8" t="s">
        <v>1355</v>
      </c>
      <c r="C1054" s="8" t="s">
        <v>1334</v>
      </c>
      <c r="D1054" s="8" t="s">
        <v>652</v>
      </c>
      <c r="E1054" s="8" t="s">
        <v>33</v>
      </c>
      <c r="F1054" s="6" t="s">
        <v>50</v>
      </c>
      <c r="G1054" s="6" t="s">
        <v>51</v>
      </c>
      <c r="H1054" s="6" t="s">
        <v>51</v>
      </c>
      <c r="I1054" s="8">
        <v>140</v>
      </c>
      <c r="J1054" s="8" t="s">
        <v>279</v>
      </c>
      <c r="K1054" s="8" t="s">
        <v>53</v>
      </c>
      <c r="L1054" s="10">
        <v>1</v>
      </c>
      <c r="M1054" s="13">
        <v>8000.0</v>
      </c>
      <c r="N1054" s="13"/>
      <c r="O1054" s="15">
        <f>IF(M1054&gt;0, N1054/M1054, 0)</f>
        <v>0</v>
      </c>
      <c r="P1054" s="13">
        <f>M1054-N1054</f>
        <v>8000</v>
      </c>
      <c r="Q1054" s="13">
        <f>L1054*M1054</f>
        <v>8000</v>
      </c>
      <c r="R1054" s="13">
        <f>L1054*N1054</f>
        <v>0</v>
      </c>
      <c r="S1054" s="13">
        <f>L1054*P1054</f>
        <v>8000</v>
      </c>
      <c r="T1054" s="13"/>
      <c r="U1054" s="13">
        <f>L1054*T1054</f>
        <v>0</v>
      </c>
      <c r="V1054" s="13">
        <f>S1054-U1054</f>
        <v>8000</v>
      </c>
      <c r="W1054" s="15">
        <f>IF(S1054&gt;0, V1054/S1054, 0)</f>
        <v>1</v>
      </c>
      <c r="X1054" s="6" t="s">
        <v>39</v>
      </c>
      <c r="Y1054" s="8" t="s">
        <v>40</v>
      </c>
      <c r="Z1054" s="8" t="s">
        <v>41</v>
      </c>
      <c r="AA1054" s="8" t="s">
        <v>42</v>
      </c>
      <c r="AB1054" s="6" t="s">
        <v>42</v>
      </c>
    </row>
    <row r="1055" spans="1:28">
      <c r="A1055" s="9">
        <v>1048</v>
      </c>
      <c r="B1055" s="9" t="s">
        <v>1356</v>
      </c>
      <c r="C1055" s="9" t="s">
        <v>1334</v>
      </c>
      <c r="D1055" s="9" t="s">
        <v>652</v>
      </c>
      <c r="E1055" s="9" t="s">
        <v>33</v>
      </c>
      <c r="F1055" s="7" t="s">
        <v>50</v>
      </c>
      <c r="G1055" s="7" t="s">
        <v>35</v>
      </c>
      <c r="H1055" s="7" t="s">
        <v>36</v>
      </c>
      <c r="I1055" s="9">
        <v>140</v>
      </c>
      <c r="J1055" s="9" t="s">
        <v>223</v>
      </c>
      <c r="K1055" s="9" t="s">
        <v>53</v>
      </c>
      <c r="L1055" s="11">
        <v>2</v>
      </c>
      <c r="M1055" s="14">
        <v>7000.0</v>
      </c>
      <c r="N1055" s="14"/>
      <c r="O1055" s="16">
        <f>IF(M1055&gt;0, N1055/M1055, 0)</f>
        <v>0</v>
      </c>
      <c r="P1055" s="14">
        <f>M1055-N1055</f>
        <v>7000</v>
      </c>
      <c r="Q1055" s="14">
        <f>L1055*M1055</f>
        <v>14000</v>
      </c>
      <c r="R1055" s="14">
        <f>L1055*N1055</f>
        <v>0</v>
      </c>
      <c r="S1055" s="14">
        <f>L1055*P1055</f>
        <v>14000</v>
      </c>
      <c r="T1055" s="14"/>
      <c r="U1055" s="14">
        <f>L1055*T1055</f>
        <v>0</v>
      </c>
      <c r="V1055" s="14">
        <f>S1055-U1055</f>
        <v>14000</v>
      </c>
      <c r="W1055" s="16">
        <f>IF(S1055&gt;0, V1055/S1055, 0)</f>
        <v>1</v>
      </c>
      <c r="X1055" s="7" t="s">
        <v>39</v>
      </c>
      <c r="Y1055" s="9" t="s">
        <v>40</v>
      </c>
      <c r="Z1055" s="9" t="s">
        <v>41</v>
      </c>
      <c r="AA1055" s="9" t="s">
        <v>42</v>
      </c>
      <c r="AB1055" s="7" t="s">
        <v>42</v>
      </c>
    </row>
    <row r="1056" spans="1:28">
      <c r="A1056" s="8">
        <v>1049</v>
      </c>
      <c r="B1056" s="8" t="s">
        <v>1357</v>
      </c>
      <c r="C1056" s="8" t="s">
        <v>1334</v>
      </c>
      <c r="D1056" s="8" t="s">
        <v>652</v>
      </c>
      <c r="E1056" s="8" t="s">
        <v>33</v>
      </c>
      <c r="F1056" s="6" t="s">
        <v>50</v>
      </c>
      <c r="G1056" s="6" t="s">
        <v>35</v>
      </c>
      <c r="H1056" s="6" t="s">
        <v>36</v>
      </c>
      <c r="I1056" s="8">
        <v>134</v>
      </c>
      <c r="J1056" s="8" t="s">
        <v>177</v>
      </c>
      <c r="K1056" s="8" t="s">
        <v>53</v>
      </c>
      <c r="L1056" s="10">
        <v>5</v>
      </c>
      <c r="M1056" s="13">
        <v>7000.0</v>
      </c>
      <c r="N1056" s="13"/>
      <c r="O1056" s="15">
        <f>IF(M1056&gt;0, N1056/M1056, 0)</f>
        <v>0</v>
      </c>
      <c r="P1056" s="13">
        <f>M1056-N1056</f>
        <v>7000</v>
      </c>
      <c r="Q1056" s="13">
        <f>L1056*M1056</f>
        <v>35000</v>
      </c>
      <c r="R1056" s="13">
        <f>L1056*N1056</f>
        <v>0</v>
      </c>
      <c r="S1056" s="13">
        <f>L1056*P1056</f>
        <v>35000</v>
      </c>
      <c r="T1056" s="13"/>
      <c r="U1056" s="13">
        <f>L1056*T1056</f>
        <v>0</v>
      </c>
      <c r="V1056" s="13">
        <f>S1056-U1056</f>
        <v>35000</v>
      </c>
      <c r="W1056" s="15">
        <f>IF(S1056&gt;0, V1056/S1056, 0)</f>
        <v>1</v>
      </c>
      <c r="X1056" s="6" t="s">
        <v>39</v>
      </c>
      <c r="Y1056" s="8" t="s">
        <v>40</v>
      </c>
      <c r="Z1056" s="8" t="s">
        <v>41</v>
      </c>
      <c r="AA1056" s="8" t="s">
        <v>42</v>
      </c>
      <c r="AB1056" s="6" t="s">
        <v>42</v>
      </c>
    </row>
    <row r="1057" spans="1:28">
      <c r="A1057" s="9">
        <v>1050</v>
      </c>
      <c r="B1057" s="9" t="s">
        <v>1358</v>
      </c>
      <c r="C1057" s="9" t="s">
        <v>1334</v>
      </c>
      <c r="D1057" s="9" t="s">
        <v>652</v>
      </c>
      <c r="E1057" s="9" t="s">
        <v>33</v>
      </c>
      <c r="F1057" s="7" t="s">
        <v>50</v>
      </c>
      <c r="G1057" s="7" t="s">
        <v>35</v>
      </c>
      <c r="H1057" s="7" t="s">
        <v>36</v>
      </c>
      <c r="I1057" s="9">
        <v>140</v>
      </c>
      <c r="J1057" s="9" t="s">
        <v>223</v>
      </c>
      <c r="K1057" s="9" t="s">
        <v>53</v>
      </c>
      <c r="L1057" s="11">
        <v>2</v>
      </c>
      <c r="M1057" s="14">
        <v>7000.0</v>
      </c>
      <c r="N1057" s="14"/>
      <c r="O1057" s="16">
        <f>IF(M1057&gt;0, N1057/M1057, 0)</f>
        <v>0</v>
      </c>
      <c r="P1057" s="14">
        <f>M1057-N1057</f>
        <v>7000</v>
      </c>
      <c r="Q1057" s="14">
        <f>L1057*M1057</f>
        <v>14000</v>
      </c>
      <c r="R1057" s="14">
        <f>L1057*N1057</f>
        <v>0</v>
      </c>
      <c r="S1057" s="14">
        <f>L1057*P1057</f>
        <v>14000</v>
      </c>
      <c r="T1057" s="14"/>
      <c r="U1057" s="14">
        <f>L1057*T1057</f>
        <v>0</v>
      </c>
      <c r="V1057" s="14">
        <f>S1057-U1057</f>
        <v>14000</v>
      </c>
      <c r="W1057" s="16">
        <f>IF(S1057&gt;0, V1057/S1057, 0)</f>
        <v>1</v>
      </c>
      <c r="X1057" s="7" t="s">
        <v>39</v>
      </c>
      <c r="Y1057" s="9" t="s">
        <v>40</v>
      </c>
      <c r="Z1057" s="9" t="s">
        <v>41</v>
      </c>
      <c r="AA1057" s="9" t="s">
        <v>42</v>
      </c>
      <c r="AB1057" s="7" t="s">
        <v>42</v>
      </c>
    </row>
    <row r="1058" spans="1:28">
      <c r="A1058" s="8">
        <v>1051</v>
      </c>
      <c r="B1058" s="8" t="s">
        <v>1359</v>
      </c>
      <c r="C1058" s="8" t="s">
        <v>1334</v>
      </c>
      <c r="D1058" s="8" t="s">
        <v>652</v>
      </c>
      <c r="E1058" s="8" t="s">
        <v>68</v>
      </c>
      <c r="F1058" s="6" t="s">
        <v>50</v>
      </c>
      <c r="G1058" s="6" t="s">
        <v>69</v>
      </c>
      <c r="H1058" s="6" t="s">
        <v>69</v>
      </c>
      <c r="I1058" s="8">
        <v>158</v>
      </c>
      <c r="J1058" s="8" t="s">
        <v>108</v>
      </c>
      <c r="K1058" s="8" t="s">
        <v>38</v>
      </c>
      <c r="L1058" s="10">
        <v>1</v>
      </c>
      <c r="M1058" s="13">
        <v>17000.0</v>
      </c>
      <c r="N1058" s="13"/>
      <c r="O1058" s="15">
        <f>IF(M1058&gt;0, N1058/M1058, 0)</f>
        <v>0</v>
      </c>
      <c r="P1058" s="13">
        <f>M1058-N1058</f>
        <v>17000</v>
      </c>
      <c r="Q1058" s="13">
        <f>L1058*M1058</f>
        <v>17000</v>
      </c>
      <c r="R1058" s="13">
        <f>L1058*N1058</f>
        <v>0</v>
      </c>
      <c r="S1058" s="13">
        <f>L1058*P1058</f>
        <v>17000</v>
      </c>
      <c r="T1058" s="13"/>
      <c r="U1058" s="13">
        <f>L1058*T1058</f>
        <v>0</v>
      </c>
      <c r="V1058" s="13">
        <f>S1058-U1058</f>
        <v>17000</v>
      </c>
      <c r="W1058" s="15">
        <f>IF(S1058&gt;0, V1058/S1058, 0)</f>
        <v>1</v>
      </c>
      <c r="X1058" s="6" t="s">
        <v>39</v>
      </c>
      <c r="Y1058" s="8" t="s">
        <v>40</v>
      </c>
      <c r="Z1058" s="8" t="s">
        <v>71</v>
      </c>
      <c r="AA1058" s="8" t="s">
        <v>42</v>
      </c>
      <c r="AB1058" s="6" t="s">
        <v>42</v>
      </c>
    </row>
    <row r="1059" spans="1:28">
      <c r="A1059" s="9">
        <v>1052</v>
      </c>
      <c r="B1059" s="9" t="s">
        <v>1360</v>
      </c>
      <c r="C1059" s="9" t="s">
        <v>1334</v>
      </c>
      <c r="D1059" s="9" t="s">
        <v>652</v>
      </c>
      <c r="E1059" s="9" t="s">
        <v>33</v>
      </c>
      <c r="F1059" s="7" t="s">
        <v>50</v>
      </c>
      <c r="G1059" s="7" t="s">
        <v>56</v>
      </c>
      <c r="H1059" s="7" t="s">
        <v>56</v>
      </c>
      <c r="I1059" s="9">
        <v>152</v>
      </c>
      <c r="J1059" s="9" t="s">
        <v>311</v>
      </c>
      <c r="K1059" s="9" t="s">
        <v>38</v>
      </c>
      <c r="L1059" s="11">
        <v>1</v>
      </c>
      <c r="M1059" s="14">
        <v>7000.0</v>
      </c>
      <c r="N1059" s="14"/>
      <c r="O1059" s="16">
        <f>IF(M1059&gt;0, N1059/M1059, 0)</f>
        <v>0</v>
      </c>
      <c r="P1059" s="14">
        <f>M1059-N1059</f>
        <v>7000</v>
      </c>
      <c r="Q1059" s="14">
        <f>L1059*M1059</f>
        <v>7000</v>
      </c>
      <c r="R1059" s="14">
        <f>L1059*N1059</f>
        <v>0</v>
      </c>
      <c r="S1059" s="14">
        <f>L1059*P1059</f>
        <v>7000</v>
      </c>
      <c r="T1059" s="14"/>
      <c r="U1059" s="14">
        <f>L1059*T1059</f>
        <v>0</v>
      </c>
      <c r="V1059" s="14">
        <f>S1059-U1059</f>
        <v>7000</v>
      </c>
      <c r="W1059" s="16">
        <f>IF(S1059&gt;0, V1059/S1059, 0)</f>
        <v>1</v>
      </c>
      <c r="X1059" s="7" t="s">
        <v>39</v>
      </c>
      <c r="Y1059" s="9" t="s">
        <v>40</v>
      </c>
      <c r="Z1059" s="9" t="s">
        <v>41</v>
      </c>
      <c r="AA1059" s="9" t="s">
        <v>42</v>
      </c>
      <c r="AB1059" s="7" t="s">
        <v>42</v>
      </c>
    </row>
    <row r="1060" spans="1:28">
      <c r="A1060" s="8">
        <v>1053</v>
      </c>
      <c r="B1060" s="8" t="s">
        <v>1361</v>
      </c>
      <c r="C1060" s="8" t="s">
        <v>1334</v>
      </c>
      <c r="D1060" s="8" t="s">
        <v>652</v>
      </c>
      <c r="E1060" s="8" t="s">
        <v>33</v>
      </c>
      <c r="F1060" s="6" t="s">
        <v>50</v>
      </c>
      <c r="G1060" s="6" t="s">
        <v>51</v>
      </c>
      <c r="H1060" s="6" t="s">
        <v>51</v>
      </c>
      <c r="I1060" s="8">
        <v>152</v>
      </c>
      <c r="J1060" s="8" t="s">
        <v>402</v>
      </c>
      <c r="K1060" s="8" t="s">
        <v>53</v>
      </c>
      <c r="L1060" s="10">
        <v>1</v>
      </c>
      <c r="M1060" s="13">
        <v>8000.0</v>
      </c>
      <c r="N1060" s="13"/>
      <c r="O1060" s="15">
        <f>IF(M1060&gt;0, N1060/M1060, 0)</f>
        <v>0</v>
      </c>
      <c r="P1060" s="13">
        <f>M1060-N1060</f>
        <v>8000</v>
      </c>
      <c r="Q1060" s="13">
        <f>L1060*M1060</f>
        <v>8000</v>
      </c>
      <c r="R1060" s="13">
        <f>L1060*N1060</f>
        <v>0</v>
      </c>
      <c r="S1060" s="13">
        <f>L1060*P1060</f>
        <v>8000</v>
      </c>
      <c r="T1060" s="13"/>
      <c r="U1060" s="13">
        <f>L1060*T1060</f>
        <v>0</v>
      </c>
      <c r="V1060" s="13">
        <f>S1060-U1060</f>
        <v>8000</v>
      </c>
      <c r="W1060" s="15">
        <f>IF(S1060&gt;0, V1060/S1060, 0)</f>
        <v>1</v>
      </c>
      <c r="X1060" s="6" t="s">
        <v>39</v>
      </c>
      <c r="Y1060" s="8" t="s">
        <v>40</v>
      </c>
      <c r="Z1060" s="8" t="s">
        <v>41</v>
      </c>
      <c r="AA1060" s="8" t="s">
        <v>42</v>
      </c>
      <c r="AB1060" s="6" t="s">
        <v>42</v>
      </c>
    </row>
    <row r="1061" spans="1:28">
      <c r="A1061" s="9">
        <v>1054</v>
      </c>
      <c r="B1061" s="9" t="s">
        <v>1362</v>
      </c>
      <c r="C1061" s="9" t="s">
        <v>1334</v>
      </c>
      <c r="D1061" s="9" t="s">
        <v>652</v>
      </c>
      <c r="E1061" s="9" t="s">
        <v>33</v>
      </c>
      <c r="F1061" s="7" t="s">
        <v>50</v>
      </c>
      <c r="G1061" s="7" t="s">
        <v>63</v>
      </c>
      <c r="H1061" s="7" t="s">
        <v>148</v>
      </c>
      <c r="I1061" s="9">
        <v>152</v>
      </c>
      <c r="J1061" s="9" t="s">
        <v>251</v>
      </c>
      <c r="K1061" s="9" t="s">
        <v>38</v>
      </c>
      <c r="L1061" s="11">
        <v>1</v>
      </c>
      <c r="M1061" s="14">
        <v>9000.0</v>
      </c>
      <c r="N1061" s="14"/>
      <c r="O1061" s="16">
        <f>IF(M1061&gt;0, N1061/M1061, 0)</f>
        <v>0</v>
      </c>
      <c r="P1061" s="14">
        <f>M1061-N1061</f>
        <v>9000</v>
      </c>
      <c r="Q1061" s="14">
        <f>L1061*M1061</f>
        <v>9000</v>
      </c>
      <c r="R1061" s="14">
        <f>L1061*N1061</f>
        <v>0</v>
      </c>
      <c r="S1061" s="14">
        <f>L1061*P1061</f>
        <v>9000</v>
      </c>
      <c r="T1061" s="14"/>
      <c r="U1061" s="14">
        <f>L1061*T1061</f>
        <v>0</v>
      </c>
      <c r="V1061" s="14">
        <f>S1061-U1061</f>
        <v>9000</v>
      </c>
      <c r="W1061" s="16">
        <f>IF(S1061&gt;0, V1061/S1061, 0)</f>
        <v>1</v>
      </c>
      <c r="X1061" s="7" t="s">
        <v>39</v>
      </c>
      <c r="Y1061" s="9" t="s">
        <v>40</v>
      </c>
      <c r="Z1061" s="9" t="s">
        <v>41</v>
      </c>
      <c r="AA1061" s="9" t="s">
        <v>42</v>
      </c>
      <c r="AB1061" s="7" t="s">
        <v>42</v>
      </c>
    </row>
    <row r="1062" spans="1:28">
      <c r="A1062" s="8">
        <v>1055</v>
      </c>
      <c r="B1062" s="8" t="s">
        <v>1363</v>
      </c>
      <c r="C1062" s="8" t="s">
        <v>1334</v>
      </c>
      <c r="D1062" s="8" t="s">
        <v>652</v>
      </c>
      <c r="E1062" s="8" t="s">
        <v>33</v>
      </c>
      <c r="F1062" s="6" t="s">
        <v>50</v>
      </c>
      <c r="G1062" s="6" t="s">
        <v>35</v>
      </c>
      <c r="H1062" s="6" t="s">
        <v>36</v>
      </c>
      <c r="I1062" s="8">
        <v>158</v>
      </c>
      <c r="J1062" s="8" t="s">
        <v>130</v>
      </c>
      <c r="K1062" s="8" t="s">
        <v>53</v>
      </c>
      <c r="L1062" s="10">
        <v>1</v>
      </c>
      <c r="M1062" s="13">
        <v>7000.0</v>
      </c>
      <c r="N1062" s="13"/>
      <c r="O1062" s="15">
        <f>IF(M1062&gt;0, N1062/M1062, 0)</f>
        <v>0</v>
      </c>
      <c r="P1062" s="13">
        <f>M1062-N1062</f>
        <v>7000</v>
      </c>
      <c r="Q1062" s="13">
        <f>L1062*M1062</f>
        <v>7000</v>
      </c>
      <c r="R1062" s="13">
        <f>L1062*N1062</f>
        <v>0</v>
      </c>
      <c r="S1062" s="13">
        <f>L1062*P1062</f>
        <v>7000</v>
      </c>
      <c r="T1062" s="13"/>
      <c r="U1062" s="13">
        <f>L1062*T1062</f>
        <v>0</v>
      </c>
      <c r="V1062" s="13">
        <f>S1062-U1062</f>
        <v>7000</v>
      </c>
      <c r="W1062" s="15">
        <f>IF(S1062&gt;0, V1062/S1062, 0)</f>
        <v>1</v>
      </c>
      <c r="X1062" s="6" t="s">
        <v>39</v>
      </c>
      <c r="Y1062" s="8" t="s">
        <v>40</v>
      </c>
      <c r="Z1062" s="8" t="s">
        <v>41</v>
      </c>
      <c r="AA1062" s="8" t="s">
        <v>42</v>
      </c>
      <c r="AB1062" s="6" t="s">
        <v>42</v>
      </c>
    </row>
    <row r="1063" spans="1:28">
      <c r="A1063" s="9">
        <v>1056</v>
      </c>
      <c r="B1063" s="9" t="s">
        <v>1364</v>
      </c>
      <c r="C1063" s="9" t="s">
        <v>1334</v>
      </c>
      <c r="D1063" s="9" t="s">
        <v>652</v>
      </c>
      <c r="E1063" s="9" t="s">
        <v>33</v>
      </c>
      <c r="F1063" s="7" t="s">
        <v>50</v>
      </c>
      <c r="G1063" s="7" t="s">
        <v>51</v>
      </c>
      <c r="H1063" s="7" t="s">
        <v>51</v>
      </c>
      <c r="I1063" s="9">
        <v>152</v>
      </c>
      <c r="J1063" s="9" t="s">
        <v>402</v>
      </c>
      <c r="K1063" s="9" t="s">
        <v>53</v>
      </c>
      <c r="L1063" s="11">
        <v>1</v>
      </c>
      <c r="M1063" s="14">
        <v>8000.0</v>
      </c>
      <c r="N1063" s="14"/>
      <c r="O1063" s="16">
        <f>IF(M1063&gt;0, N1063/M1063, 0)</f>
        <v>0</v>
      </c>
      <c r="P1063" s="14">
        <f>M1063-N1063</f>
        <v>8000</v>
      </c>
      <c r="Q1063" s="14">
        <f>L1063*M1063</f>
        <v>8000</v>
      </c>
      <c r="R1063" s="14">
        <f>L1063*N1063</f>
        <v>0</v>
      </c>
      <c r="S1063" s="14">
        <f>L1063*P1063</f>
        <v>8000</v>
      </c>
      <c r="T1063" s="14"/>
      <c r="U1063" s="14">
        <f>L1063*T1063</f>
        <v>0</v>
      </c>
      <c r="V1063" s="14">
        <f>S1063-U1063</f>
        <v>8000</v>
      </c>
      <c r="W1063" s="16">
        <f>IF(S1063&gt;0, V1063/S1063, 0)</f>
        <v>1</v>
      </c>
      <c r="X1063" s="7" t="s">
        <v>39</v>
      </c>
      <c r="Y1063" s="9" t="s">
        <v>40</v>
      </c>
      <c r="Z1063" s="9" t="s">
        <v>41</v>
      </c>
      <c r="AA1063" s="9" t="s">
        <v>42</v>
      </c>
      <c r="AB1063" s="7" t="s">
        <v>42</v>
      </c>
    </row>
    <row r="1064" spans="1:28">
      <c r="A1064" s="8">
        <v>1057</v>
      </c>
      <c r="B1064" s="8" t="s">
        <v>1365</v>
      </c>
      <c r="C1064" s="8" t="s">
        <v>1366</v>
      </c>
      <c r="D1064" s="8" t="s">
        <v>652</v>
      </c>
      <c r="E1064" s="8" t="s">
        <v>33</v>
      </c>
      <c r="F1064" s="6" t="s">
        <v>50</v>
      </c>
      <c r="G1064" s="6" t="s">
        <v>69</v>
      </c>
      <c r="H1064" s="6" t="s">
        <v>69</v>
      </c>
      <c r="I1064" s="8">
        <v>152</v>
      </c>
      <c r="J1064" s="8" t="s">
        <v>350</v>
      </c>
      <c r="K1064" s="8" t="s">
        <v>38</v>
      </c>
      <c r="L1064" s="10">
        <v>1</v>
      </c>
      <c r="M1064" s="13">
        <v>16000.0</v>
      </c>
      <c r="N1064" s="13"/>
      <c r="O1064" s="15">
        <f>IF(M1064&gt;0, N1064/M1064, 0)</f>
        <v>0</v>
      </c>
      <c r="P1064" s="13">
        <f>M1064-N1064</f>
        <v>16000</v>
      </c>
      <c r="Q1064" s="13">
        <f>L1064*M1064</f>
        <v>16000</v>
      </c>
      <c r="R1064" s="13">
        <f>L1064*N1064</f>
        <v>0</v>
      </c>
      <c r="S1064" s="13">
        <f>L1064*P1064</f>
        <v>16000</v>
      </c>
      <c r="T1064" s="13"/>
      <c r="U1064" s="13">
        <f>L1064*T1064</f>
        <v>0</v>
      </c>
      <c r="V1064" s="13">
        <f>S1064-U1064</f>
        <v>16000</v>
      </c>
      <c r="W1064" s="15">
        <f>IF(S1064&gt;0, V1064/S1064, 0)</f>
        <v>1</v>
      </c>
      <c r="X1064" s="6" t="s">
        <v>39</v>
      </c>
      <c r="Y1064" s="8" t="s">
        <v>40</v>
      </c>
      <c r="Z1064" s="8" t="s">
        <v>41</v>
      </c>
      <c r="AA1064" s="8" t="s">
        <v>42</v>
      </c>
      <c r="AB1064" s="6" t="s">
        <v>42</v>
      </c>
    </row>
    <row r="1065" spans="1:28">
      <c r="A1065" s="9">
        <v>1058</v>
      </c>
      <c r="B1065" s="9" t="s">
        <v>1367</v>
      </c>
      <c r="C1065" s="9" t="s">
        <v>1366</v>
      </c>
      <c r="D1065" s="9" t="s">
        <v>652</v>
      </c>
      <c r="E1065" s="9" t="s">
        <v>33</v>
      </c>
      <c r="F1065" s="7" t="s">
        <v>34</v>
      </c>
      <c r="G1065" s="7" t="s">
        <v>63</v>
      </c>
      <c r="H1065" s="7" t="s">
        <v>148</v>
      </c>
      <c r="I1065" s="9">
        <v>182</v>
      </c>
      <c r="J1065" s="9" t="s">
        <v>739</v>
      </c>
      <c r="K1065" s="9" t="s">
        <v>38</v>
      </c>
      <c r="L1065" s="11">
        <v>1</v>
      </c>
      <c r="M1065" s="14">
        <v>9500.0</v>
      </c>
      <c r="N1065" s="14"/>
      <c r="O1065" s="16">
        <f>IF(M1065&gt;0, N1065/M1065, 0)</f>
        <v>0</v>
      </c>
      <c r="P1065" s="14">
        <f>M1065-N1065</f>
        <v>9500</v>
      </c>
      <c r="Q1065" s="14">
        <f>L1065*M1065</f>
        <v>9500</v>
      </c>
      <c r="R1065" s="14">
        <f>L1065*N1065</f>
        <v>0</v>
      </c>
      <c r="S1065" s="14">
        <f>L1065*P1065</f>
        <v>9500</v>
      </c>
      <c r="T1065" s="14"/>
      <c r="U1065" s="14">
        <f>L1065*T1065</f>
        <v>0</v>
      </c>
      <c r="V1065" s="14">
        <f>S1065-U1065</f>
        <v>9500</v>
      </c>
      <c r="W1065" s="16">
        <f>IF(S1065&gt;0, V1065/S1065, 0)</f>
        <v>1</v>
      </c>
      <c r="X1065" s="7" t="s">
        <v>39</v>
      </c>
      <c r="Y1065" s="9" t="s">
        <v>40</v>
      </c>
      <c r="Z1065" s="9" t="s">
        <v>41</v>
      </c>
      <c r="AA1065" s="9" t="s">
        <v>42</v>
      </c>
      <c r="AB1065" s="7" t="s">
        <v>42</v>
      </c>
    </row>
    <row r="1066" spans="1:28">
      <c r="A1066" s="8">
        <v>1059</v>
      </c>
      <c r="B1066" s="8" t="s">
        <v>1368</v>
      </c>
      <c r="C1066" s="8" t="s">
        <v>1366</v>
      </c>
      <c r="D1066" s="8" t="s">
        <v>652</v>
      </c>
      <c r="E1066" s="8" t="s">
        <v>33</v>
      </c>
      <c r="F1066" s="6" t="s">
        <v>34</v>
      </c>
      <c r="G1066" s="6" t="s">
        <v>45</v>
      </c>
      <c r="H1066" s="6" t="s">
        <v>46</v>
      </c>
      <c r="I1066" s="8">
        <v>182</v>
      </c>
      <c r="J1066" s="8" t="s">
        <v>807</v>
      </c>
      <c r="K1066" s="8" t="s">
        <v>38</v>
      </c>
      <c r="L1066" s="10">
        <v>1</v>
      </c>
      <c r="M1066" s="13">
        <v>18000.0</v>
      </c>
      <c r="N1066" s="13"/>
      <c r="O1066" s="15">
        <f>IF(M1066&gt;0, N1066/M1066, 0)</f>
        <v>0</v>
      </c>
      <c r="P1066" s="13">
        <f>M1066-N1066</f>
        <v>18000</v>
      </c>
      <c r="Q1066" s="13">
        <f>L1066*M1066</f>
        <v>18000</v>
      </c>
      <c r="R1066" s="13">
        <f>L1066*N1066</f>
        <v>0</v>
      </c>
      <c r="S1066" s="13">
        <f>L1066*P1066</f>
        <v>18000</v>
      </c>
      <c r="T1066" s="13"/>
      <c r="U1066" s="13">
        <f>L1066*T1066</f>
        <v>0</v>
      </c>
      <c r="V1066" s="13">
        <f>S1066-U1066</f>
        <v>18000</v>
      </c>
      <c r="W1066" s="15">
        <f>IF(S1066&gt;0, V1066/S1066, 0)</f>
        <v>1</v>
      </c>
      <c r="X1066" s="6" t="s">
        <v>39</v>
      </c>
      <c r="Y1066" s="8" t="s">
        <v>40</v>
      </c>
      <c r="Z1066" s="8" t="s">
        <v>41</v>
      </c>
      <c r="AA1066" s="8" t="s">
        <v>42</v>
      </c>
      <c r="AB1066" s="6" t="s">
        <v>42</v>
      </c>
    </row>
    <row r="1067" spans="1:28">
      <c r="A1067" s="9">
        <v>1060</v>
      </c>
      <c r="B1067" s="9" t="s">
        <v>1369</v>
      </c>
      <c r="C1067" s="9" t="s">
        <v>1366</v>
      </c>
      <c r="D1067" s="9" t="s">
        <v>652</v>
      </c>
      <c r="E1067" s="9" t="s">
        <v>33</v>
      </c>
      <c r="F1067" s="7" t="s">
        <v>34</v>
      </c>
      <c r="G1067" s="7" t="s">
        <v>35</v>
      </c>
      <c r="H1067" s="7" t="s">
        <v>73</v>
      </c>
      <c r="I1067" s="9">
        <v>188</v>
      </c>
      <c r="J1067" s="9" t="s">
        <v>902</v>
      </c>
      <c r="K1067" s="9" t="s">
        <v>38</v>
      </c>
      <c r="L1067" s="11">
        <v>1</v>
      </c>
      <c r="M1067" s="14">
        <v>9000.0</v>
      </c>
      <c r="N1067" s="14"/>
      <c r="O1067" s="16">
        <f>IF(M1067&gt;0, N1067/M1067, 0)</f>
        <v>0</v>
      </c>
      <c r="P1067" s="14">
        <f>M1067-N1067</f>
        <v>9000</v>
      </c>
      <c r="Q1067" s="14">
        <f>L1067*M1067</f>
        <v>9000</v>
      </c>
      <c r="R1067" s="14">
        <f>L1067*N1067</f>
        <v>0</v>
      </c>
      <c r="S1067" s="14">
        <f>L1067*P1067</f>
        <v>9000</v>
      </c>
      <c r="T1067" s="14"/>
      <c r="U1067" s="14">
        <f>L1067*T1067</f>
        <v>0</v>
      </c>
      <c r="V1067" s="14">
        <f>S1067-U1067</f>
        <v>9000</v>
      </c>
      <c r="W1067" s="16">
        <f>IF(S1067&gt;0, V1067/S1067, 0)</f>
        <v>1</v>
      </c>
      <c r="X1067" s="7" t="s">
        <v>39</v>
      </c>
      <c r="Y1067" s="9" t="s">
        <v>40</v>
      </c>
      <c r="Z1067" s="9" t="s">
        <v>41</v>
      </c>
      <c r="AA1067" s="9" t="s">
        <v>42</v>
      </c>
      <c r="AB1067" s="7" t="s">
        <v>42</v>
      </c>
    </row>
    <row r="1068" spans="1:28">
      <c r="A1068" s="8">
        <v>1061</v>
      </c>
      <c r="B1068" s="8" t="s">
        <v>1370</v>
      </c>
      <c r="C1068" s="8" t="s">
        <v>1366</v>
      </c>
      <c r="D1068" s="8" t="s">
        <v>652</v>
      </c>
      <c r="E1068" s="8" t="s">
        <v>33</v>
      </c>
      <c r="F1068" s="6" t="s">
        <v>34</v>
      </c>
      <c r="G1068" s="6" t="s">
        <v>35</v>
      </c>
      <c r="H1068" s="6" t="s">
        <v>73</v>
      </c>
      <c r="I1068" s="8">
        <v>182</v>
      </c>
      <c r="J1068" s="8" t="s">
        <v>354</v>
      </c>
      <c r="K1068" s="8" t="s">
        <v>38</v>
      </c>
      <c r="L1068" s="10">
        <v>1</v>
      </c>
      <c r="M1068" s="13">
        <v>9000.0</v>
      </c>
      <c r="N1068" s="13"/>
      <c r="O1068" s="15">
        <f>IF(M1068&gt;0, N1068/M1068, 0)</f>
        <v>0</v>
      </c>
      <c r="P1068" s="13">
        <f>M1068-N1068</f>
        <v>9000</v>
      </c>
      <c r="Q1068" s="13">
        <f>L1068*M1068</f>
        <v>9000</v>
      </c>
      <c r="R1068" s="13">
        <f>L1068*N1068</f>
        <v>0</v>
      </c>
      <c r="S1068" s="13">
        <f>L1068*P1068</f>
        <v>9000</v>
      </c>
      <c r="T1068" s="13"/>
      <c r="U1068" s="13">
        <f>L1068*T1068</f>
        <v>0</v>
      </c>
      <c r="V1068" s="13">
        <f>S1068-U1068</f>
        <v>9000</v>
      </c>
      <c r="W1068" s="15">
        <f>IF(S1068&gt;0, V1068/S1068, 0)</f>
        <v>1</v>
      </c>
      <c r="X1068" s="6" t="s">
        <v>39</v>
      </c>
      <c r="Y1068" s="8" t="s">
        <v>40</v>
      </c>
      <c r="Z1068" s="8" t="s">
        <v>41</v>
      </c>
      <c r="AA1068" s="8" t="s">
        <v>42</v>
      </c>
      <c r="AB1068" s="6" t="s">
        <v>42</v>
      </c>
    </row>
    <row r="1069" spans="1:28">
      <c r="A1069" s="9">
        <v>1062</v>
      </c>
      <c r="B1069" s="9" t="s">
        <v>1371</v>
      </c>
      <c r="C1069" s="9" t="s">
        <v>1366</v>
      </c>
      <c r="D1069" s="9" t="s">
        <v>652</v>
      </c>
      <c r="E1069" s="9" t="s">
        <v>68</v>
      </c>
      <c r="F1069" s="7" t="s">
        <v>50</v>
      </c>
      <c r="G1069" s="7" t="s">
        <v>56</v>
      </c>
      <c r="H1069" s="7" t="s">
        <v>56</v>
      </c>
      <c r="I1069" s="9">
        <v>134</v>
      </c>
      <c r="J1069" s="9" t="s">
        <v>281</v>
      </c>
      <c r="K1069" s="9" t="s">
        <v>38</v>
      </c>
      <c r="L1069" s="11">
        <v>1</v>
      </c>
      <c r="M1069" s="14">
        <v>8000.0</v>
      </c>
      <c r="N1069" s="14"/>
      <c r="O1069" s="16">
        <f>IF(M1069&gt;0, N1069/M1069, 0)</f>
        <v>0</v>
      </c>
      <c r="P1069" s="14">
        <f>M1069-N1069</f>
        <v>8000</v>
      </c>
      <c r="Q1069" s="14">
        <f>L1069*M1069</f>
        <v>8000</v>
      </c>
      <c r="R1069" s="14">
        <f>L1069*N1069</f>
        <v>0</v>
      </c>
      <c r="S1069" s="14">
        <f>L1069*P1069</f>
        <v>8000</v>
      </c>
      <c r="T1069" s="14"/>
      <c r="U1069" s="14">
        <f>L1069*T1069</f>
        <v>0</v>
      </c>
      <c r="V1069" s="14">
        <f>S1069-U1069</f>
        <v>8000</v>
      </c>
      <c r="W1069" s="16">
        <f>IF(S1069&gt;0, V1069/S1069, 0)</f>
        <v>1</v>
      </c>
      <c r="X1069" s="7" t="s">
        <v>39</v>
      </c>
      <c r="Y1069" s="9" t="s">
        <v>40</v>
      </c>
      <c r="Z1069" s="9" t="s">
        <v>71</v>
      </c>
      <c r="AA1069" s="9" t="s">
        <v>42</v>
      </c>
      <c r="AB1069" s="7" t="s">
        <v>42</v>
      </c>
    </row>
    <row r="1070" spans="1:28">
      <c r="A1070" s="8">
        <v>1063</v>
      </c>
      <c r="B1070" s="8" t="s">
        <v>1372</v>
      </c>
      <c r="C1070" s="8" t="s">
        <v>1366</v>
      </c>
      <c r="D1070" s="8" t="s">
        <v>652</v>
      </c>
      <c r="E1070" s="8" t="s">
        <v>33</v>
      </c>
      <c r="F1070" s="6" t="s">
        <v>50</v>
      </c>
      <c r="G1070" s="6" t="s">
        <v>35</v>
      </c>
      <c r="H1070" s="6" t="s">
        <v>73</v>
      </c>
      <c r="I1070" s="8">
        <v>134</v>
      </c>
      <c r="J1070" s="8" t="s">
        <v>146</v>
      </c>
      <c r="K1070" s="8" t="s">
        <v>53</v>
      </c>
      <c r="L1070" s="10">
        <v>2</v>
      </c>
      <c r="M1070" s="13">
        <v>8000.0</v>
      </c>
      <c r="N1070" s="13"/>
      <c r="O1070" s="15">
        <f>IF(M1070&gt;0, N1070/M1070, 0)</f>
        <v>0</v>
      </c>
      <c r="P1070" s="13">
        <f>M1070-N1070</f>
        <v>8000</v>
      </c>
      <c r="Q1070" s="13">
        <f>L1070*M1070</f>
        <v>16000</v>
      </c>
      <c r="R1070" s="13">
        <f>L1070*N1070</f>
        <v>0</v>
      </c>
      <c r="S1070" s="13">
        <f>L1070*P1070</f>
        <v>16000</v>
      </c>
      <c r="T1070" s="13"/>
      <c r="U1070" s="13">
        <f>L1070*T1070</f>
        <v>0</v>
      </c>
      <c r="V1070" s="13">
        <f>S1070-U1070</f>
        <v>16000</v>
      </c>
      <c r="W1070" s="15">
        <f>IF(S1070&gt;0, V1070/S1070, 0)</f>
        <v>1</v>
      </c>
      <c r="X1070" s="6" t="s">
        <v>39</v>
      </c>
      <c r="Y1070" s="8" t="s">
        <v>40</v>
      </c>
      <c r="Z1070" s="8" t="s">
        <v>41</v>
      </c>
      <c r="AA1070" s="8" t="s">
        <v>42</v>
      </c>
      <c r="AB1070" s="6" t="s">
        <v>42</v>
      </c>
    </row>
    <row r="1071" spans="1:28">
      <c r="A1071" s="9">
        <v>1064</v>
      </c>
      <c r="B1071" s="9" t="s">
        <v>1373</v>
      </c>
      <c r="C1071" s="9" t="s">
        <v>1366</v>
      </c>
      <c r="D1071" s="9" t="s">
        <v>652</v>
      </c>
      <c r="E1071" s="9" t="s">
        <v>33</v>
      </c>
      <c r="F1071" s="7" t="s">
        <v>50</v>
      </c>
      <c r="G1071" s="7" t="s">
        <v>51</v>
      </c>
      <c r="H1071" s="7" t="s">
        <v>51</v>
      </c>
      <c r="I1071" s="9">
        <v>134</v>
      </c>
      <c r="J1071" s="9" t="s">
        <v>175</v>
      </c>
      <c r="K1071" s="9" t="s">
        <v>53</v>
      </c>
      <c r="L1071" s="11">
        <v>1</v>
      </c>
      <c r="M1071" s="14">
        <v>8000.0</v>
      </c>
      <c r="N1071" s="14"/>
      <c r="O1071" s="16">
        <f>IF(M1071&gt;0, N1071/M1071, 0)</f>
        <v>0</v>
      </c>
      <c r="P1071" s="14">
        <f>M1071-N1071</f>
        <v>8000</v>
      </c>
      <c r="Q1071" s="14">
        <f>L1071*M1071</f>
        <v>8000</v>
      </c>
      <c r="R1071" s="14">
        <f>L1071*N1071</f>
        <v>0</v>
      </c>
      <c r="S1071" s="14">
        <f>L1071*P1071</f>
        <v>8000</v>
      </c>
      <c r="T1071" s="14"/>
      <c r="U1071" s="14">
        <f>L1071*T1071</f>
        <v>0</v>
      </c>
      <c r="V1071" s="14">
        <f>S1071-U1071</f>
        <v>8000</v>
      </c>
      <c r="W1071" s="16">
        <f>IF(S1071&gt;0, V1071/S1071, 0)</f>
        <v>1</v>
      </c>
      <c r="X1071" s="7" t="s">
        <v>39</v>
      </c>
      <c r="Y1071" s="9" t="s">
        <v>40</v>
      </c>
      <c r="Z1071" s="9" t="s">
        <v>41</v>
      </c>
      <c r="AA1071" s="9" t="s">
        <v>42</v>
      </c>
      <c r="AB1071" s="7" t="s">
        <v>42</v>
      </c>
    </row>
    <row r="1072" spans="1:28">
      <c r="A1072" s="8">
        <v>1065</v>
      </c>
      <c r="B1072" s="8" t="s">
        <v>1374</v>
      </c>
      <c r="C1072" s="8" t="s">
        <v>1366</v>
      </c>
      <c r="D1072" s="8" t="s">
        <v>652</v>
      </c>
      <c r="E1072" s="8" t="s">
        <v>33</v>
      </c>
      <c r="F1072" s="6" t="s">
        <v>50</v>
      </c>
      <c r="G1072" s="6" t="s">
        <v>35</v>
      </c>
      <c r="H1072" s="6" t="s">
        <v>36</v>
      </c>
      <c r="I1072" s="8">
        <v>134</v>
      </c>
      <c r="J1072" s="8" t="s">
        <v>177</v>
      </c>
      <c r="K1072" s="8" t="s">
        <v>53</v>
      </c>
      <c r="L1072" s="10">
        <v>5</v>
      </c>
      <c r="M1072" s="13">
        <v>7000.0</v>
      </c>
      <c r="N1072" s="13"/>
      <c r="O1072" s="15">
        <f>IF(M1072&gt;0, N1072/M1072, 0)</f>
        <v>0</v>
      </c>
      <c r="P1072" s="13">
        <f>M1072-N1072</f>
        <v>7000</v>
      </c>
      <c r="Q1072" s="13">
        <f>L1072*M1072</f>
        <v>35000</v>
      </c>
      <c r="R1072" s="13">
        <f>L1072*N1072</f>
        <v>0</v>
      </c>
      <c r="S1072" s="13">
        <f>L1072*P1072</f>
        <v>35000</v>
      </c>
      <c r="T1072" s="13"/>
      <c r="U1072" s="13">
        <f>L1072*T1072</f>
        <v>0</v>
      </c>
      <c r="V1072" s="13">
        <f>S1072-U1072</f>
        <v>35000</v>
      </c>
      <c r="W1072" s="15">
        <f>IF(S1072&gt;0, V1072/S1072, 0)</f>
        <v>1</v>
      </c>
      <c r="X1072" s="6" t="s">
        <v>39</v>
      </c>
      <c r="Y1072" s="8" t="s">
        <v>40</v>
      </c>
      <c r="Z1072" s="8" t="s">
        <v>41</v>
      </c>
      <c r="AA1072" s="8" t="s">
        <v>42</v>
      </c>
      <c r="AB1072" s="6" t="s">
        <v>42</v>
      </c>
    </row>
    <row r="1073" spans="1:28">
      <c r="A1073" s="9">
        <v>1066</v>
      </c>
      <c r="B1073" s="9" t="s">
        <v>1375</v>
      </c>
      <c r="C1073" s="9" t="s">
        <v>1366</v>
      </c>
      <c r="D1073" s="9" t="s">
        <v>652</v>
      </c>
      <c r="E1073" s="9" t="s">
        <v>33</v>
      </c>
      <c r="F1073" s="7" t="s">
        <v>50</v>
      </c>
      <c r="G1073" s="7" t="s">
        <v>69</v>
      </c>
      <c r="H1073" s="7" t="s">
        <v>69</v>
      </c>
      <c r="I1073" s="9">
        <v>152</v>
      </c>
      <c r="J1073" s="9" t="s">
        <v>350</v>
      </c>
      <c r="K1073" s="9" t="s">
        <v>38</v>
      </c>
      <c r="L1073" s="11">
        <v>1</v>
      </c>
      <c r="M1073" s="14">
        <v>16000.0</v>
      </c>
      <c r="N1073" s="14"/>
      <c r="O1073" s="16">
        <f>IF(M1073&gt;0, N1073/M1073, 0)</f>
        <v>0</v>
      </c>
      <c r="P1073" s="14">
        <f>M1073-N1073</f>
        <v>16000</v>
      </c>
      <c r="Q1073" s="14">
        <f>L1073*M1073</f>
        <v>16000</v>
      </c>
      <c r="R1073" s="14">
        <f>L1073*N1073</f>
        <v>0</v>
      </c>
      <c r="S1073" s="14">
        <f>L1073*P1073</f>
        <v>16000</v>
      </c>
      <c r="T1073" s="14"/>
      <c r="U1073" s="14">
        <f>L1073*T1073</f>
        <v>0</v>
      </c>
      <c r="V1073" s="14">
        <f>S1073-U1073</f>
        <v>16000</v>
      </c>
      <c r="W1073" s="16">
        <f>IF(S1073&gt;0, V1073/S1073, 0)</f>
        <v>1</v>
      </c>
      <c r="X1073" s="7" t="s">
        <v>39</v>
      </c>
      <c r="Y1073" s="9" t="s">
        <v>40</v>
      </c>
      <c r="Z1073" s="9" t="s">
        <v>41</v>
      </c>
      <c r="AA1073" s="9" t="s">
        <v>42</v>
      </c>
      <c r="AB1073" s="7" t="s">
        <v>42</v>
      </c>
    </row>
    <row r="1074" spans="1:28">
      <c r="A1074" s="8">
        <v>1067</v>
      </c>
      <c r="B1074" s="8" t="s">
        <v>1376</v>
      </c>
      <c r="C1074" s="8" t="s">
        <v>1366</v>
      </c>
      <c r="D1074" s="8" t="s">
        <v>652</v>
      </c>
      <c r="E1074" s="8" t="s">
        <v>33</v>
      </c>
      <c r="F1074" s="6" t="s">
        <v>50</v>
      </c>
      <c r="G1074" s="6" t="s">
        <v>63</v>
      </c>
      <c r="H1074" s="6" t="s">
        <v>148</v>
      </c>
      <c r="I1074" s="8">
        <v>152</v>
      </c>
      <c r="J1074" s="8" t="s">
        <v>251</v>
      </c>
      <c r="K1074" s="8" t="s">
        <v>38</v>
      </c>
      <c r="L1074" s="10">
        <v>1</v>
      </c>
      <c r="M1074" s="13">
        <v>9000.0</v>
      </c>
      <c r="N1074" s="13"/>
      <c r="O1074" s="15">
        <f>IF(M1074&gt;0, N1074/M1074, 0)</f>
        <v>0</v>
      </c>
      <c r="P1074" s="13">
        <f>M1074-N1074</f>
        <v>9000</v>
      </c>
      <c r="Q1074" s="13">
        <f>L1074*M1074</f>
        <v>9000</v>
      </c>
      <c r="R1074" s="13">
        <f>L1074*N1074</f>
        <v>0</v>
      </c>
      <c r="S1074" s="13">
        <f>L1074*P1074</f>
        <v>9000</v>
      </c>
      <c r="T1074" s="13"/>
      <c r="U1074" s="13">
        <f>L1074*T1074</f>
        <v>0</v>
      </c>
      <c r="V1074" s="13">
        <f>S1074-U1074</f>
        <v>9000</v>
      </c>
      <c r="W1074" s="15">
        <f>IF(S1074&gt;0, V1074/S1074, 0)</f>
        <v>1</v>
      </c>
      <c r="X1074" s="6" t="s">
        <v>39</v>
      </c>
      <c r="Y1074" s="8" t="s">
        <v>40</v>
      </c>
      <c r="Z1074" s="8" t="s">
        <v>41</v>
      </c>
      <c r="AA1074" s="8" t="s">
        <v>42</v>
      </c>
      <c r="AB1074" s="6" t="s">
        <v>42</v>
      </c>
    </row>
    <row r="1075" spans="1:28">
      <c r="A1075" s="9">
        <v>1068</v>
      </c>
      <c r="B1075" s="9" t="s">
        <v>1377</v>
      </c>
      <c r="C1075" s="9" t="s">
        <v>1366</v>
      </c>
      <c r="D1075" s="9" t="s">
        <v>652</v>
      </c>
      <c r="E1075" s="9" t="s">
        <v>33</v>
      </c>
      <c r="F1075" s="7" t="s">
        <v>50</v>
      </c>
      <c r="G1075" s="7" t="s">
        <v>35</v>
      </c>
      <c r="H1075" s="7" t="s">
        <v>36</v>
      </c>
      <c r="I1075" s="9">
        <v>128</v>
      </c>
      <c r="J1075" s="9" t="s">
        <v>156</v>
      </c>
      <c r="K1075" s="9" t="s">
        <v>53</v>
      </c>
      <c r="L1075" s="11">
        <v>2</v>
      </c>
      <c r="M1075" s="14">
        <v>7000.0</v>
      </c>
      <c r="N1075" s="14"/>
      <c r="O1075" s="16">
        <f>IF(M1075&gt;0, N1075/M1075, 0)</f>
        <v>0</v>
      </c>
      <c r="P1075" s="14">
        <f>M1075-N1075</f>
        <v>7000</v>
      </c>
      <c r="Q1075" s="14">
        <f>L1075*M1075</f>
        <v>14000</v>
      </c>
      <c r="R1075" s="14">
        <f>L1075*N1075</f>
        <v>0</v>
      </c>
      <c r="S1075" s="14">
        <f>L1075*P1075</f>
        <v>14000</v>
      </c>
      <c r="T1075" s="14"/>
      <c r="U1075" s="14">
        <f>L1075*T1075</f>
        <v>0</v>
      </c>
      <c r="V1075" s="14">
        <f>S1075-U1075</f>
        <v>14000</v>
      </c>
      <c r="W1075" s="16">
        <f>IF(S1075&gt;0, V1075/S1075, 0)</f>
        <v>1</v>
      </c>
      <c r="X1075" s="7" t="s">
        <v>39</v>
      </c>
      <c r="Y1075" s="9" t="s">
        <v>40</v>
      </c>
      <c r="Z1075" s="9" t="s">
        <v>41</v>
      </c>
      <c r="AA1075" s="9" t="s">
        <v>42</v>
      </c>
      <c r="AB1075" s="7" t="s">
        <v>42</v>
      </c>
    </row>
    <row r="1076" spans="1:28">
      <c r="A1076" s="8">
        <v>1069</v>
      </c>
      <c r="B1076" s="8" t="s">
        <v>1378</v>
      </c>
      <c r="C1076" s="8" t="s">
        <v>1366</v>
      </c>
      <c r="D1076" s="8" t="s">
        <v>652</v>
      </c>
      <c r="E1076" s="8" t="s">
        <v>33</v>
      </c>
      <c r="F1076" s="6" t="s">
        <v>50</v>
      </c>
      <c r="G1076" s="6" t="s">
        <v>69</v>
      </c>
      <c r="H1076" s="6" t="s">
        <v>69</v>
      </c>
      <c r="I1076" s="8">
        <v>146</v>
      </c>
      <c r="J1076" s="8" t="s">
        <v>382</v>
      </c>
      <c r="K1076" s="8" t="s">
        <v>38</v>
      </c>
      <c r="L1076" s="10">
        <v>1</v>
      </c>
      <c r="M1076" s="13">
        <v>16000.0</v>
      </c>
      <c r="N1076" s="13"/>
      <c r="O1076" s="15">
        <f>IF(M1076&gt;0, N1076/M1076, 0)</f>
        <v>0</v>
      </c>
      <c r="P1076" s="13">
        <f>M1076-N1076</f>
        <v>16000</v>
      </c>
      <c r="Q1076" s="13">
        <f>L1076*M1076</f>
        <v>16000</v>
      </c>
      <c r="R1076" s="13">
        <f>L1076*N1076</f>
        <v>0</v>
      </c>
      <c r="S1076" s="13">
        <f>L1076*P1076</f>
        <v>16000</v>
      </c>
      <c r="T1076" s="13"/>
      <c r="U1076" s="13">
        <f>L1076*T1076</f>
        <v>0</v>
      </c>
      <c r="V1076" s="13">
        <f>S1076-U1076</f>
        <v>16000</v>
      </c>
      <c r="W1076" s="15">
        <f>IF(S1076&gt;0, V1076/S1076, 0)</f>
        <v>1</v>
      </c>
      <c r="X1076" s="6" t="s">
        <v>39</v>
      </c>
      <c r="Y1076" s="8" t="s">
        <v>40</v>
      </c>
      <c r="Z1076" s="8" t="s">
        <v>41</v>
      </c>
      <c r="AA1076" s="8" t="s">
        <v>42</v>
      </c>
      <c r="AB1076" s="6" t="s">
        <v>42</v>
      </c>
    </row>
    <row r="1077" spans="1:28">
      <c r="A1077" s="9">
        <v>1070</v>
      </c>
      <c r="B1077" s="9" t="s">
        <v>1379</v>
      </c>
      <c r="C1077" s="9" t="s">
        <v>1366</v>
      </c>
      <c r="D1077" s="9" t="s">
        <v>652</v>
      </c>
      <c r="E1077" s="9" t="s">
        <v>33</v>
      </c>
      <c r="F1077" s="7" t="s">
        <v>50</v>
      </c>
      <c r="G1077" s="7" t="s">
        <v>35</v>
      </c>
      <c r="H1077" s="7" t="s">
        <v>36</v>
      </c>
      <c r="I1077" s="9">
        <v>146</v>
      </c>
      <c r="J1077" s="9" t="s">
        <v>257</v>
      </c>
      <c r="K1077" s="9" t="s">
        <v>53</v>
      </c>
      <c r="L1077" s="11">
        <v>2</v>
      </c>
      <c r="M1077" s="14">
        <v>7000.0</v>
      </c>
      <c r="N1077" s="14"/>
      <c r="O1077" s="16">
        <f>IF(M1077&gt;0, N1077/M1077, 0)</f>
        <v>0</v>
      </c>
      <c r="P1077" s="14">
        <f>M1077-N1077</f>
        <v>7000</v>
      </c>
      <c r="Q1077" s="14">
        <f>L1077*M1077</f>
        <v>14000</v>
      </c>
      <c r="R1077" s="14">
        <f>L1077*N1077</f>
        <v>0</v>
      </c>
      <c r="S1077" s="14">
        <f>L1077*P1077</f>
        <v>14000</v>
      </c>
      <c r="T1077" s="14"/>
      <c r="U1077" s="14">
        <f>L1077*T1077</f>
        <v>0</v>
      </c>
      <c r="V1077" s="14">
        <f>S1077-U1077</f>
        <v>14000</v>
      </c>
      <c r="W1077" s="16">
        <f>IF(S1077&gt;0, V1077/S1077, 0)</f>
        <v>1</v>
      </c>
      <c r="X1077" s="7" t="s">
        <v>39</v>
      </c>
      <c r="Y1077" s="9" t="s">
        <v>40</v>
      </c>
      <c r="Z1077" s="9" t="s">
        <v>41</v>
      </c>
      <c r="AA1077" s="9" t="s">
        <v>42</v>
      </c>
      <c r="AB1077" s="7" t="s">
        <v>42</v>
      </c>
    </row>
    <row r="1078" spans="1:28">
      <c r="A1078" s="8">
        <v>1071</v>
      </c>
      <c r="B1078" s="8" t="s">
        <v>1380</v>
      </c>
      <c r="C1078" s="8" t="s">
        <v>1366</v>
      </c>
      <c r="D1078" s="8" t="s">
        <v>652</v>
      </c>
      <c r="E1078" s="8" t="s">
        <v>33</v>
      </c>
      <c r="F1078" s="6" t="s">
        <v>50</v>
      </c>
      <c r="G1078" s="6" t="s">
        <v>56</v>
      </c>
      <c r="H1078" s="6" t="s">
        <v>56</v>
      </c>
      <c r="I1078" s="8">
        <v>140</v>
      </c>
      <c r="J1078" s="8" t="s">
        <v>597</v>
      </c>
      <c r="K1078" s="8" t="s">
        <v>38</v>
      </c>
      <c r="L1078" s="10">
        <v>1</v>
      </c>
      <c r="M1078" s="13">
        <v>7000.0</v>
      </c>
      <c r="N1078" s="13"/>
      <c r="O1078" s="15">
        <f>IF(M1078&gt;0, N1078/M1078, 0)</f>
        <v>0</v>
      </c>
      <c r="P1078" s="13">
        <f>M1078-N1078</f>
        <v>7000</v>
      </c>
      <c r="Q1078" s="13">
        <f>L1078*M1078</f>
        <v>7000</v>
      </c>
      <c r="R1078" s="13">
        <f>L1078*N1078</f>
        <v>0</v>
      </c>
      <c r="S1078" s="13">
        <f>L1078*P1078</f>
        <v>7000</v>
      </c>
      <c r="T1078" s="13"/>
      <c r="U1078" s="13">
        <f>L1078*T1078</f>
        <v>0</v>
      </c>
      <c r="V1078" s="13">
        <f>S1078-U1078</f>
        <v>7000</v>
      </c>
      <c r="W1078" s="15">
        <f>IF(S1078&gt;0, V1078/S1078, 0)</f>
        <v>1</v>
      </c>
      <c r="X1078" s="6" t="s">
        <v>39</v>
      </c>
      <c r="Y1078" s="8" t="s">
        <v>40</v>
      </c>
      <c r="Z1078" s="8" t="s">
        <v>41</v>
      </c>
      <c r="AA1078" s="8" t="s">
        <v>42</v>
      </c>
      <c r="AB1078" s="6" t="s">
        <v>42</v>
      </c>
    </row>
    <row r="1079" spans="1:28">
      <c r="A1079" s="9">
        <v>1072</v>
      </c>
      <c r="B1079" s="9" t="s">
        <v>1381</v>
      </c>
      <c r="C1079" s="9" t="s">
        <v>1366</v>
      </c>
      <c r="D1079" s="9" t="s">
        <v>652</v>
      </c>
      <c r="E1079" s="9" t="s">
        <v>33</v>
      </c>
      <c r="F1079" s="7" t="s">
        <v>50</v>
      </c>
      <c r="G1079" s="7" t="s">
        <v>51</v>
      </c>
      <c r="H1079" s="7" t="s">
        <v>51</v>
      </c>
      <c r="I1079" s="9">
        <v>146</v>
      </c>
      <c r="J1079" s="9" t="s">
        <v>254</v>
      </c>
      <c r="K1079" s="9" t="s">
        <v>53</v>
      </c>
      <c r="L1079" s="11">
        <v>1</v>
      </c>
      <c r="M1079" s="14">
        <v>8000.0</v>
      </c>
      <c r="N1079" s="14"/>
      <c r="O1079" s="16">
        <f>IF(M1079&gt;0, N1079/M1079, 0)</f>
        <v>0</v>
      </c>
      <c r="P1079" s="14">
        <f>M1079-N1079</f>
        <v>8000</v>
      </c>
      <c r="Q1079" s="14">
        <f>L1079*M1079</f>
        <v>8000</v>
      </c>
      <c r="R1079" s="14">
        <f>L1079*N1079</f>
        <v>0</v>
      </c>
      <c r="S1079" s="14">
        <f>L1079*P1079</f>
        <v>8000</v>
      </c>
      <c r="T1079" s="14"/>
      <c r="U1079" s="14">
        <f>L1079*T1079</f>
        <v>0</v>
      </c>
      <c r="V1079" s="14">
        <f>S1079-U1079</f>
        <v>8000</v>
      </c>
      <c r="W1079" s="16">
        <f>IF(S1079&gt;0, V1079/S1079, 0)</f>
        <v>1</v>
      </c>
      <c r="X1079" s="7" t="s">
        <v>39</v>
      </c>
      <c r="Y1079" s="9" t="s">
        <v>40</v>
      </c>
      <c r="Z1079" s="9" t="s">
        <v>41</v>
      </c>
      <c r="AA1079" s="9" t="s">
        <v>42</v>
      </c>
      <c r="AB1079" s="7" t="s">
        <v>42</v>
      </c>
    </row>
    <row r="1080" spans="1:28">
      <c r="A1080" s="8">
        <v>1073</v>
      </c>
      <c r="B1080" s="8" t="s">
        <v>1382</v>
      </c>
      <c r="C1080" s="8" t="s">
        <v>1366</v>
      </c>
      <c r="D1080" s="8" t="s">
        <v>652</v>
      </c>
      <c r="E1080" s="8" t="s">
        <v>33</v>
      </c>
      <c r="F1080" s="6" t="s">
        <v>50</v>
      </c>
      <c r="G1080" s="6" t="s">
        <v>63</v>
      </c>
      <c r="H1080" s="6" t="s">
        <v>148</v>
      </c>
      <c r="I1080" s="8">
        <v>116</v>
      </c>
      <c r="J1080" s="8" t="s">
        <v>1253</v>
      </c>
      <c r="K1080" s="8" t="s">
        <v>38</v>
      </c>
      <c r="L1080" s="10">
        <v>1</v>
      </c>
      <c r="M1080" s="13">
        <v>9000.0</v>
      </c>
      <c r="N1080" s="13"/>
      <c r="O1080" s="15">
        <f>IF(M1080&gt;0, N1080/M1080, 0)</f>
        <v>0</v>
      </c>
      <c r="P1080" s="13">
        <f>M1080-N1080</f>
        <v>9000</v>
      </c>
      <c r="Q1080" s="13">
        <f>L1080*M1080</f>
        <v>9000</v>
      </c>
      <c r="R1080" s="13">
        <f>L1080*N1080</f>
        <v>0</v>
      </c>
      <c r="S1080" s="13">
        <f>L1080*P1080</f>
        <v>9000</v>
      </c>
      <c r="T1080" s="13"/>
      <c r="U1080" s="13">
        <f>L1080*T1080</f>
        <v>0</v>
      </c>
      <c r="V1080" s="13">
        <f>S1080-U1080</f>
        <v>9000</v>
      </c>
      <c r="W1080" s="15">
        <f>IF(S1080&gt;0, V1080/S1080, 0)</f>
        <v>1</v>
      </c>
      <c r="X1080" s="6" t="s">
        <v>39</v>
      </c>
      <c r="Y1080" s="8" t="s">
        <v>40</v>
      </c>
      <c r="Z1080" s="8" t="s">
        <v>41</v>
      </c>
      <c r="AA1080" s="8" t="s">
        <v>42</v>
      </c>
      <c r="AB1080" s="6" t="s">
        <v>42</v>
      </c>
    </row>
    <row r="1081" spans="1:28">
      <c r="A1081" s="9">
        <v>1074</v>
      </c>
      <c r="B1081" s="9" t="s">
        <v>1383</v>
      </c>
      <c r="C1081" s="9" t="s">
        <v>1366</v>
      </c>
      <c r="D1081" s="9" t="s">
        <v>652</v>
      </c>
      <c r="E1081" s="9" t="s">
        <v>33</v>
      </c>
      <c r="F1081" s="7" t="s">
        <v>50</v>
      </c>
      <c r="G1081" s="7" t="s">
        <v>35</v>
      </c>
      <c r="H1081" s="7" t="s">
        <v>36</v>
      </c>
      <c r="I1081" s="9">
        <v>122</v>
      </c>
      <c r="J1081" s="9" t="s">
        <v>105</v>
      </c>
      <c r="K1081" s="9" t="s">
        <v>53</v>
      </c>
      <c r="L1081" s="11">
        <v>1</v>
      </c>
      <c r="M1081" s="14">
        <v>7000.0</v>
      </c>
      <c r="N1081" s="14"/>
      <c r="O1081" s="16">
        <f>IF(M1081&gt;0, N1081/M1081, 0)</f>
        <v>0</v>
      </c>
      <c r="P1081" s="14">
        <f>M1081-N1081</f>
        <v>7000</v>
      </c>
      <c r="Q1081" s="14">
        <f>L1081*M1081</f>
        <v>7000</v>
      </c>
      <c r="R1081" s="14">
        <f>L1081*N1081</f>
        <v>0</v>
      </c>
      <c r="S1081" s="14">
        <f>L1081*P1081</f>
        <v>7000</v>
      </c>
      <c r="T1081" s="14"/>
      <c r="U1081" s="14">
        <f>L1081*T1081</f>
        <v>0</v>
      </c>
      <c r="V1081" s="14">
        <f>S1081-U1081</f>
        <v>7000</v>
      </c>
      <c r="W1081" s="16">
        <f>IF(S1081&gt;0, V1081/S1081, 0)</f>
        <v>1</v>
      </c>
      <c r="X1081" s="7" t="s">
        <v>39</v>
      </c>
      <c r="Y1081" s="9" t="s">
        <v>40</v>
      </c>
      <c r="Z1081" s="9" t="s">
        <v>41</v>
      </c>
      <c r="AA1081" s="9" t="s">
        <v>42</v>
      </c>
      <c r="AB1081" s="7" t="s">
        <v>42</v>
      </c>
    </row>
    <row r="1082" spans="1:28">
      <c r="A1082" s="8">
        <v>1075</v>
      </c>
      <c r="B1082" s="8" t="s">
        <v>1384</v>
      </c>
      <c r="C1082" s="8" t="s">
        <v>1366</v>
      </c>
      <c r="D1082" s="8" t="s">
        <v>652</v>
      </c>
      <c r="E1082" s="8" t="s">
        <v>33</v>
      </c>
      <c r="F1082" s="6" t="s">
        <v>50</v>
      </c>
      <c r="G1082" s="6" t="s">
        <v>69</v>
      </c>
      <c r="H1082" s="6" t="s">
        <v>69</v>
      </c>
      <c r="I1082" s="8">
        <v>128</v>
      </c>
      <c r="J1082" s="8" t="s">
        <v>110</v>
      </c>
      <c r="K1082" s="8" t="s">
        <v>38</v>
      </c>
      <c r="L1082" s="10">
        <v>1</v>
      </c>
      <c r="M1082" s="13">
        <v>16000.0</v>
      </c>
      <c r="N1082" s="13"/>
      <c r="O1082" s="15">
        <f>IF(M1082&gt;0, N1082/M1082, 0)</f>
        <v>0</v>
      </c>
      <c r="P1082" s="13">
        <f>M1082-N1082</f>
        <v>16000</v>
      </c>
      <c r="Q1082" s="13">
        <f>L1082*M1082</f>
        <v>16000</v>
      </c>
      <c r="R1082" s="13">
        <f>L1082*N1082</f>
        <v>0</v>
      </c>
      <c r="S1082" s="13">
        <f>L1082*P1082</f>
        <v>16000</v>
      </c>
      <c r="T1082" s="13"/>
      <c r="U1082" s="13">
        <f>L1082*T1082</f>
        <v>0</v>
      </c>
      <c r="V1082" s="13">
        <f>S1082-U1082</f>
        <v>16000</v>
      </c>
      <c r="W1082" s="15">
        <f>IF(S1082&gt;0, V1082/S1082, 0)</f>
        <v>1</v>
      </c>
      <c r="X1082" s="6" t="s">
        <v>39</v>
      </c>
      <c r="Y1082" s="8" t="s">
        <v>40</v>
      </c>
      <c r="Z1082" s="8" t="s">
        <v>41</v>
      </c>
      <c r="AA1082" s="8" t="s">
        <v>42</v>
      </c>
      <c r="AB1082" s="6" t="s">
        <v>42</v>
      </c>
    </row>
    <row r="1083" spans="1:28">
      <c r="A1083" s="9">
        <v>1076</v>
      </c>
      <c r="B1083" s="9" t="s">
        <v>1385</v>
      </c>
      <c r="C1083" s="9" t="s">
        <v>1366</v>
      </c>
      <c r="D1083" s="9" t="s">
        <v>652</v>
      </c>
      <c r="E1083" s="9" t="s">
        <v>33</v>
      </c>
      <c r="F1083" s="7" t="s">
        <v>50</v>
      </c>
      <c r="G1083" s="7" t="s">
        <v>51</v>
      </c>
      <c r="H1083" s="7" t="s">
        <v>51</v>
      </c>
      <c r="I1083" s="9">
        <v>122</v>
      </c>
      <c r="J1083" s="9" t="s">
        <v>82</v>
      </c>
      <c r="K1083" s="9" t="s">
        <v>53</v>
      </c>
      <c r="L1083" s="11">
        <v>1</v>
      </c>
      <c r="M1083" s="14">
        <v>8000.0</v>
      </c>
      <c r="N1083" s="14"/>
      <c r="O1083" s="16">
        <f>IF(M1083&gt;0, N1083/M1083, 0)</f>
        <v>0</v>
      </c>
      <c r="P1083" s="14">
        <f>M1083-N1083</f>
        <v>8000</v>
      </c>
      <c r="Q1083" s="14">
        <f>L1083*M1083</f>
        <v>8000</v>
      </c>
      <c r="R1083" s="14">
        <f>L1083*N1083</f>
        <v>0</v>
      </c>
      <c r="S1083" s="14">
        <f>L1083*P1083</f>
        <v>8000</v>
      </c>
      <c r="T1083" s="14"/>
      <c r="U1083" s="14">
        <f>L1083*T1083</f>
        <v>0</v>
      </c>
      <c r="V1083" s="14">
        <f>S1083-U1083</f>
        <v>8000</v>
      </c>
      <c r="W1083" s="16">
        <f>IF(S1083&gt;0, V1083/S1083, 0)</f>
        <v>1</v>
      </c>
      <c r="X1083" s="7" t="s">
        <v>39</v>
      </c>
      <c r="Y1083" s="9" t="s">
        <v>40</v>
      </c>
      <c r="Z1083" s="9" t="s">
        <v>41</v>
      </c>
      <c r="AA1083" s="9" t="s">
        <v>42</v>
      </c>
      <c r="AB1083" s="7" t="s">
        <v>42</v>
      </c>
    </row>
    <row r="1084" spans="1:28">
      <c r="A1084" s="8">
        <v>1077</v>
      </c>
      <c r="B1084" s="8" t="s">
        <v>1386</v>
      </c>
      <c r="C1084" s="8" t="s">
        <v>1366</v>
      </c>
      <c r="D1084" s="8" t="s">
        <v>652</v>
      </c>
      <c r="E1084" s="8" t="s">
        <v>33</v>
      </c>
      <c r="F1084" s="6" t="s">
        <v>34</v>
      </c>
      <c r="G1084" s="6" t="s">
        <v>51</v>
      </c>
      <c r="H1084" s="6" t="s">
        <v>51</v>
      </c>
      <c r="I1084" s="8">
        <v>164</v>
      </c>
      <c r="J1084" s="8" t="s">
        <v>61</v>
      </c>
      <c r="K1084" s="8" t="s">
        <v>38</v>
      </c>
      <c r="L1084" s="10">
        <v>1</v>
      </c>
      <c r="M1084" s="13">
        <v>8500.0</v>
      </c>
      <c r="N1084" s="13"/>
      <c r="O1084" s="15">
        <f>IF(M1084&gt;0, N1084/M1084, 0)</f>
        <v>0</v>
      </c>
      <c r="P1084" s="13">
        <f>M1084-N1084</f>
        <v>8500</v>
      </c>
      <c r="Q1084" s="13">
        <f>L1084*M1084</f>
        <v>8500</v>
      </c>
      <c r="R1084" s="13">
        <f>L1084*N1084</f>
        <v>0</v>
      </c>
      <c r="S1084" s="13">
        <f>L1084*P1084</f>
        <v>8500</v>
      </c>
      <c r="T1084" s="13"/>
      <c r="U1084" s="13">
        <f>L1084*T1084</f>
        <v>0</v>
      </c>
      <c r="V1084" s="13">
        <f>S1084-U1084</f>
        <v>8500</v>
      </c>
      <c r="W1084" s="15">
        <f>IF(S1084&gt;0, V1084/S1084, 0)</f>
        <v>1</v>
      </c>
      <c r="X1084" s="6" t="s">
        <v>39</v>
      </c>
      <c r="Y1084" s="8" t="s">
        <v>40</v>
      </c>
      <c r="Z1084" s="8" t="s">
        <v>41</v>
      </c>
      <c r="AA1084" s="8" t="s">
        <v>42</v>
      </c>
      <c r="AB1084" s="6" t="s">
        <v>42</v>
      </c>
    </row>
    <row r="1085" spans="1:28">
      <c r="A1085" s="9">
        <v>1078</v>
      </c>
      <c r="B1085" s="9" t="s">
        <v>1387</v>
      </c>
      <c r="C1085" s="9" t="s">
        <v>1366</v>
      </c>
      <c r="D1085" s="9" t="s">
        <v>652</v>
      </c>
      <c r="E1085" s="9" t="s">
        <v>33</v>
      </c>
      <c r="F1085" s="7" t="s">
        <v>34</v>
      </c>
      <c r="G1085" s="7" t="s">
        <v>35</v>
      </c>
      <c r="H1085" s="7" t="s">
        <v>36</v>
      </c>
      <c r="I1085" s="9">
        <v>158</v>
      </c>
      <c r="J1085" s="9" t="s">
        <v>37</v>
      </c>
      <c r="K1085" s="9" t="s">
        <v>38</v>
      </c>
      <c r="L1085" s="11">
        <v>1</v>
      </c>
      <c r="M1085" s="14">
        <v>8000.0</v>
      </c>
      <c r="N1085" s="14"/>
      <c r="O1085" s="16">
        <f>IF(M1085&gt;0, N1085/M1085, 0)</f>
        <v>0</v>
      </c>
      <c r="P1085" s="14">
        <f>M1085-N1085</f>
        <v>8000</v>
      </c>
      <c r="Q1085" s="14">
        <f>L1085*M1085</f>
        <v>8000</v>
      </c>
      <c r="R1085" s="14">
        <f>L1085*N1085</f>
        <v>0</v>
      </c>
      <c r="S1085" s="14">
        <f>L1085*P1085</f>
        <v>8000</v>
      </c>
      <c r="T1085" s="14"/>
      <c r="U1085" s="14">
        <f>L1085*T1085</f>
        <v>0</v>
      </c>
      <c r="V1085" s="14">
        <f>S1085-U1085</f>
        <v>8000</v>
      </c>
      <c r="W1085" s="16">
        <f>IF(S1085&gt;0, V1085/S1085, 0)</f>
        <v>1</v>
      </c>
      <c r="X1085" s="7" t="s">
        <v>39</v>
      </c>
      <c r="Y1085" s="9" t="s">
        <v>40</v>
      </c>
      <c r="Z1085" s="9" t="s">
        <v>41</v>
      </c>
      <c r="AA1085" s="9" t="s">
        <v>42</v>
      </c>
      <c r="AB1085" s="7" t="s">
        <v>42</v>
      </c>
    </row>
    <row r="1086" spans="1:28">
      <c r="A1086" s="8">
        <v>1079</v>
      </c>
      <c r="B1086" s="8" t="s">
        <v>1388</v>
      </c>
      <c r="C1086" s="8" t="s">
        <v>1366</v>
      </c>
      <c r="D1086" s="8" t="s">
        <v>652</v>
      </c>
      <c r="E1086" s="8" t="s">
        <v>33</v>
      </c>
      <c r="F1086" s="6" t="s">
        <v>34</v>
      </c>
      <c r="G1086" s="6" t="s">
        <v>63</v>
      </c>
      <c r="H1086" s="6" t="s">
        <v>148</v>
      </c>
      <c r="I1086" s="8">
        <v>176</v>
      </c>
      <c r="J1086" s="8" t="s">
        <v>233</v>
      </c>
      <c r="K1086" s="8" t="s">
        <v>38</v>
      </c>
      <c r="L1086" s="10">
        <v>1</v>
      </c>
      <c r="M1086" s="13">
        <v>9500.0</v>
      </c>
      <c r="N1086" s="13"/>
      <c r="O1086" s="15">
        <f>IF(M1086&gt;0, N1086/M1086, 0)</f>
        <v>0</v>
      </c>
      <c r="P1086" s="13">
        <f>M1086-N1086</f>
        <v>9500</v>
      </c>
      <c r="Q1086" s="13">
        <f>L1086*M1086</f>
        <v>9500</v>
      </c>
      <c r="R1086" s="13">
        <f>L1086*N1086</f>
        <v>0</v>
      </c>
      <c r="S1086" s="13">
        <f>L1086*P1086</f>
        <v>9500</v>
      </c>
      <c r="T1086" s="13"/>
      <c r="U1086" s="13">
        <f>L1086*T1086</f>
        <v>0</v>
      </c>
      <c r="V1086" s="13">
        <f>S1086-U1086</f>
        <v>9500</v>
      </c>
      <c r="W1086" s="15">
        <f>IF(S1086&gt;0, V1086/S1086, 0)</f>
        <v>1</v>
      </c>
      <c r="X1086" s="6" t="s">
        <v>39</v>
      </c>
      <c r="Y1086" s="8" t="s">
        <v>40</v>
      </c>
      <c r="Z1086" s="8" t="s">
        <v>41</v>
      </c>
      <c r="AA1086" s="8" t="s">
        <v>42</v>
      </c>
      <c r="AB1086" s="6" t="s">
        <v>42</v>
      </c>
    </row>
    <row r="1087" spans="1:28">
      <c r="A1087" s="9">
        <v>1080</v>
      </c>
      <c r="B1087" s="9" t="s">
        <v>1389</v>
      </c>
      <c r="C1087" s="9" t="s">
        <v>1366</v>
      </c>
      <c r="D1087" s="9" t="s">
        <v>652</v>
      </c>
      <c r="E1087" s="9" t="s">
        <v>33</v>
      </c>
      <c r="F1087" s="7" t="s">
        <v>34</v>
      </c>
      <c r="G1087" s="7" t="s">
        <v>45</v>
      </c>
      <c r="H1087" s="7" t="s">
        <v>46</v>
      </c>
      <c r="I1087" s="9">
        <v>182</v>
      </c>
      <c r="J1087" s="9" t="s">
        <v>807</v>
      </c>
      <c r="K1087" s="9" t="s">
        <v>38</v>
      </c>
      <c r="L1087" s="11">
        <v>1</v>
      </c>
      <c r="M1087" s="14">
        <v>18000.0</v>
      </c>
      <c r="N1087" s="14"/>
      <c r="O1087" s="16">
        <f>IF(M1087&gt;0, N1087/M1087, 0)</f>
        <v>0</v>
      </c>
      <c r="P1087" s="14">
        <f>M1087-N1087</f>
        <v>18000</v>
      </c>
      <c r="Q1087" s="14">
        <f>L1087*M1087</f>
        <v>18000</v>
      </c>
      <c r="R1087" s="14">
        <f>L1087*N1087</f>
        <v>0</v>
      </c>
      <c r="S1087" s="14">
        <f>L1087*P1087</f>
        <v>18000</v>
      </c>
      <c r="T1087" s="14"/>
      <c r="U1087" s="14">
        <f>L1087*T1087</f>
        <v>0</v>
      </c>
      <c r="V1087" s="14">
        <f>S1087-U1087</f>
        <v>18000</v>
      </c>
      <c r="W1087" s="16">
        <f>IF(S1087&gt;0, V1087/S1087, 0)</f>
        <v>1</v>
      </c>
      <c r="X1087" s="7" t="s">
        <v>39</v>
      </c>
      <c r="Y1087" s="9" t="s">
        <v>40</v>
      </c>
      <c r="Z1087" s="9" t="s">
        <v>41</v>
      </c>
      <c r="AA1087" s="9" t="s">
        <v>42</v>
      </c>
      <c r="AB1087" s="7" t="s">
        <v>42</v>
      </c>
    </row>
    <row r="1088" spans="1:28">
      <c r="A1088" s="8">
        <v>1081</v>
      </c>
      <c r="B1088" s="8" t="s">
        <v>1390</v>
      </c>
      <c r="C1088" s="8" t="s">
        <v>1366</v>
      </c>
      <c r="D1088" s="8" t="s">
        <v>652</v>
      </c>
      <c r="E1088" s="8" t="s">
        <v>33</v>
      </c>
      <c r="F1088" s="6" t="s">
        <v>34</v>
      </c>
      <c r="G1088" s="6" t="s">
        <v>69</v>
      </c>
      <c r="H1088" s="6" t="s">
        <v>69</v>
      </c>
      <c r="I1088" s="8">
        <v>176</v>
      </c>
      <c r="J1088" s="8" t="s">
        <v>203</v>
      </c>
      <c r="K1088" s="8" t="s">
        <v>38</v>
      </c>
      <c r="L1088" s="10">
        <v>1</v>
      </c>
      <c r="M1088" s="13">
        <v>16500.0</v>
      </c>
      <c r="N1088" s="13"/>
      <c r="O1088" s="15">
        <f>IF(M1088&gt;0, N1088/M1088, 0)</f>
        <v>0</v>
      </c>
      <c r="P1088" s="13">
        <f>M1088-N1088</f>
        <v>16500</v>
      </c>
      <c r="Q1088" s="13">
        <f>L1088*M1088</f>
        <v>16500</v>
      </c>
      <c r="R1088" s="13">
        <f>L1088*N1088</f>
        <v>0</v>
      </c>
      <c r="S1088" s="13">
        <f>L1088*P1088</f>
        <v>16500</v>
      </c>
      <c r="T1088" s="13"/>
      <c r="U1088" s="13">
        <f>L1088*T1088</f>
        <v>0</v>
      </c>
      <c r="V1088" s="13">
        <f>S1088-U1088</f>
        <v>16500</v>
      </c>
      <c r="W1088" s="15">
        <f>IF(S1088&gt;0, V1088/S1088, 0)</f>
        <v>1</v>
      </c>
      <c r="X1088" s="6" t="s">
        <v>39</v>
      </c>
      <c r="Y1088" s="8" t="s">
        <v>40</v>
      </c>
      <c r="Z1088" s="8" t="s">
        <v>41</v>
      </c>
      <c r="AA1088" s="8" t="s">
        <v>42</v>
      </c>
      <c r="AB1088" s="6" t="s">
        <v>42</v>
      </c>
    </row>
    <row r="1089" spans="1:28">
      <c r="A1089" s="9">
        <v>1082</v>
      </c>
      <c r="B1089" s="9" t="s">
        <v>1391</v>
      </c>
      <c r="C1089" s="9" t="s">
        <v>1366</v>
      </c>
      <c r="D1089" s="9" t="s">
        <v>652</v>
      </c>
      <c r="E1089" s="9" t="s">
        <v>33</v>
      </c>
      <c r="F1089" s="7" t="s">
        <v>34</v>
      </c>
      <c r="G1089" s="7" t="s">
        <v>56</v>
      </c>
      <c r="H1089" s="7" t="s">
        <v>56</v>
      </c>
      <c r="I1089" s="9">
        <v>170</v>
      </c>
      <c r="J1089" s="9" t="s">
        <v>212</v>
      </c>
      <c r="K1089" s="9" t="s">
        <v>38</v>
      </c>
      <c r="L1089" s="11">
        <v>1</v>
      </c>
      <c r="M1089" s="14">
        <v>7500.0</v>
      </c>
      <c r="N1089" s="14"/>
      <c r="O1089" s="16">
        <f>IF(M1089&gt;0, N1089/M1089, 0)</f>
        <v>0</v>
      </c>
      <c r="P1089" s="14">
        <f>M1089-N1089</f>
        <v>7500</v>
      </c>
      <c r="Q1089" s="14">
        <f>L1089*M1089</f>
        <v>7500</v>
      </c>
      <c r="R1089" s="14">
        <f>L1089*N1089</f>
        <v>0</v>
      </c>
      <c r="S1089" s="14">
        <f>L1089*P1089</f>
        <v>7500</v>
      </c>
      <c r="T1089" s="14"/>
      <c r="U1089" s="14">
        <f>L1089*T1089</f>
        <v>0</v>
      </c>
      <c r="V1089" s="14">
        <f>S1089-U1089</f>
        <v>7500</v>
      </c>
      <c r="W1089" s="16">
        <f>IF(S1089&gt;0, V1089/S1089, 0)</f>
        <v>1</v>
      </c>
      <c r="X1089" s="7" t="s">
        <v>39</v>
      </c>
      <c r="Y1089" s="9" t="s">
        <v>40</v>
      </c>
      <c r="Z1089" s="9" t="s">
        <v>41</v>
      </c>
      <c r="AA1089" s="9" t="s">
        <v>42</v>
      </c>
      <c r="AB1089" s="7" t="s">
        <v>42</v>
      </c>
    </row>
    <row r="1090" spans="1:28">
      <c r="A1090" s="8">
        <v>1083</v>
      </c>
      <c r="B1090" s="8" t="s">
        <v>1392</v>
      </c>
      <c r="C1090" s="8" t="s">
        <v>1366</v>
      </c>
      <c r="D1090" s="8" t="s">
        <v>652</v>
      </c>
      <c r="E1090" s="8" t="s">
        <v>33</v>
      </c>
      <c r="F1090" s="6" t="s">
        <v>34</v>
      </c>
      <c r="G1090" s="6" t="s">
        <v>51</v>
      </c>
      <c r="H1090" s="6" t="s">
        <v>51</v>
      </c>
      <c r="I1090" s="8">
        <v>170</v>
      </c>
      <c r="J1090" s="8" t="s">
        <v>1137</v>
      </c>
      <c r="K1090" s="8" t="s">
        <v>38</v>
      </c>
      <c r="L1090" s="10">
        <v>1</v>
      </c>
      <c r="M1090" s="13">
        <v>8000.0</v>
      </c>
      <c r="N1090" s="13"/>
      <c r="O1090" s="15">
        <f>IF(M1090&gt;0, N1090/M1090, 0)</f>
        <v>0</v>
      </c>
      <c r="P1090" s="13">
        <f>M1090-N1090</f>
        <v>8000</v>
      </c>
      <c r="Q1090" s="13">
        <f>L1090*M1090</f>
        <v>8000</v>
      </c>
      <c r="R1090" s="13">
        <f>L1090*N1090</f>
        <v>0</v>
      </c>
      <c r="S1090" s="13">
        <f>L1090*P1090</f>
        <v>8000</v>
      </c>
      <c r="T1090" s="13"/>
      <c r="U1090" s="13">
        <f>L1090*T1090</f>
        <v>0</v>
      </c>
      <c r="V1090" s="13">
        <f>S1090-U1090</f>
        <v>8000</v>
      </c>
      <c r="W1090" s="15">
        <f>IF(S1090&gt;0, V1090/S1090, 0)</f>
        <v>1</v>
      </c>
      <c r="X1090" s="6" t="s">
        <v>39</v>
      </c>
      <c r="Y1090" s="8" t="s">
        <v>40</v>
      </c>
      <c r="Z1090" s="8" t="s">
        <v>41</v>
      </c>
      <c r="AA1090" s="8" t="s">
        <v>42</v>
      </c>
      <c r="AB1090" s="6" t="s">
        <v>42</v>
      </c>
    </row>
    <row r="1091" spans="1:28">
      <c r="A1091" s="9">
        <v>1084</v>
      </c>
      <c r="B1091" s="9" t="s">
        <v>1393</v>
      </c>
      <c r="C1091" s="9" t="s">
        <v>1366</v>
      </c>
      <c r="D1091" s="9" t="s">
        <v>652</v>
      </c>
      <c r="E1091" s="9" t="s">
        <v>33</v>
      </c>
      <c r="F1091" s="7" t="s">
        <v>34</v>
      </c>
      <c r="G1091" s="7" t="s">
        <v>35</v>
      </c>
      <c r="H1091" s="7" t="s">
        <v>36</v>
      </c>
      <c r="I1091" s="9">
        <v>170</v>
      </c>
      <c r="J1091" s="9" t="s">
        <v>142</v>
      </c>
      <c r="K1091" s="9" t="s">
        <v>38</v>
      </c>
      <c r="L1091" s="11">
        <v>1</v>
      </c>
      <c r="M1091" s="14">
        <v>8000.0</v>
      </c>
      <c r="N1091" s="14"/>
      <c r="O1091" s="16">
        <f>IF(M1091&gt;0, N1091/M1091, 0)</f>
        <v>0</v>
      </c>
      <c r="P1091" s="14">
        <f>M1091-N1091</f>
        <v>8000</v>
      </c>
      <c r="Q1091" s="14">
        <f>L1091*M1091</f>
        <v>8000</v>
      </c>
      <c r="R1091" s="14">
        <f>L1091*N1091</f>
        <v>0</v>
      </c>
      <c r="S1091" s="14">
        <f>L1091*P1091</f>
        <v>8000</v>
      </c>
      <c r="T1091" s="14"/>
      <c r="U1091" s="14">
        <f>L1091*T1091</f>
        <v>0</v>
      </c>
      <c r="V1091" s="14">
        <f>S1091-U1091</f>
        <v>8000</v>
      </c>
      <c r="W1091" s="16">
        <f>IF(S1091&gt;0, V1091/S1091, 0)</f>
        <v>1</v>
      </c>
      <c r="X1091" s="7" t="s">
        <v>39</v>
      </c>
      <c r="Y1091" s="9" t="s">
        <v>40</v>
      </c>
      <c r="Z1091" s="9" t="s">
        <v>41</v>
      </c>
      <c r="AA1091" s="9" t="s">
        <v>42</v>
      </c>
      <c r="AB1091" s="7" t="s">
        <v>42</v>
      </c>
    </row>
    <row r="1092" spans="1:28">
      <c r="A1092" s="8">
        <v>1085</v>
      </c>
      <c r="B1092" s="8" t="s">
        <v>1394</v>
      </c>
      <c r="C1092" s="8" t="s">
        <v>1366</v>
      </c>
      <c r="D1092" s="8" t="s">
        <v>652</v>
      </c>
      <c r="E1092" s="8" t="s">
        <v>33</v>
      </c>
      <c r="F1092" s="6" t="s">
        <v>34</v>
      </c>
      <c r="G1092" s="6" t="s">
        <v>35</v>
      </c>
      <c r="H1092" s="6" t="s">
        <v>36</v>
      </c>
      <c r="I1092" s="8">
        <v>176</v>
      </c>
      <c r="J1092" s="8" t="s">
        <v>352</v>
      </c>
      <c r="K1092" s="8" t="s">
        <v>38</v>
      </c>
      <c r="L1092" s="10">
        <v>1</v>
      </c>
      <c r="M1092" s="13">
        <v>8000.0</v>
      </c>
      <c r="N1092" s="13"/>
      <c r="O1092" s="15">
        <f>IF(M1092&gt;0, N1092/M1092, 0)</f>
        <v>0</v>
      </c>
      <c r="P1092" s="13">
        <f>M1092-N1092</f>
        <v>8000</v>
      </c>
      <c r="Q1092" s="13">
        <f>L1092*M1092</f>
        <v>8000</v>
      </c>
      <c r="R1092" s="13">
        <f>L1092*N1092</f>
        <v>0</v>
      </c>
      <c r="S1092" s="13">
        <f>L1092*P1092</f>
        <v>8000</v>
      </c>
      <c r="T1092" s="13"/>
      <c r="U1092" s="13">
        <f>L1092*T1092</f>
        <v>0</v>
      </c>
      <c r="V1092" s="13">
        <f>S1092-U1092</f>
        <v>8000</v>
      </c>
      <c r="W1092" s="15">
        <f>IF(S1092&gt;0, V1092/S1092, 0)</f>
        <v>1</v>
      </c>
      <c r="X1092" s="6" t="s">
        <v>39</v>
      </c>
      <c r="Y1092" s="8" t="s">
        <v>40</v>
      </c>
      <c r="Z1092" s="8" t="s">
        <v>41</v>
      </c>
      <c r="AA1092" s="8" t="s">
        <v>42</v>
      </c>
      <c r="AB1092" s="6" t="s">
        <v>42</v>
      </c>
    </row>
    <row r="1093" spans="1:28">
      <c r="A1093" s="9">
        <v>1086</v>
      </c>
      <c r="B1093" s="9" t="s">
        <v>1395</v>
      </c>
      <c r="C1093" s="9" t="s">
        <v>1366</v>
      </c>
      <c r="D1093" s="9" t="s">
        <v>652</v>
      </c>
      <c r="E1093" s="9" t="s">
        <v>68</v>
      </c>
      <c r="F1093" s="7" t="s">
        <v>34</v>
      </c>
      <c r="G1093" s="7" t="s">
        <v>56</v>
      </c>
      <c r="H1093" s="7" t="s">
        <v>56</v>
      </c>
      <c r="I1093" s="9">
        <v>158</v>
      </c>
      <c r="J1093" s="9" t="s">
        <v>128</v>
      </c>
      <c r="K1093" s="9" t="s">
        <v>38</v>
      </c>
      <c r="L1093" s="11">
        <v>1</v>
      </c>
      <c r="M1093" s="14">
        <v>9000.0</v>
      </c>
      <c r="N1093" s="14"/>
      <c r="O1093" s="16">
        <f>IF(M1093&gt;0, N1093/M1093, 0)</f>
        <v>0</v>
      </c>
      <c r="P1093" s="14">
        <f>M1093-N1093</f>
        <v>9000</v>
      </c>
      <c r="Q1093" s="14">
        <f>L1093*M1093</f>
        <v>9000</v>
      </c>
      <c r="R1093" s="14">
        <f>L1093*N1093</f>
        <v>0</v>
      </c>
      <c r="S1093" s="14">
        <f>L1093*P1093</f>
        <v>9000</v>
      </c>
      <c r="T1093" s="14"/>
      <c r="U1093" s="14">
        <f>L1093*T1093</f>
        <v>0</v>
      </c>
      <c r="V1093" s="14">
        <f>S1093-U1093</f>
        <v>9000</v>
      </c>
      <c r="W1093" s="16">
        <f>IF(S1093&gt;0, V1093/S1093, 0)</f>
        <v>1</v>
      </c>
      <c r="X1093" s="7" t="s">
        <v>39</v>
      </c>
      <c r="Y1093" s="9" t="s">
        <v>40</v>
      </c>
      <c r="Z1093" s="9" t="s">
        <v>71</v>
      </c>
      <c r="AA1093" s="9" t="s">
        <v>42</v>
      </c>
      <c r="AB1093" s="7" t="s">
        <v>42</v>
      </c>
    </row>
    <row r="1094" spans="1:28">
      <c r="A1094" s="8">
        <v>1087</v>
      </c>
      <c r="B1094" s="8" t="s">
        <v>1396</v>
      </c>
      <c r="C1094" s="8" t="s">
        <v>1366</v>
      </c>
      <c r="D1094" s="8" t="s">
        <v>652</v>
      </c>
      <c r="E1094" s="8" t="s">
        <v>68</v>
      </c>
      <c r="F1094" s="6" t="s">
        <v>34</v>
      </c>
      <c r="G1094" s="6" t="s">
        <v>69</v>
      </c>
      <c r="H1094" s="6" t="s">
        <v>69</v>
      </c>
      <c r="I1094" s="8">
        <v>158</v>
      </c>
      <c r="J1094" s="8" t="s">
        <v>260</v>
      </c>
      <c r="K1094" s="8" t="s">
        <v>38</v>
      </c>
      <c r="L1094" s="10">
        <v>1</v>
      </c>
      <c r="M1094" s="13">
        <v>18000.0</v>
      </c>
      <c r="N1094" s="13"/>
      <c r="O1094" s="15">
        <f>IF(M1094&gt;0, N1094/M1094, 0)</f>
        <v>0</v>
      </c>
      <c r="P1094" s="13">
        <f>M1094-N1094</f>
        <v>18000</v>
      </c>
      <c r="Q1094" s="13">
        <f>L1094*M1094</f>
        <v>18000</v>
      </c>
      <c r="R1094" s="13">
        <f>L1094*N1094</f>
        <v>0</v>
      </c>
      <c r="S1094" s="13">
        <f>L1094*P1094</f>
        <v>18000</v>
      </c>
      <c r="T1094" s="13"/>
      <c r="U1094" s="13">
        <f>L1094*T1094</f>
        <v>0</v>
      </c>
      <c r="V1094" s="13">
        <f>S1094-U1094</f>
        <v>18000</v>
      </c>
      <c r="W1094" s="15">
        <f>IF(S1094&gt;0, V1094/S1094, 0)</f>
        <v>1</v>
      </c>
      <c r="X1094" s="6" t="s">
        <v>39</v>
      </c>
      <c r="Y1094" s="8" t="s">
        <v>40</v>
      </c>
      <c r="Z1094" s="8" t="s">
        <v>71</v>
      </c>
      <c r="AA1094" s="8" t="s">
        <v>42</v>
      </c>
      <c r="AB1094" s="6" t="s">
        <v>42</v>
      </c>
    </row>
    <row r="1095" spans="1:28">
      <c r="A1095" s="9">
        <v>1088</v>
      </c>
      <c r="B1095" s="9" t="s">
        <v>1397</v>
      </c>
      <c r="C1095" s="9" t="s">
        <v>1366</v>
      </c>
      <c r="D1095" s="9" t="s">
        <v>652</v>
      </c>
      <c r="E1095" s="9" t="s">
        <v>33</v>
      </c>
      <c r="F1095" s="7" t="s">
        <v>34</v>
      </c>
      <c r="G1095" s="7" t="s">
        <v>51</v>
      </c>
      <c r="H1095" s="7" t="s">
        <v>51</v>
      </c>
      <c r="I1095" s="9">
        <v>158</v>
      </c>
      <c r="J1095" s="9" t="s">
        <v>122</v>
      </c>
      <c r="K1095" s="9" t="s">
        <v>38</v>
      </c>
      <c r="L1095" s="11">
        <v>1</v>
      </c>
      <c r="M1095" s="14">
        <v>8500.0</v>
      </c>
      <c r="N1095" s="14"/>
      <c r="O1095" s="16">
        <f>IF(M1095&gt;0, N1095/M1095, 0)</f>
        <v>0</v>
      </c>
      <c r="P1095" s="14">
        <f>M1095-N1095</f>
        <v>8500</v>
      </c>
      <c r="Q1095" s="14">
        <f>L1095*M1095</f>
        <v>8500</v>
      </c>
      <c r="R1095" s="14">
        <f>L1095*N1095</f>
        <v>0</v>
      </c>
      <c r="S1095" s="14">
        <f>L1095*P1095</f>
        <v>8500</v>
      </c>
      <c r="T1095" s="14"/>
      <c r="U1095" s="14">
        <f>L1095*T1095</f>
        <v>0</v>
      </c>
      <c r="V1095" s="14">
        <f>S1095-U1095</f>
        <v>8500</v>
      </c>
      <c r="W1095" s="16">
        <f>IF(S1095&gt;0, V1095/S1095, 0)</f>
        <v>1</v>
      </c>
      <c r="X1095" s="7" t="s">
        <v>39</v>
      </c>
      <c r="Y1095" s="9" t="s">
        <v>40</v>
      </c>
      <c r="Z1095" s="9" t="s">
        <v>41</v>
      </c>
      <c r="AA1095" s="9" t="s">
        <v>42</v>
      </c>
      <c r="AB1095" s="7" t="s">
        <v>42</v>
      </c>
    </row>
    <row r="1096" spans="1:28">
      <c r="A1096" s="8">
        <v>1089</v>
      </c>
      <c r="B1096" s="8" t="s">
        <v>1398</v>
      </c>
      <c r="C1096" s="8" t="s">
        <v>1366</v>
      </c>
      <c r="D1096" s="8" t="s">
        <v>652</v>
      </c>
      <c r="E1096" s="8" t="s">
        <v>33</v>
      </c>
      <c r="F1096" s="6" t="s">
        <v>34</v>
      </c>
      <c r="G1096" s="6" t="s">
        <v>63</v>
      </c>
      <c r="H1096" s="6" t="s">
        <v>148</v>
      </c>
      <c r="I1096" s="8">
        <v>164</v>
      </c>
      <c r="J1096" s="8" t="s">
        <v>365</v>
      </c>
      <c r="K1096" s="8" t="s">
        <v>38</v>
      </c>
      <c r="L1096" s="10">
        <v>1</v>
      </c>
      <c r="M1096" s="13">
        <v>9500.0</v>
      </c>
      <c r="N1096" s="13"/>
      <c r="O1096" s="15">
        <f>IF(M1096&gt;0, N1096/M1096, 0)</f>
        <v>0</v>
      </c>
      <c r="P1096" s="13">
        <f>M1096-N1096</f>
        <v>9500</v>
      </c>
      <c r="Q1096" s="13">
        <f>L1096*M1096</f>
        <v>9500</v>
      </c>
      <c r="R1096" s="13">
        <f>L1096*N1096</f>
        <v>0</v>
      </c>
      <c r="S1096" s="13">
        <f>L1096*P1096</f>
        <v>9500</v>
      </c>
      <c r="T1096" s="13"/>
      <c r="U1096" s="13">
        <f>L1096*T1096</f>
        <v>0</v>
      </c>
      <c r="V1096" s="13">
        <f>S1096-U1096</f>
        <v>9500</v>
      </c>
      <c r="W1096" s="15">
        <f>IF(S1096&gt;0, V1096/S1096, 0)</f>
        <v>1</v>
      </c>
      <c r="X1096" s="6" t="s">
        <v>39</v>
      </c>
      <c r="Y1096" s="8" t="s">
        <v>40</v>
      </c>
      <c r="Z1096" s="8" t="s">
        <v>41</v>
      </c>
      <c r="AA1096" s="8" t="s">
        <v>42</v>
      </c>
      <c r="AB1096" s="6" t="s">
        <v>42</v>
      </c>
    </row>
    <row r="1097" spans="1:28">
      <c r="A1097" s="9">
        <v>1090</v>
      </c>
      <c r="B1097" s="9" t="s">
        <v>1399</v>
      </c>
      <c r="C1097" s="9" t="s">
        <v>1366</v>
      </c>
      <c r="D1097" s="9" t="s">
        <v>652</v>
      </c>
      <c r="E1097" s="9" t="s">
        <v>33</v>
      </c>
      <c r="F1097" s="7" t="s">
        <v>34</v>
      </c>
      <c r="G1097" s="7" t="s">
        <v>35</v>
      </c>
      <c r="H1097" s="7" t="s">
        <v>73</v>
      </c>
      <c r="I1097" s="9">
        <v>164</v>
      </c>
      <c r="J1097" s="9" t="s">
        <v>74</v>
      </c>
      <c r="K1097" s="9" t="s">
        <v>38</v>
      </c>
      <c r="L1097" s="11">
        <v>1</v>
      </c>
      <c r="M1097" s="14">
        <v>9000.0</v>
      </c>
      <c r="N1097" s="14"/>
      <c r="O1097" s="16">
        <f>IF(M1097&gt;0, N1097/M1097, 0)</f>
        <v>0</v>
      </c>
      <c r="P1097" s="14">
        <f>M1097-N1097</f>
        <v>9000</v>
      </c>
      <c r="Q1097" s="14">
        <f>L1097*M1097</f>
        <v>9000</v>
      </c>
      <c r="R1097" s="14">
        <f>L1097*N1097</f>
        <v>0</v>
      </c>
      <c r="S1097" s="14">
        <f>L1097*P1097</f>
        <v>9000</v>
      </c>
      <c r="T1097" s="14"/>
      <c r="U1097" s="14">
        <f>L1097*T1097</f>
        <v>0</v>
      </c>
      <c r="V1097" s="14">
        <f>S1097-U1097</f>
        <v>9000</v>
      </c>
      <c r="W1097" s="16">
        <f>IF(S1097&gt;0, V1097/S1097, 0)</f>
        <v>1</v>
      </c>
      <c r="X1097" s="7" t="s">
        <v>39</v>
      </c>
      <c r="Y1097" s="9" t="s">
        <v>40</v>
      </c>
      <c r="Z1097" s="9" t="s">
        <v>41</v>
      </c>
      <c r="AA1097" s="9" t="s">
        <v>42</v>
      </c>
      <c r="AB1097" s="7" t="s">
        <v>42</v>
      </c>
    </row>
    <row r="1098" spans="1:28">
      <c r="A1098" s="8">
        <v>1091</v>
      </c>
      <c r="B1098" s="8" t="s">
        <v>1400</v>
      </c>
      <c r="C1098" s="8" t="s">
        <v>1366</v>
      </c>
      <c r="D1098" s="8" t="s">
        <v>652</v>
      </c>
      <c r="E1098" s="8" t="s">
        <v>33</v>
      </c>
      <c r="F1098" s="6" t="s">
        <v>34</v>
      </c>
      <c r="G1098" s="6" t="s">
        <v>35</v>
      </c>
      <c r="H1098" s="6" t="s">
        <v>36</v>
      </c>
      <c r="I1098" s="8">
        <v>158</v>
      </c>
      <c r="J1098" s="8" t="s">
        <v>37</v>
      </c>
      <c r="K1098" s="8" t="s">
        <v>38</v>
      </c>
      <c r="L1098" s="10">
        <v>2</v>
      </c>
      <c r="M1098" s="13">
        <v>8000.0</v>
      </c>
      <c r="N1098" s="13"/>
      <c r="O1098" s="15">
        <f>IF(M1098&gt;0, N1098/M1098, 0)</f>
        <v>0</v>
      </c>
      <c r="P1098" s="13">
        <f>M1098-N1098</f>
        <v>8000</v>
      </c>
      <c r="Q1098" s="13">
        <f>L1098*M1098</f>
        <v>16000</v>
      </c>
      <c r="R1098" s="13">
        <f>L1098*N1098</f>
        <v>0</v>
      </c>
      <c r="S1098" s="13">
        <f>L1098*P1098</f>
        <v>16000</v>
      </c>
      <c r="T1098" s="13"/>
      <c r="U1098" s="13">
        <f>L1098*T1098</f>
        <v>0</v>
      </c>
      <c r="V1098" s="13">
        <f>S1098-U1098</f>
        <v>16000</v>
      </c>
      <c r="W1098" s="15">
        <f>IF(S1098&gt;0, V1098/S1098, 0)</f>
        <v>1</v>
      </c>
      <c r="X1098" s="6" t="s">
        <v>39</v>
      </c>
      <c r="Y1098" s="8" t="s">
        <v>40</v>
      </c>
      <c r="Z1098" s="8" t="s">
        <v>41</v>
      </c>
      <c r="AA1098" s="8" t="s">
        <v>42</v>
      </c>
      <c r="AB1098" s="6" t="s">
        <v>42</v>
      </c>
    </row>
    <row r="1099" spans="1:28">
      <c r="A1099" s="9">
        <v>1092</v>
      </c>
      <c r="B1099" s="9" t="s">
        <v>1401</v>
      </c>
      <c r="C1099" s="9" t="s">
        <v>1366</v>
      </c>
      <c r="D1099" s="9" t="s">
        <v>652</v>
      </c>
      <c r="E1099" s="9" t="s">
        <v>33</v>
      </c>
      <c r="F1099" s="7" t="s">
        <v>34</v>
      </c>
      <c r="G1099" s="7" t="s">
        <v>35</v>
      </c>
      <c r="H1099" s="7" t="s">
        <v>36</v>
      </c>
      <c r="I1099" s="9">
        <v>170</v>
      </c>
      <c r="J1099" s="9" t="s">
        <v>142</v>
      </c>
      <c r="K1099" s="9" t="s">
        <v>38</v>
      </c>
      <c r="L1099" s="11">
        <v>3</v>
      </c>
      <c r="M1099" s="14">
        <v>8000.0</v>
      </c>
      <c r="N1099" s="14"/>
      <c r="O1099" s="16">
        <f>IF(M1099&gt;0, N1099/M1099, 0)</f>
        <v>0</v>
      </c>
      <c r="P1099" s="14">
        <f>M1099-N1099</f>
        <v>8000</v>
      </c>
      <c r="Q1099" s="14">
        <f>L1099*M1099</f>
        <v>24000</v>
      </c>
      <c r="R1099" s="14">
        <f>L1099*N1099</f>
        <v>0</v>
      </c>
      <c r="S1099" s="14">
        <f>L1099*P1099</f>
        <v>24000</v>
      </c>
      <c r="T1099" s="14"/>
      <c r="U1099" s="14">
        <f>L1099*T1099</f>
        <v>0</v>
      </c>
      <c r="V1099" s="14">
        <f>S1099-U1099</f>
        <v>24000</v>
      </c>
      <c r="W1099" s="16">
        <f>IF(S1099&gt;0, V1099/S1099, 0)</f>
        <v>1</v>
      </c>
      <c r="X1099" s="7" t="s">
        <v>39</v>
      </c>
      <c r="Y1099" s="9" t="s">
        <v>40</v>
      </c>
      <c r="Z1099" s="9" t="s">
        <v>41</v>
      </c>
      <c r="AA1099" s="9" t="s">
        <v>42</v>
      </c>
      <c r="AB1099" s="7" t="s">
        <v>42</v>
      </c>
    </row>
    <row r="1100" spans="1:28">
      <c r="A1100" s="8">
        <v>1093</v>
      </c>
      <c r="B1100" s="8" t="s">
        <v>1402</v>
      </c>
      <c r="C1100" s="8" t="s">
        <v>1366</v>
      </c>
      <c r="D1100" s="8" t="s">
        <v>652</v>
      </c>
      <c r="E1100" s="8" t="s">
        <v>33</v>
      </c>
      <c r="F1100" s="6" t="s">
        <v>34</v>
      </c>
      <c r="G1100" s="6" t="s">
        <v>51</v>
      </c>
      <c r="H1100" s="6" t="s">
        <v>51</v>
      </c>
      <c r="I1100" s="8">
        <v>170</v>
      </c>
      <c r="J1100" s="8" t="s">
        <v>1137</v>
      </c>
      <c r="K1100" s="8" t="s">
        <v>38</v>
      </c>
      <c r="L1100" s="10">
        <v>2</v>
      </c>
      <c r="M1100" s="13">
        <v>8500.0</v>
      </c>
      <c r="N1100" s="13"/>
      <c r="O1100" s="15">
        <f>IF(M1100&gt;0, N1100/M1100, 0)</f>
        <v>0</v>
      </c>
      <c r="P1100" s="13">
        <f>M1100-N1100</f>
        <v>8500</v>
      </c>
      <c r="Q1100" s="13">
        <f>L1100*M1100</f>
        <v>17000</v>
      </c>
      <c r="R1100" s="13">
        <f>L1100*N1100</f>
        <v>0</v>
      </c>
      <c r="S1100" s="13">
        <f>L1100*P1100</f>
        <v>17000</v>
      </c>
      <c r="T1100" s="13"/>
      <c r="U1100" s="13">
        <f>L1100*T1100</f>
        <v>0</v>
      </c>
      <c r="V1100" s="13">
        <f>S1100-U1100</f>
        <v>17000</v>
      </c>
      <c r="W1100" s="15">
        <f>IF(S1100&gt;0, V1100/S1100, 0)</f>
        <v>1</v>
      </c>
      <c r="X1100" s="6" t="s">
        <v>39</v>
      </c>
      <c r="Y1100" s="8" t="s">
        <v>40</v>
      </c>
      <c r="Z1100" s="8" t="s">
        <v>41</v>
      </c>
      <c r="AA1100" s="8" t="s">
        <v>42</v>
      </c>
      <c r="AB1100" s="6" t="s">
        <v>42</v>
      </c>
    </row>
    <row r="1101" spans="1:28">
      <c r="A1101" s="9">
        <v>1094</v>
      </c>
      <c r="B1101" s="9" t="s">
        <v>1403</v>
      </c>
      <c r="C1101" s="9" t="s">
        <v>1366</v>
      </c>
      <c r="D1101" s="9" t="s">
        <v>652</v>
      </c>
      <c r="E1101" s="9" t="s">
        <v>33</v>
      </c>
      <c r="F1101" s="7" t="s">
        <v>34</v>
      </c>
      <c r="G1101" s="7" t="s">
        <v>45</v>
      </c>
      <c r="H1101" s="7" t="s">
        <v>46</v>
      </c>
      <c r="I1101" s="9">
        <v>170</v>
      </c>
      <c r="J1101" s="9" t="s">
        <v>181</v>
      </c>
      <c r="K1101" s="9" t="s">
        <v>38</v>
      </c>
      <c r="L1101" s="11">
        <v>1</v>
      </c>
      <c r="M1101" s="14">
        <v>18000.0</v>
      </c>
      <c r="N1101" s="14"/>
      <c r="O1101" s="16">
        <f>IF(M1101&gt;0, N1101/M1101, 0)</f>
        <v>0</v>
      </c>
      <c r="P1101" s="14">
        <f>M1101-N1101</f>
        <v>18000</v>
      </c>
      <c r="Q1101" s="14">
        <f>L1101*M1101</f>
        <v>18000</v>
      </c>
      <c r="R1101" s="14">
        <f>L1101*N1101</f>
        <v>0</v>
      </c>
      <c r="S1101" s="14">
        <f>L1101*P1101</f>
        <v>18000</v>
      </c>
      <c r="T1101" s="14"/>
      <c r="U1101" s="14">
        <f>L1101*T1101</f>
        <v>0</v>
      </c>
      <c r="V1101" s="14">
        <f>S1101-U1101</f>
        <v>18000</v>
      </c>
      <c r="W1101" s="16">
        <f>IF(S1101&gt;0, V1101/S1101, 0)</f>
        <v>1</v>
      </c>
      <c r="X1101" s="7" t="s">
        <v>39</v>
      </c>
      <c r="Y1101" s="9" t="s">
        <v>40</v>
      </c>
      <c r="Z1101" s="9" t="s">
        <v>41</v>
      </c>
      <c r="AA1101" s="9" t="s">
        <v>42</v>
      </c>
      <c r="AB1101" s="7" t="s">
        <v>42</v>
      </c>
    </row>
    <row r="1102" spans="1:28">
      <c r="A1102" s="8">
        <v>1095</v>
      </c>
      <c r="B1102" s="8" t="s">
        <v>1404</v>
      </c>
      <c r="C1102" s="8" t="s">
        <v>1366</v>
      </c>
      <c r="D1102" s="8" t="s">
        <v>652</v>
      </c>
      <c r="E1102" s="8" t="s">
        <v>33</v>
      </c>
      <c r="F1102" s="6" t="s">
        <v>34</v>
      </c>
      <c r="G1102" s="6" t="s">
        <v>56</v>
      </c>
      <c r="H1102" s="6" t="s">
        <v>56</v>
      </c>
      <c r="I1102" s="8">
        <v>164</v>
      </c>
      <c r="J1102" s="8" t="s">
        <v>57</v>
      </c>
      <c r="K1102" s="8" t="s">
        <v>38</v>
      </c>
      <c r="L1102" s="10">
        <v>1</v>
      </c>
      <c r="M1102" s="13">
        <v>7500.0</v>
      </c>
      <c r="N1102" s="13"/>
      <c r="O1102" s="15">
        <f>IF(M1102&gt;0, N1102/M1102, 0)</f>
        <v>0</v>
      </c>
      <c r="P1102" s="13">
        <f>M1102-N1102</f>
        <v>7500</v>
      </c>
      <c r="Q1102" s="13">
        <f>L1102*M1102</f>
        <v>7500</v>
      </c>
      <c r="R1102" s="13">
        <f>L1102*N1102</f>
        <v>0</v>
      </c>
      <c r="S1102" s="13">
        <f>L1102*P1102</f>
        <v>7500</v>
      </c>
      <c r="T1102" s="13"/>
      <c r="U1102" s="13">
        <f>L1102*T1102</f>
        <v>0</v>
      </c>
      <c r="V1102" s="13">
        <f>S1102-U1102</f>
        <v>7500</v>
      </c>
      <c r="W1102" s="15">
        <f>IF(S1102&gt;0, V1102/S1102, 0)</f>
        <v>1</v>
      </c>
      <c r="X1102" s="6" t="s">
        <v>39</v>
      </c>
      <c r="Y1102" s="8" t="s">
        <v>40</v>
      </c>
      <c r="Z1102" s="8" t="s">
        <v>41</v>
      </c>
      <c r="AA1102" s="8" t="s">
        <v>42</v>
      </c>
      <c r="AB1102" s="6" t="s">
        <v>42</v>
      </c>
    </row>
    <row r="1103" spans="1:28">
      <c r="A1103" s="9">
        <v>1096</v>
      </c>
      <c r="B1103" s="9" t="s">
        <v>1405</v>
      </c>
      <c r="C1103" s="9" t="s">
        <v>1366</v>
      </c>
      <c r="D1103" s="9" t="s">
        <v>652</v>
      </c>
      <c r="E1103" s="9" t="s">
        <v>33</v>
      </c>
      <c r="F1103" s="7" t="s">
        <v>34</v>
      </c>
      <c r="G1103" s="7" t="s">
        <v>51</v>
      </c>
      <c r="H1103" s="7" t="s">
        <v>51</v>
      </c>
      <c r="I1103" s="9">
        <v>158</v>
      </c>
      <c r="J1103" s="9" t="s">
        <v>122</v>
      </c>
      <c r="K1103" s="9" t="s">
        <v>38</v>
      </c>
      <c r="L1103" s="11">
        <v>1</v>
      </c>
      <c r="M1103" s="14">
        <v>8500.0</v>
      </c>
      <c r="N1103" s="14"/>
      <c r="O1103" s="16">
        <f>IF(M1103&gt;0, N1103/M1103, 0)</f>
        <v>0</v>
      </c>
      <c r="P1103" s="14">
        <f>M1103-N1103</f>
        <v>8500</v>
      </c>
      <c r="Q1103" s="14">
        <f>L1103*M1103</f>
        <v>8500</v>
      </c>
      <c r="R1103" s="14">
        <f>L1103*N1103</f>
        <v>0</v>
      </c>
      <c r="S1103" s="14">
        <f>L1103*P1103</f>
        <v>8500</v>
      </c>
      <c r="T1103" s="14"/>
      <c r="U1103" s="14">
        <f>L1103*T1103</f>
        <v>0</v>
      </c>
      <c r="V1103" s="14">
        <f>S1103-U1103</f>
        <v>8500</v>
      </c>
      <c r="W1103" s="16">
        <f>IF(S1103&gt;0, V1103/S1103, 0)</f>
        <v>1</v>
      </c>
      <c r="X1103" s="7" t="s">
        <v>39</v>
      </c>
      <c r="Y1103" s="9" t="s">
        <v>40</v>
      </c>
      <c r="Z1103" s="9" t="s">
        <v>41</v>
      </c>
      <c r="AA1103" s="9" t="s">
        <v>42</v>
      </c>
      <c r="AB1103" s="7" t="s">
        <v>42</v>
      </c>
    </row>
    <row r="1104" spans="1:28">
      <c r="A1104" s="8">
        <v>1097</v>
      </c>
      <c r="B1104" s="8" t="s">
        <v>1406</v>
      </c>
      <c r="C1104" s="8" t="s">
        <v>1366</v>
      </c>
      <c r="D1104" s="8" t="s">
        <v>652</v>
      </c>
      <c r="E1104" s="8" t="s">
        <v>33</v>
      </c>
      <c r="F1104" s="6" t="s">
        <v>34</v>
      </c>
      <c r="G1104" s="6" t="s">
        <v>45</v>
      </c>
      <c r="H1104" s="6" t="s">
        <v>46</v>
      </c>
      <c r="I1104" s="8">
        <v>158</v>
      </c>
      <c r="J1104" s="8" t="s">
        <v>47</v>
      </c>
      <c r="K1104" s="8" t="s">
        <v>38</v>
      </c>
      <c r="L1104" s="10">
        <v>1</v>
      </c>
      <c r="M1104" s="13">
        <v>18000.0</v>
      </c>
      <c r="N1104" s="13"/>
      <c r="O1104" s="15">
        <f>IF(M1104&gt;0, N1104/M1104, 0)</f>
        <v>0</v>
      </c>
      <c r="P1104" s="13">
        <f>M1104-N1104</f>
        <v>18000</v>
      </c>
      <c r="Q1104" s="13">
        <f>L1104*M1104</f>
        <v>18000</v>
      </c>
      <c r="R1104" s="13">
        <f>L1104*N1104</f>
        <v>0</v>
      </c>
      <c r="S1104" s="13">
        <f>L1104*P1104</f>
        <v>18000</v>
      </c>
      <c r="T1104" s="13"/>
      <c r="U1104" s="13">
        <f>L1104*T1104</f>
        <v>0</v>
      </c>
      <c r="V1104" s="13">
        <f>S1104-U1104</f>
        <v>18000</v>
      </c>
      <c r="W1104" s="15">
        <f>IF(S1104&gt;0, V1104/S1104, 0)</f>
        <v>1</v>
      </c>
      <c r="X1104" s="6" t="s">
        <v>39</v>
      </c>
      <c r="Y1104" s="8" t="s">
        <v>40</v>
      </c>
      <c r="Z1104" s="8" t="s">
        <v>41</v>
      </c>
      <c r="AA1104" s="8" t="s">
        <v>42</v>
      </c>
      <c r="AB1104" s="6" t="s">
        <v>42</v>
      </c>
    </row>
    <row r="1105" spans="1:28">
      <c r="A1105" s="9">
        <v>1098</v>
      </c>
      <c r="B1105" s="9" t="s">
        <v>1407</v>
      </c>
      <c r="C1105" s="9" t="s">
        <v>1366</v>
      </c>
      <c r="D1105" s="9" t="s">
        <v>652</v>
      </c>
      <c r="E1105" s="9" t="s">
        <v>33</v>
      </c>
      <c r="F1105" s="7" t="s">
        <v>34</v>
      </c>
      <c r="G1105" s="7" t="s">
        <v>56</v>
      </c>
      <c r="H1105" s="7" t="s">
        <v>56</v>
      </c>
      <c r="I1105" s="9">
        <v>158</v>
      </c>
      <c r="J1105" s="9" t="s">
        <v>128</v>
      </c>
      <c r="K1105" s="9" t="s">
        <v>38</v>
      </c>
      <c r="L1105" s="11">
        <v>1</v>
      </c>
      <c r="M1105" s="14">
        <v>7500.0</v>
      </c>
      <c r="N1105" s="14"/>
      <c r="O1105" s="16">
        <f>IF(M1105&gt;0, N1105/M1105, 0)</f>
        <v>0</v>
      </c>
      <c r="P1105" s="14">
        <f>M1105-N1105</f>
        <v>7500</v>
      </c>
      <c r="Q1105" s="14">
        <f>L1105*M1105</f>
        <v>7500</v>
      </c>
      <c r="R1105" s="14">
        <f>L1105*N1105</f>
        <v>0</v>
      </c>
      <c r="S1105" s="14">
        <f>L1105*P1105</f>
        <v>7500</v>
      </c>
      <c r="T1105" s="14"/>
      <c r="U1105" s="14">
        <f>L1105*T1105</f>
        <v>0</v>
      </c>
      <c r="V1105" s="14">
        <f>S1105-U1105</f>
        <v>7500</v>
      </c>
      <c r="W1105" s="16">
        <f>IF(S1105&gt;0, V1105/S1105, 0)</f>
        <v>1</v>
      </c>
      <c r="X1105" s="7" t="s">
        <v>39</v>
      </c>
      <c r="Y1105" s="9" t="s">
        <v>40</v>
      </c>
      <c r="Z1105" s="9" t="s">
        <v>41</v>
      </c>
      <c r="AA1105" s="9" t="s">
        <v>42</v>
      </c>
      <c r="AB1105" s="7" t="s">
        <v>42</v>
      </c>
    </row>
    <row r="1106" spans="1:28">
      <c r="A1106" s="8">
        <v>1099</v>
      </c>
      <c r="B1106" s="8" t="s">
        <v>1408</v>
      </c>
      <c r="C1106" s="8" t="s">
        <v>1366</v>
      </c>
      <c r="D1106" s="8" t="s">
        <v>652</v>
      </c>
      <c r="E1106" s="8" t="s">
        <v>33</v>
      </c>
      <c r="F1106" s="6" t="s">
        <v>34</v>
      </c>
      <c r="G1106" s="6" t="s">
        <v>63</v>
      </c>
      <c r="H1106" s="6" t="s">
        <v>148</v>
      </c>
      <c r="I1106" s="8">
        <v>152</v>
      </c>
      <c r="J1106" s="8" t="s">
        <v>195</v>
      </c>
      <c r="K1106" s="8" t="s">
        <v>38</v>
      </c>
      <c r="L1106" s="10">
        <v>1</v>
      </c>
      <c r="M1106" s="13">
        <v>9500.0</v>
      </c>
      <c r="N1106" s="13"/>
      <c r="O1106" s="15">
        <f>IF(M1106&gt;0, N1106/M1106, 0)</f>
        <v>0</v>
      </c>
      <c r="P1106" s="13">
        <f>M1106-N1106</f>
        <v>9500</v>
      </c>
      <c r="Q1106" s="13">
        <f>L1106*M1106</f>
        <v>9500</v>
      </c>
      <c r="R1106" s="13">
        <f>L1106*N1106</f>
        <v>0</v>
      </c>
      <c r="S1106" s="13">
        <f>L1106*P1106</f>
        <v>9500</v>
      </c>
      <c r="T1106" s="13"/>
      <c r="U1106" s="13">
        <f>L1106*T1106</f>
        <v>0</v>
      </c>
      <c r="V1106" s="13">
        <f>S1106-U1106</f>
        <v>9500</v>
      </c>
      <c r="W1106" s="15">
        <f>IF(S1106&gt;0, V1106/S1106, 0)</f>
        <v>1</v>
      </c>
      <c r="X1106" s="6" t="s">
        <v>39</v>
      </c>
      <c r="Y1106" s="8" t="s">
        <v>40</v>
      </c>
      <c r="Z1106" s="8" t="s">
        <v>41</v>
      </c>
      <c r="AA1106" s="8" t="s">
        <v>42</v>
      </c>
      <c r="AB1106" s="6" t="s">
        <v>42</v>
      </c>
    </row>
    <row r="1107" spans="1:28">
      <c r="A1107" s="9">
        <v>1100</v>
      </c>
      <c r="B1107" s="9" t="s">
        <v>1409</v>
      </c>
      <c r="C1107" s="9" t="s">
        <v>1366</v>
      </c>
      <c r="D1107" s="9" t="s">
        <v>652</v>
      </c>
      <c r="E1107" s="9" t="s">
        <v>33</v>
      </c>
      <c r="F1107" s="7" t="s">
        <v>34</v>
      </c>
      <c r="G1107" s="7" t="s">
        <v>35</v>
      </c>
      <c r="H1107" s="7" t="s">
        <v>73</v>
      </c>
      <c r="I1107" s="9">
        <v>158</v>
      </c>
      <c r="J1107" s="9" t="s">
        <v>291</v>
      </c>
      <c r="K1107" s="9" t="s">
        <v>38</v>
      </c>
      <c r="L1107" s="11">
        <v>1</v>
      </c>
      <c r="M1107" s="14">
        <v>9000.0</v>
      </c>
      <c r="N1107" s="14"/>
      <c r="O1107" s="16">
        <f>IF(M1107&gt;0, N1107/M1107, 0)</f>
        <v>0</v>
      </c>
      <c r="P1107" s="14">
        <f>M1107-N1107</f>
        <v>9000</v>
      </c>
      <c r="Q1107" s="14">
        <f>L1107*M1107</f>
        <v>9000</v>
      </c>
      <c r="R1107" s="14">
        <f>L1107*N1107</f>
        <v>0</v>
      </c>
      <c r="S1107" s="14">
        <f>L1107*P1107</f>
        <v>9000</v>
      </c>
      <c r="T1107" s="14"/>
      <c r="U1107" s="14">
        <f>L1107*T1107</f>
        <v>0</v>
      </c>
      <c r="V1107" s="14">
        <f>S1107-U1107</f>
        <v>9000</v>
      </c>
      <c r="W1107" s="16">
        <f>IF(S1107&gt;0, V1107/S1107, 0)</f>
        <v>1</v>
      </c>
      <c r="X1107" s="7" t="s">
        <v>39</v>
      </c>
      <c r="Y1107" s="9" t="s">
        <v>40</v>
      </c>
      <c r="Z1107" s="9" t="s">
        <v>41</v>
      </c>
      <c r="AA1107" s="9" t="s">
        <v>42</v>
      </c>
      <c r="AB1107" s="7" t="s">
        <v>42</v>
      </c>
    </row>
    <row r="1108" spans="1:28">
      <c r="A1108" s="8">
        <v>1101</v>
      </c>
      <c r="B1108" s="8" t="s">
        <v>1410</v>
      </c>
      <c r="C1108" s="8" t="s">
        <v>1366</v>
      </c>
      <c r="D1108" s="8" t="s">
        <v>652</v>
      </c>
      <c r="E1108" s="8" t="s">
        <v>33</v>
      </c>
      <c r="F1108" s="6" t="s">
        <v>34</v>
      </c>
      <c r="G1108" s="6" t="s">
        <v>35</v>
      </c>
      <c r="H1108" s="6" t="s">
        <v>36</v>
      </c>
      <c r="I1108" s="8">
        <v>158</v>
      </c>
      <c r="J1108" s="8" t="s">
        <v>37</v>
      </c>
      <c r="K1108" s="8" t="s">
        <v>38</v>
      </c>
      <c r="L1108" s="10">
        <v>2</v>
      </c>
      <c r="M1108" s="13">
        <v>8000.0</v>
      </c>
      <c r="N1108" s="13"/>
      <c r="O1108" s="15">
        <f>IF(M1108&gt;0, N1108/M1108, 0)</f>
        <v>0</v>
      </c>
      <c r="P1108" s="13">
        <f>M1108-N1108</f>
        <v>8000</v>
      </c>
      <c r="Q1108" s="13">
        <f>L1108*M1108</f>
        <v>16000</v>
      </c>
      <c r="R1108" s="13">
        <f>L1108*N1108</f>
        <v>0</v>
      </c>
      <c r="S1108" s="13">
        <f>L1108*P1108</f>
        <v>16000</v>
      </c>
      <c r="T1108" s="13"/>
      <c r="U1108" s="13">
        <f>L1108*T1108</f>
        <v>0</v>
      </c>
      <c r="V1108" s="13">
        <f>S1108-U1108</f>
        <v>16000</v>
      </c>
      <c r="W1108" s="15">
        <f>IF(S1108&gt;0, V1108/S1108, 0)</f>
        <v>1</v>
      </c>
      <c r="X1108" s="6" t="s">
        <v>39</v>
      </c>
      <c r="Y1108" s="8" t="s">
        <v>40</v>
      </c>
      <c r="Z1108" s="8" t="s">
        <v>41</v>
      </c>
      <c r="AA1108" s="8" t="s">
        <v>42</v>
      </c>
      <c r="AB1108" s="6" t="s">
        <v>42</v>
      </c>
    </row>
    <row r="1109" spans="1:28">
      <c r="A1109" s="9">
        <v>1102</v>
      </c>
      <c r="B1109" s="9" t="s">
        <v>1411</v>
      </c>
      <c r="C1109" s="9" t="s">
        <v>1366</v>
      </c>
      <c r="D1109" s="9" t="s">
        <v>652</v>
      </c>
      <c r="E1109" s="9" t="s">
        <v>33</v>
      </c>
      <c r="F1109" s="7" t="s">
        <v>50</v>
      </c>
      <c r="G1109" s="7" t="s">
        <v>69</v>
      </c>
      <c r="H1109" s="7" t="s">
        <v>69</v>
      </c>
      <c r="I1109" s="9">
        <v>158</v>
      </c>
      <c r="J1109" s="9" t="s">
        <v>108</v>
      </c>
      <c r="K1109" s="9" t="s">
        <v>38</v>
      </c>
      <c r="L1109" s="11">
        <v>1</v>
      </c>
      <c r="M1109" s="14">
        <v>17000.0</v>
      </c>
      <c r="N1109" s="14"/>
      <c r="O1109" s="16">
        <f>IF(M1109&gt;0, N1109/M1109, 0)</f>
        <v>0</v>
      </c>
      <c r="P1109" s="14">
        <f>M1109-N1109</f>
        <v>17000</v>
      </c>
      <c r="Q1109" s="14">
        <f>L1109*M1109</f>
        <v>17000</v>
      </c>
      <c r="R1109" s="14">
        <f>L1109*N1109</f>
        <v>0</v>
      </c>
      <c r="S1109" s="14">
        <f>L1109*P1109</f>
        <v>17000</v>
      </c>
      <c r="T1109" s="14"/>
      <c r="U1109" s="14">
        <f>L1109*T1109</f>
        <v>0</v>
      </c>
      <c r="V1109" s="14">
        <f>S1109-U1109</f>
        <v>17000</v>
      </c>
      <c r="W1109" s="16">
        <f>IF(S1109&gt;0, V1109/S1109, 0)</f>
        <v>1</v>
      </c>
      <c r="X1109" s="7" t="s">
        <v>39</v>
      </c>
      <c r="Y1109" s="9" t="s">
        <v>40</v>
      </c>
      <c r="Z1109" s="9" t="s">
        <v>41</v>
      </c>
      <c r="AA1109" s="9" t="s">
        <v>42</v>
      </c>
      <c r="AB1109" s="7" t="s">
        <v>42</v>
      </c>
    </row>
    <row r="1110" spans="1:28">
      <c r="A1110" s="8">
        <v>1103</v>
      </c>
      <c r="B1110" s="8" t="s">
        <v>1412</v>
      </c>
      <c r="C1110" s="8" t="s">
        <v>1366</v>
      </c>
      <c r="D1110" s="8" t="s">
        <v>652</v>
      </c>
      <c r="E1110" s="8" t="s">
        <v>33</v>
      </c>
      <c r="F1110" s="6" t="s">
        <v>50</v>
      </c>
      <c r="G1110" s="6" t="s">
        <v>51</v>
      </c>
      <c r="H1110" s="6" t="s">
        <v>51</v>
      </c>
      <c r="I1110" s="8">
        <v>158</v>
      </c>
      <c r="J1110" s="8" t="s">
        <v>125</v>
      </c>
      <c r="K1110" s="8" t="s">
        <v>53</v>
      </c>
      <c r="L1110" s="10">
        <v>1</v>
      </c>
      <c r="M1110" s="13">
        <v>8000.0</v>
      </c>
      <c r="N1110" s="13"/>
      <c r="O1110" s="15">
        <f>IF(M1110&gt;0, N1110/M1110, 0)</f>
        <v>0</v>
      </c>
      <c r="P1110" s="13">
        <f>M1110-N1110</f>
        <v>8000</v>
      </c>
      <c r="Q1110" s="13">
        <f>L1110*M1110</f>
        <v>8000</v>
      </c>
      <c r="R1110" s="13">
        <f>L1110*N1110</f>
        <v>0</v>
      </c>
      <c r="S1110" s="13">
        <f>L1110*P1110</f>
        <v>8000</v>
      </c>
      <c r="T1110" s="13"/>
      <c r="U1110" s="13">
        <f>L1110*T1110</f>
        <v>0</v>
      </c>
      <c r="V1110" s="13">
        <f>S1110-U1110</f>
        <v>8000</v>
      </c>
      <c r="W1110" s="15">
        <f>IF(S1110&gt;0, V1110/S1110, 0)</f>
        <v>1</v>
      </c>
      <c r="X1110" s="6" t="s">
        <v>39</v>
      </c>
      <c r="Y1110" s="8" t="s">
        <v>40</v>
      </c>
      <c r="Z1110" s="8" t="s">
        <v>41</v>
      </c>
      <c r="AA1110" s="8" t="s">
        <v>42</v>
      </c>
      <c r="AB1110" s="6" t="s">
        <v>42</v>
      </c>
    </row>
    <row r="1111" spans="1:28">
      <c r="A1111" s="9">
        <v>1104</v>
      </c>
      <c r="B1111" s="9" t="s">
        <v>1413</v>
      </c>
      <c r="C1111" s="9" t="s">
        <v>1366</v>
      </c>
      <c r="D1111" s="9" t="s">
        <v>652</v>
      </c>
      <c r="E1111" s="9" t="s">
        <v>33</v>
      </c>
      <c r="F1111" s="7" t="s">
        <v>50</v>
      </c>
      <c r="G1111" s="7" t="s">
        <v>56</v>
      </c>
      <c r="H1111" s="7" t="s">
        <v>56</v>
      </c>
      <c r="I1111" s="9">
        <v>152</v>
      </c>
      <c r="J1111" s="9" t="s">
        <v>311</v>
      </c>
      <c r="K1111" s="9" t="s">
        <v>38</v>
      </c>
      <c r="L1111" s="11">
        <v>1</v>
      </c>
      <c r="M1111" s="14">
        <v>7000.0</v>
      </c>
      <c r="N1111" s="14"/>
      <c r="O1111" s="16">
        <f>IF(M1111&gt;0, N1111/M1111, 0)</f>
        <v>0</v>
      </c>
      <c r="P1111" s="14">
        <f>M1111-N1111</f>
        <v>7000</v>
      </c>
      <c r="Q1111" s="14">
        <f>L1111*M1111</f>
        <v>7000</v>
      </c>
      <c r="R1111" s="14">
        <f>L1111*N1111</f>
        <v>0</v>
      </c>
      <c r="S1111" s="14">
        <f>L1111*P1111</f>
        <v>7000</v>
      </c>
      <c r="T1111" s="14"/>
      <c r="U1111" s="14">
        <f>L1111*T1111</f>
        <v>0</v>
      </c>
      <c r="V1111" s="14">
        <f>S1111-U1111</f>
        <v>7000</v>
      </c>
      <c r="W1111" s="16">
        <f>IF(S1111&gt;0, V1111/S1111, 0)</f>
        <v>1</v>
      </c>
      <c r="X1111" s="7" t="s">
        <v>39</v>
      </c>
      <c r="Y1111" s="9" t="s">
        <v>40</v>
      </c>
      <c r="Z1111" s="9" t="s">
        <v>41</v>
      </c>
      <c r="AA1111" s="9" t="s">
        <v>42</v>
      </c>
      <c r="AB1111" s="7" t="s">
        <v>42</v>
      </c>
    </row>
    <row r="1112" spans="1:28">
      <c r="A1112" s="8">
        <v>1105</v>
      </c>
      <c r="B1112" s="8" t="s">
        <v>1414</v>
      </c>
      <c r="C1112" s="8" t="s">
        <v>1366</v>
      </c>
      <c r="D1112" s="8" t="s">
        <v>652</v>
      </c>
      <c r="E1112" s="8" t="s">
        <v>33</v>
      </c>
      <c r="F1112" s="6" t="s">
        <v>50</v>
      </c>
      <c r="G1112" s="6" t="s">
        <v>35</v>
      </c>
      <c r="H1112" s="6" t="s">
        <v>36</v>
      </c>
      <c r="I1112" s="8">
        <v>158</v>
      </c>
      <c r="J1112" s="8" t="s">
        <v>130</v>
      </c>
      <c r="K1112" s="8" t="s">
        <v>53</v>
      </c>
      <c r="L1112" s="10">
        <v>1</v>
      </c>
      <c r="M1112" s="13">
        <v>7000.0</v>
      </c>
      <c r="N1112" s="13"/>
      <c r="O1112" s="15">
        <f>IF(M1112&gt;0, N1112/M1112, 0)</f>
        <v>0</v>
      </c>
      <c r="P1112" s="13">
        <f>M1112-N1112</f>
        <v>7000</v>
      </c>
      <c r="Q1112" s="13">
        <f>L1112*M1112</f>
        <v>7000</v>
      </c>
      <c r="R1112" s="13">
        <f>L1112*N1112</f>
        <v>0</v>
      </c>
      <c r="S1112" s="13">
        <f>L1112*P1112</f>
        <v>7000</v>
      </c>
      <c r="T1112" s="13"/>
      <c r="U1112" s="13">
        <f>L1112*T1112</f>
        <v>0</v>
      </c>
      <c r="V1112" s="13">
        <f>S1112-U1112</f>
        <v>7000</v>
      </c>
      <c r="W1112" s="15">
        <f>IF(S1112&gt;0, V1112/S1112, 0)</f>
        <v>1</v>
      </c>
      <c r="X1112" s="6" t="s">
        <v>39</v>
      </c>
      <c r="Y1112" s="8" t="s">
        <v>40</v>
      </c>
      <c r="Z1112" s="8" t="s">
        <v>41</v>
      </c>
      <c r="AA1112" s="8" t="s">
        <v>42</v>
      </c>
      <c r="AB1112" s="6" t="s">
        <v>42</v>
      </c>
    </row>
    <row r="1113" spans="1:28">
      <c r="A1113" s="9">
        <v>1106</v>
      </c>
      <c r="B1113" s="9" t="s">
        <v>1415</v>
      </c>
      <c r="C1113" s="9" t="s">
        <v>1366</v>
      </c>
      <c r="D1113" s="9" t="s">
        <v>652</v>
      </c>
      <c r="E1113" s="9" t="s">
        <v>33</v>
      </c>
      <c r="F1113" s="7" t="s">
        <v>50</v>
      </c>
      <c r="G1113" s="7" t="s">
        <v>56</v>
      </c>
      <c r="H1113" s="7" t="s">
        <v>56</v>
      </c>
      <c r="I1113" s="9">
        <v>158</v>
      </c>
      <c r="J1113" s="9" t="s">
        <v>791</v>
      </c>
      <c r="K1113" s="9" t="s">
        <v>38</v>
      </c>
      <c r="L1113" s="11">
        <v>1</v>
      </c>
      <c r="M1113" s="14">
        <v>9000.0</v>
      </c>
      <c r="N1113" s="14"/>
      <c r="O1113" s="16">
        <f>IF(M1113&gt;0, N1113/M1113, 0)</f>
        <v>0</v>
      </c>
      <c r="P1113" s="14">
        <f>M1113-N1113</f>
        <v>9000</v>
      </c>
      <c r="Q1113" s="14">
        <f>L1113*M1113</f>
        <v>9000</v>
      </c>
      <c r="R1113" s="14">
        <f>L1113*N1113</f>
        <v>0</v>
      </c>
      <c r="S1113" s="14">
        <f>L1113*P1113</f>
        <v>9000</v>
      </c>
      <c r="T1113" s="14"/>
      <c r="U1113" s="14">
        <f>L1113*T1113</f>
        <v>0</v>
      </c>
      <c r="V1113" s="14">
        <f>S1113-U1113</f>
        <v>9000</v>
      </c>
      <c r="W1113" s="16">
        <f>IF(S1113&gt;0, V1113/S1113, 0)</f>
        <v>1</v>
      </c>
      <c r="X1113" s="7" t="s">
        <v>39</v>
      </c>
      <c r="Y1113" s="9" t="s">
        <v>40</v>
      </c>
      <c r="Z1113" s="9" t="s">
        <v>41</v>
      </c>
      <c r="AA1113" s="9" t="s">
        <v>42</v>
      </c>
      <c r="AB1113" s="7" t="s">
        <v>42</v>
      </c>
    </row>
    <row r="1114" spans="1:28">
      <c r="A1114" s="8">
        <v>1107</v>
      </c>
      <c r="B1114" s="8" t="s">
        <v>1416</v>
      </c>
      <c r="C1114" s="8" t="s">
        <v>1366</v>
      </c>
      <c r="D1114" s="8" t="s">
        <v>652</v>
      </c>
      <c r="E1114" s="8" t="s">
        <v>33</v>
      </c>
      <c r="F1114" s="6" t="s">
        <v>50</v>
      </c>
      <c r="G1114" s="6" t="s">
        <v>35</v>
      </c>
      <c r="H1114" s="6" t="s">
        <v>36</v>
      </c>
      <c r="I1114" s="8">
        <v>158</v>
      </c>
      <c r="J1114" s="8" t="s">
        <v>130</v>
      </c>
      <c r="K1114" s="8" t="s">
        <v>53</v>
      </c>
      <c r="L1114" s="10">
        <v>1</v>
      </c>
      <c r="M1114" s="13">
        <v>7000.0</v>
      </c>
      <c r="N1114" s="13"/>
      <c r="O1114" s="15">
        <f>IF(M1114&gt;0, N1114/M1114, 0)</f>
        <v>0</v>
      </c>
      <c r="P1114" s="13">
        <f>M1114-N1114</f>
        <v>7000</v>
      </c>
      <c r="Q1114" s="13">
        <f>L1114*M1114</f>
        <v>7000</v>
      </c>
      <c r="R1114" s="13">
        <f>L1114*N1114</f>
        <v>0</v>
      </c>
      <c r="S1114" s="13">
        <f>L1114*P1114</f>
        <v>7000</v>
      </c>
      <c r="T1114" s="13"/>
      <c r="U1114" s="13">
        <f>L1114*T1114</f>
        <v>0</v>
      </c>
      <c r="V1114" s="13">
        <f>S1114-U1114</f>
        <v>7000</v>
      </c>
      <c r="W1114" s="15">
        <f>IF(S1114&gt;0, V1114/S1114, 0)</f>
        <v>1</v>
      </c>
      <c r="X1114" s="6" t="s">
        <v>39</v>
      </c>
      <c r="Y1114" s="8" t="s">
        <v>40</v>
      </c>
      <c r="Z1114" s="8" t="s">
        <v>41</v>
      </c>
      <c r="AA1114" s="8" t="s">
        <v>42</v>
      </c>
      <c r="AB1114" s="6" t="s">
        <v>42</v>
      </c>
    </row>
    <row r="1115" spans="1:28">
      <c r="A1115" s="9">
        <v>1108</v>
      </c>
      <c r="B1115" s="9" t="s">
        <v>1417</v>
      </c>
      <c r="C1115" s="9" t="s">
        <v>1366</v>
      </c>
      <c r="D1115" s="9" t="s">
        <v>652</v>
      </c>
      <c r="E1115" s="9" t="s">
        <v>33</v>
      </c>
      <c r="F1115" s="7" t="s">
        <v>50</v>
      </c>
      <c r="G1115" s="7" t="s">
        <v>63</v>
      </c>
      <c r="H1115" s="7" t="s">
        <v>148</v>
      </c>
      <c r="I1115" s="9">
        <v>158</v>
      </c>
      <c r="J1115" s="9" t="s">
        <v>434</v>
      </c>
      <c r="K1115" s="9" t="s">
        <v>38</v>
      </c>
      <c r="L1115" s="11">
        <v>1</v>
      </c>
      <c r="M1115" s="14">
        <v>9000.0</v>
      </c>
      <c r="N1115" s="14"/>
      <c r="O1115" s="16">
        <f>IF(M1115&gt;0, N1115/M1115, 0)</f>
        <v>0</v>
      </c>
      <c r="P1115" s="14">
        <f>M1115-N1115</f>
        <v>9000</v>
      </c>
      <c r="Q1115" s="14">
        <f>L1115*M1115</f>
        <v>9000</v>
      </c>
      <c r="R1115" s="14">
        <f>L1115*N1115</f>
        <v>0</v>
      </c>
      <c r="S1115" s="14">
        <f>L1115*P1115</f>
        <v>9000</v>
      </c>
      <c r="T1115" s="14"/>
      <c r="U1115" s="14">
        <f>L1115*T1115</f>
        <v>0</v>
      </c>
      <c r="V1115" s="14">
        <f>S1115-U1115</f>
        <v>9000</v>
      </c>
      <c r="W1115" s="16">
        <f>IF(S1115&gt;0, V1115/S1115, 0)</f>
        <v>1</v>
      </c>
      <c r="X1115" s="7" t="s">
        <v>39</v>
      </c>
      <c r="Y1115" s="9" t="s">
        <v>40</v>
      </c>
      <c r="Z1115" s="9" t="s">
        <v>41</v>
      </c>
      <c r="AA1115" s="9" t="s">
        <v>42</v>
      </c>
      <c r="AB1115" s="7" t="s">
        <v>42</v>
      </c>
    </row>
    <row r="1116" spans="1:28">
      <c r="A1116" s="8">
        <v>1109</v>
      </c>
      <c r="B1116" s="8" t="s">
        <v>1418</v>
      </c>
      <c r="C1116" s="8" t="s">
        <v>1366</v>
      </c>
      <c r="D1116" s="8" t="s">
        <v>652</v>
      </c>
      <c r="E1116" s="8" t="s">
        <v>33</v>
      </c>
      <c r="F1116" s="6" t="s">
        <v>50</v>
      </c>
      <c r="G1116" s="6" t="s">
        <v>69</v>
      </c>
      <c r="H1116" s="6" t="s">
        <v>69</v>
      </c>
      <c r="I1116" s="8">
        <v>140</v>
      </c>
      <c r="J1116" s="8" t="s">
        <v>225</v>
      </c>
      <c r="K1116" s="8" t="s">
        <v>38</v>
      </c>
      <c r="L1116" s="10">
        <v>1</v>
      </c>
      <c r="M1116" s="13">
        <v>16000.0</v>
      </c>
      <c r="N1116" s="13"/>
      <c r="O1116" s="15">
        <f>IF(M1116&gt;0, N1116/M1116, 0)</f>
        <v>0</v>
      </c>
      <c r="P1116" s="13">
        <f>M1116-N1116</f>
        <v>16000</v>
      </c>
      <c r="Q1116" s="13">
        <f>L1116*M1116</f>
        <v>16000</v>
      </c>
      <c r="R1116" s="13">
        <f>L1116*N1116</f>
        <v>0</v>
      </c>
      <c r="S1116" s="13">
        <f>L1116*P1116</f>
        <v>16000</v>
      </c>
      <c r="T1116" s="13"/>
      <c r="U1116" s="13">
        <f>L1116*T1116</f>
        <v>0</v>
      </c>
      <c r="V1116" s="13">
        <f>S1116-U1116</f>
        <v>16000</v>
      </c>
      <c r="W1116" s="15">
        <f>IF(S1116&gt;0, V1116/S1116, 0)</f>
        <v>1</v>
      </c>
      <c r="X1116" s="6" t="s">
        <v>39</v>
      </c>
      <c r="Y1116" s="8" t="s">
        <v>40</v>
      </c>
      <c r="Z1116" s="8" t="s">
        <v>41</v>
      </c>
      <c r="AA1116" s="8" t="s">
        <v>42</v>
      </c>
      <c r="AB1116" s="6" t="s">
        <v>42</v>
      </c>
    </row>
    <row r="1117" spans="1:28">
      <c r="A1117" s="9">
        <v>1110</v>
      </c>
      <c r="B1117" s="9" t="s">
        <v>1419</v>
      </c>
      <c r="C1117" s="9" t="s">
        <v>1366</v>
      </c>
      <c r="D1117" s="9" t="s">
        <v>652</v>
      </c>
      <c r="E1117" s="9" t="s">
        <v>33</v>
      </c>
      <c r="F1117" s="7" t="s">
        <v>50</v>
      </c>
      <c r="G1117" s="7" t="s">
        <v>35</v>
      </c>
      <c r="H1117" s="7" t="s">
        <v>36</v>
      </c>
      <c r="I1117" s="9">
        <v>134</v>
      </c>
      <c r="J1117" s="9" t="s">
        <v>177</v>
      </c>
      <c r="K1117" s="9" t="s">
        <v>53</v>
      </c>
      <c r="L1117" s="11">
        <v>1</v>
      </c>
      <c r="M1117" s="14">
        <v>7000.0</v>
      </c>
      <c r="N1117" s="14"/>
      <c r="O1117" s="16">
        <f>IF(M1117&gt;0, N1117/M1117, 0)</f>
        <v>0</v>
      </c>
      <c r="P1117" s="14">
        <f>M1117-N1117</f>
        <v>7000</v>
      </c>
      <c r="Q1117" s="14">
        <f>L1117*M1117</f>
        <v>7000</v>
      </c>
      <c r="R1117" s="14">
        <f>L1117*N1117</f>
        <v>0</v>
      </c>
      <c r="S1117" s="14">
        <f>L1117*P1117</f>
        <v>7000</v>
      </c>
      <c r="T1117" s="14"/>
      <c r="U1117" s="14">
        <f>L1117*T1117</f>
        <v>0</v>
      </c>
      <c r="V1117" s="14">
        <f>S1117-U1117</f>
        <v>7000</v>
      </c>
      <c r="W1117" s="16">
        <f>IF(S1117&gt;0, V1117/S1117, 0)</f>
        <v>1</v>
      </c>
      <c r="X1117" s="7" t="s">
        <v>39</v>
      </c>
      <c r="Y1117" s="9" t="s">
        <v>40</v>
      </c>
      <c r="Z1117" s="9" t="s">
        <v>41</v>
      </c>
      <c r="AA1117" s="9" t="s">
        <v>42</v>
      </c>
      <c r="AB1117" s="7" t="s">
        <v>42</v>
      </c>
    </row>
    <row r="1118" spans="1:28">
      <c r="A1118" s="8">
        <v>1111</v>
      </c>
      <c r="B1118" s="8" t="s">
        <v>1420</v>
      </c>
      <c r="C1118" s="8" t="s">
        <v>1366</v>
      </c>
      <c r="D1118" s="8" t="s">
        <v>652</v>
      </c>
      <c r="E1118" s="8" t="s">
        <v>33</v>
      </c>
      <c r="F1118" s="6" t="s">
        <v>50</v>
      </c>
      <c r="G1118" s="6" t="s">
        <v>51</v>
      </c>
      <c r="H1118" s="6" t="s">
        <v>51</v>
      </c>
      <c r="I1118" s="8">
        <v>134</v>
      </c>
      <c r="J1118" s="8" t="s">
        <v>175</v>
      </c>
      <c r="K1118" s="8" t="s">
        <v>53</v>
      </c>
      <c r="L1118" s="10">
        <v>1</v>
      </c>
      <c r="M1118" s="13">
        <v>8000.0</v>
      </c>
      <c r="N1118" s="13"/>
      <c r="O1118" s="15">
        <f>IF(M1118&gt;0, N1118/M1118, 0)</f>
        <v>0</v>
      </c>
      <c r="P1118" s="13">
        <f>M1118-N1118</f>
        <v>8000</v>
      </c>
      <c r="Q1118" s="13">
        <f>L1118*M1118</f>
        <v>8000</v>
      </c>
      <c r="R1118" s="13">
        <f>L1118*N1118</f>
        <v>0</v>
      </c>
      <c r="S1118" s="13">
        <f>L1118*P1118</f>
        <v>8000</v>
      </c>
      <c r="T1118" s="13"/>
      <c r="U1118" s="13">
        <f>L1118*T1118</f>
        <v>0</v>
      </c>
      <c r="V1118" s="13">
        <f>S1118-U1118</f>
        <v>8000</v>
      </c>
      <c r="W1118" s="15">
        <f>IF(S1118&gt;0, V1118/S1118, 0)</f>
        <v>1</v>
      </c>
      <c r="X1118" s="6" t="s">
        <v>39</v>
      </c>
      <c r="Y1118" s="8" t="s">
        <v>40</v>
      </c>
      <c r="Z1118" s="8" t="s">
        <v>41</v>
      </c>
      <c r="AA1118" s="8" t="s">
        <v>42</v>
      </c>
      <c r="AB1118" s="6" t="s">
        <v>42</v>
      </c>
    </row>
    <row r="1119" spans="1:28">
      <c r="A1119" s="9">
        <v>1112</v>
      </c>
      <c r="B1119" s="9" t="s">
        <v>1421</v>
      </c>
      <c r="C1119" s="9" t="s">
        <v>1366</v>
      </c>
      <c r="D1119" s="9" t="s">
        <v>652</v>
      </c>
      <c r="E1119" s="9" t="s">
        <v>33</v>
      </c>
      <c r="F1119" s="7" t="s">
        <v>50</v>
      </c>
      <c r="G1119" s="7" t="s">
        <v>35</v>
      </c>
      <c r="H1119" s="7" t="s">
        <v>36</v>
      </c>
      <c r="I1119" s="9">
        <v>128</v>
      </c>
      <c r="J1119" s="9" t="s">
        <v>156</v>
      </c>
      <c r="K1119" s="9" t="s">
        <v>53</v>
      </c>
      <c r="L1119" s="11">
        <v>1</v>
      </c>
      <c r="M1119" s="14">
        <v>7000.0</v>
      </c>
      <c r="N1119" s="14"/>
      <c r="O1119" s="16">
        <f>IF(M1119&gt;0, N1119/M1119, 0)</f>
        <v>0</v>
      </c>
      <c r="P1119" s="14">
        <f>M1119-N1119</f>
        <v>7000</v>
      </c>
      <c r="Q1119" s="14">
        <f>L1119*M1119</f>
        <v>7000</v>
      </c>
      <c r="R1119" s="14">
        <f>L1119*N1119</f>
        <v>0</v>
      </c>
      <c r="S1119" s="14">
        <f>L1119*P1119</f>
        <v>7000</v>
      </c>
      <c r="T1119" s="14"/>
      <c r="U1119" s="14">
        <f>L1119*T1119</f>
        <v>0</v>
      </c>
      <c r="V1119" s="14">
        <f>S1119-U1119</f>
        <v>7000</v>
      </c>
      <c r="W1119" s="16">
        <f>IF(S1119&gt;0, V1119/S1119, 0)</f>
        <v>1</v>
      </c>
      <c r="X1119" s="7" t="s">
        <v>39</v>
      </c>
      <c r="Y1119" s="9" t="s">
        <v>40</v>
      </c>
      <c r="Z1119" s="9" t="s">
        <v>41</v>
      </c>
      <c r="AA1119" s="9" t="s">
        <v>42</v>
      </c>
      <c r="AB1119" s="7" t="s">
        <v>42</v>
      </c>
    </row>
    <row r="1120" spans="1:28">
      <c r="A1120" s="8">
        <v>1113</v>
      </c>
      <c r="B1120" s="8" t="s">
        <v>1422</v>
      </c>
      <c r="C1120" s="8" t="s">
        <v>1366</v>
      </c>
      <c r="D1120" s="8" t="s">
        <v>652</v>
      </c>
      <c r="E1120" s="8" t="s">
        <v>33</v>
      </c>
      <c r="F1120" s="6" t="s">
        <v>50</v>
      </c>
      <c r="G1120" s="6" t="s">
        <v>63</v>
      </c>
      <c r="H1120" s="6" t="s">
        <v>148</v>
      </c>
      <c r="I1120" s="8">
        <v>122</v>
      </c>
      <c r="J1120" s="8" t="s">
        <v>241</v>
      </c>
      <c r="K1120" s="8" t="s">
        <v>38</v>
      </c>
      <c r="L1120" s="10">
        <v>1</v>
      </c>
      <c r="M1120" s="13">
        <v>9000.0</v>
      </c>
      <c r="N1120" s="13"/>
      <c r="O1120" s="15">
        <f>IF(M1120&gt;0, N1120/M1120, 0)</f>
        <v>0</v>
      </c>
      <c r="P1120" s="13">
        <f>M1120-N1120</f>
        <v>9000</v>
      </c>
      <c r="Q1120" s="13">
        <f>L1120*M1120</f>
        <v>9000</v>
      </c>
      <c r="R1120" s="13">
        <f>L1120*N1120</f>
        <v>0</v>
      </c>
      <c r="S1120" s="13">
        <f>L1120*P1120</f>
        <v>9000</v>
      </c>
      <c r="T1120" s="13"/>
      <c r="U1120" s="13">
        <f>L1120*T1120</f>
        <v>0</v>
      </c>
      <c r="V1120" s="13">
        <f>S1120-U1120</f>
        <v>9000</v>
      </c>
      <c r="W1120" s="15">
        <f>IF(S1120&gt;0, V1120/S1120, 0)</f>
        <v>1</v>
      </c>
      <c r="X1120" s="6" t="s">
        <v>39</v>
      </c>
      <c r="Y1120" s="8" t="s">
        <v>40</v>
      </c>
      <c r="Z1120" s="8" t="s">
        <v>41</v>
      </c>
      <c r="AA1120" s="8" t="s">
        <v>42</v>
      </c>
      <c r="AB1120" s="6" t="s">
        <v>42</v>
      </c>
    </row>
    <row r="1121" spans="1:28">
      <c r="A1121" s="9">
        <v>1114</v>
      </c>
      <c r="B1121" s="9" t="s">
        <v>1423</v>
      </c>
      <c r="C1121" s="9" t="s">
        <v>1366</v>
      </c>
      <c r="D1121" s="9" t="s">
        <v>652</v>
      </c>
      <c r="E1121" s="9" t="s">
        <v>33</v>
      </c>
      <c r="F1121" s="7" t="s">
        <v>50</v>
      </c>
      <c r="G1121" s="7" t="s">
        <v>69</v>
      </c>
      <c r="H1121" s="7" t="s">
        <v>69</v>
      </c>
      <c r="I1121" s="9">
        <v>128</v>
      </c>
      <c r="J1121" s="9" t="s">
        <v>110</v>
      </c>
      <c r="K1121" s="9" t="s">
        <v>38</v>
      </c>
      <c r="L1121" s="11">
        <v>1</v>
      </c>
      <c r="M1121" s="14">
        <v>16500.0</v>
      </c>
      <c r="N1121" s="14"/>
      <c r="O1121" s="16">
        <f>IF(M1121&gt;0, N1121/M1121, 0)</f>
        <v>0</v>
      </c>
      <c r="P1121" s="14">
        <f>M1121-N1121</f>
        <v>16500</v>
      </c>
      <c r="Q1121" s="14">
        <f>L1121*M1121</f>
        <v>16500</v>
      </c>
      <c r="R1121" s="14">
        <f>L1121*N1121</f>
        <v>0</v>
      </c>
      <c r="S1121" s="14">
        <f>L1121*P1121</f>
        <v>16500</v>
      </c>
      <c r="T1121" s="14"/>
      <c r="U1121" s="14">
        <f>L1121*T1121</f>
        <v>0</v>
      </c>
      <c r="V1121" s="14">
        <f>S1121-U1121</f>
        <v>16500</v>
      </c>
      <c r="W1121" s="16">
        <f>IF(S1121&gt;0, V1121/S1121, 0)</f>
        <v>1</v>
      </c>
      <c r="X1121" s="7" t="s">
        <v>39</v>
      </c>
      <c r="Y1121" s="9" t="s">
        <v>40</v>
      </c>
      <c r="Z1121" s="9" t="s">
        <v>41</v>
      </c>
      <c r="AA1121" s="9" t="s">
        <v>42</v>
      </c>
      <c r="AB1121" s="7" t="s">
        <v>42</v>
      </c>
    </row>
    <row r="1122" spans="1:28">
      <c r="A1122" s="8">
        <v>1115</v>
      </c>
      <c r="B1122" s="8" t="s">
        <v>1424</v>
      </c>
      <c r="C1122" s="8" t="s">
        <v>1366</v>
      </c>
      <c r="D1122" s="8" t="s">
        <v>652</v>
      </c>
      <c r="E1122" s="8" t="s">
        <v>33</v>
      </c>
      <c r="F1122" s="6" t="s">
        <v>50</v>
      </c>
      <c r="G1122" s="6" t="s">
        <v>51</v>
      </c>
      <c r="H1122" s="6" t="s">
        <v>51</v>
      </c>
      <c r="I1122" s="8">
        <v>128</v>
      </c>
      <c r="J1122" s="8" t="s">
        <v>390</v>
      </c>
      <c r="K1122" s="8" t="s">
        <v>53</v>
      </c>
      <c r="L1122" s="10">
        <v>1</v>
      </c>
      <c r="M1122" s="13">
        <v>8000.0</v>
      </c>
      <c r="N1122" s="13"/>
      <c r="O1122" s="15">
        <f>IF(M1122&gt;0, N1122/M1122, 0)</f>
        <v>0</v>
      </c>
      <c r="P1122" s="13">
        <f>M1122-N1122</f>
        <v>8000</v>
      </c>
      <c r="Q1122" s="13">
        <f>L1122*M1122</f>
        <v>8000</v>
      </c>
      <c r="R1122" s="13">
        <f>L1122*N1122</f>
        <v>0</v>
      </c>
      <c r="S1122" s="13">
        <f>L1122*P1122</f>
        <v>8000</v>
      </c>
      <c r="T1122" s="13"/>
      <c r="U1122" s="13">
        <f>L1122*T1122</f>
        <v>0</v>
      </c>
      <c r="V1122" s="13">
        <f>S1122-U1122</f>
        <v>8000</v>
      </c>
      <c r="W1122" s="15">
        <f>IF(S1122&gt;0, V1122/S1122, 0)</f>
        <v>1</v>
      </c>
      <c r="X1122" s="6" t="s">
        <v>39</v>
      </c>
      <c r="Y1122" s="8" t="s">
        <v>40</v>
      </c>
      <c r="Z1122" s="8" t="s">
        <v>41</v>
      </c>
      <c r="AA1122" s="8" t="s">
        <v>42</v>
      </c>
      <c r="AB1122" s="6" t="s">
        <v>42</v>
      </c>
    </row>
    <row r="1123" spans="1:28">
      <c r="A1123" s="9">
        <v>1116</v>
      </c>
      <c r="B1123" s="9" t="s">
        <v>1425</v>
      </c>
      <c r="C1123" s="9" t="s">
        <v>1366</v>
      </c>
      <c r="D1123" s="9" t="s">
        <v>652</v>
      </c>
      <c r="E1123" s="9" t="s">
        <v>33</v>
      </c>
      <c r="F1123" s="7" t="s">
        <v>34</v>
      </c>
      <c r="G1123" s="7" t="s">
        <v>56</v>
      </c>
      <c r="H1123" s="7" t="s">
        <v>56</v>
      </c>
      <c r="I1123" s="9">
        <v>170</v>
      </c>
      <c r="J1123" s="9" t="s">
        <v>212</v>
      </c>
      <c r="K1123" s="9" t="s">
        <v>38</v>
      </c>
      <c r="L1123" s="11">
        <v>1</v>
      </c>
      <c r="M1123" s="14">
        <v>7500.0</v>
      </c>
      <c r="N1123" s="14"/>
      <c r="O1123" s="16">
        <f>IF(M1123&gt;0, N1123/M1123, 0)</f>
        <v>0</v>
      </c>
      <c r="P1123" s="14">
        <f>M1123-N1123</f>
        <v>7500</v>
      </c>
      <c r="Q1123" s="14">
        <f>L1123*M1123</f>
        <v>7500</v>
      </c>
      <c r="R1123" s="14">
        <f>L1123*N1123</f>
        <v>0</v>
      </c>
      <c r="S1123" s="14">
        <f>L1123*P1123</f>
        <v>7500</v>
      </c>
      <c r="T1123" s="14"/>
      <c r="U1123" s="14">
        <f>L1123*T1123</f>
        <v>0</v>
      </c>
      <c r="V1123" s="14">
        <f>S1123-U1123</f>
        <v>7500</v>
      </c>
      <c r="W1123" s="16">
        <f>IF(S1123&gt;0, V1123/S1123, 0)</f>
        <v>1</v>
      </c>
      <c r="X1123" s="7" t="s">
        <v>39</v>
      </c>
      <c r="Y1123" s="9" t="s">
        <v>40</v>
      </c>
      <c r="Z1123" s="9" t="s">
        <v>41</v>
      </c>
      <c r="AA1123" s="9" t="s">
        <v>42</v>
      </c>
      <c r="AB1123" s="7" t="s">
        <v>42</v>
      </c>
    </row>
    <row r="1124" spans="1:28">
      <c r="A1124" s="8">
        <v>1117</v>
      </c>
      <c r="B1124" s="8" t="s">
        <v>1426</v>
      </c>
      <c r="C1124" s="8" t="s">
        <v>1366</v>
      </c>
      <c r="D1124" s="8" t="s">
        <v>652</v>
      </c>
      <c r="E1124" s="8" t="s">
        <v>33</v>
      </c>
      <c r="F1124" s="6" t="s">
        <v>34</v>
      </c>
      <c r="G1124" s="6" t="s">
        <v>35</v>
      </c>
      <c r="H1124" s="6" t="s">
        <v>73</v>
      </c>
      <c r="I1124" s="8">
        <v>194</v>
      </c>
      <c r="J1124" s="8" t="s">
        <v>1180</v>
      </c>
      <c r="K1124" s="8" t="s">
        <v>38</v>
      </c>
      <c r="L1124" s="10">
        <v>1</v>
      </c>
      <c r="M1124" s="13">
        <v>9000.0</v>
      </c>
      <c r="N1124" s="13"/>
      <c r="O1124" s="15">
        <f>IF(M1124&gt;0, N1124/M1124, 0)</f>
        <v>0</v>
      </c>
      <c r="P1124" s="13">
        <f>M1124-N1124</f>
        <v>9000</v>
      </c>
      <c r="Q1124" s="13">
        <f>L1124*M1124</f>
        <v>9000</v>
      </c>
      <c r="R1124" s="13">
        <f>L1124*N1124</f>
        <v>0</v>
      </c>
      <c r="S1124" s="13">
        <f>L1124*P1124</f>
        <v>9000</v>
      </c>
      <c r="T1124" s="13"/>
      <c r="U1124" s="13">
        <f>L1124*T1124</f>
        <v>0</v>
      </c>
      <c r="V1124" s="13">
        <f>S1124-U1124</f>
        <v>9000</v>
      </c>
      <c r="W1124" s="15">
        <f>IF(S1124&gt;0, V1124/S1124, 0)</f>
        <v>1</v>
      </c>
      <c r="X1124" s="6" t="s">
        <v>39</v>
      </c>
      <c r="Y1124" s="8" t="s">
        <v>40</v>
      </c>
      <c r="Z1124" s="8" t="s">
        <v>41</v>
      </c>
      <c r="AA1124" s="8" t="s">
        <v>42</v>
      </c>
      <c r="AB1124" s="6" t="s">
        <v>42</v>
      </c>
    </row>
    <row r="1125" spans="1:28">
      <c r="A1125" s="9">
        <v>1118</v>
      </c>
      <c r="B1125" s="9" t="s">
        <v>1427</v>
      </c>
      <c r="C1125" s="9" t="s">
        <v>1366</v>
      </c>
      <c r="D1125" s="9" t="s">
        <v>652</v>
      </c>
      <c r="E1125" s="9" t="s">
        <v>33</v>
      </c>
      <c r="F1125" s="7" t="s">
        <v>34</v>
      </c>
      <c r="G1125" s="7" t="s">
        <v>51</v>
      </c>
      <c r="H1125" s="7" t="s">
        <v>51</v>
      </c>
      <c r="I1125" s="9">
        <v>188</v>
      </c>
      <c r="J1125" s="9" t="s">
        <v>909</v>
      </c>
      <c r="K1125" s="9" t="s">
        <v>38</v>
      </c>
      <c r="L1125" s="11">
        <v>1</v>
      </c>
      <c r="M1125" s="14">
        <v>8500.0</v>
      </c>
      <c r="N1125" s="14"/>
      <c r="O1125" s="16">
        <f>IF(M1125&gt;0, N1125/M1125, 0)</f>
        <v>0</v>
      </c>
      <c r="P1125" s="14">
        <f>M1125-N1125</f>
        <v>8500</v>
      </c>
      <c r="Q1125" s="14">
        <f>L1125*M1125</f>
        <v>8500</v>
      </c>
      <c r="R1125" s="14">
        <f>L1125*N1125</f>
        <v>0</v>
      </c>
      <c r="S1125" s="14">
        <f>L1125*P1125</f>
        <v>8500</v>
      </c>
      <c r="T1125" s="14"/>
      <c r="U1125" s="14">
        <f>L1125*T1125</f>
        <v>0</v>
      </c>
      <c r="V1125" s="14">
        <f>S1125-U1125</f>
        <v>8500</v>
      </c>
      <c r="W1125" s="16">
        <f>IF(S1125&gt;0, V1125/S1125, 0)</f>
        <v>1</v>
      </c>
      <c r="X1125" s="7" t="s">
        <v>39</v>
      </c>
      <c r="Y1125" s="9" t="s">
        <v>40</v>
      </c>
      <c r="Z1125" s="9" t="s">
        <v>41</v>
      </c>
      <c r="AA1125" s="9" t="s">
        <v>42</v>
      </c>
      <c r="AB1125" s="7" t="s">
        <v>42</v>
      </c>
    </row>
    <row r="1126" spans="1:28">
      <c r="A1126" s="8">
        <v>1119</v>
      </c>
      <c r="B1126" s="8" t="s">
        <v>1428</v>
      </c>
      <c r="C1126" s="8" t="s">
        <v>1366</v>
      </c>
      <c r="D1126" s="8" t="s">
        <v>652</v>
      </c>
      <c r="E1126" s="8" t="s">
        <v>33</v>
      </c>
      <c r="F1126" s="6" t="s">
        <v>34</v>
      </c>
      <c r="G1126" s="6" t="s">
        <v>35</v>
      </c>
      <c r="H1126" s="6" t="s">
        <v>36</v>
      </c>
      <c r="I1126" s="8">
        <v>194</v>
      </c>
      <c r="J1126" s="8" t="s">
        <v>1028</v>
      </c>
      <c r="K1126" s="8" t="s">
        <v>38</v>
      </c>
      <c r="L1126" s="10">
        <v>1</v>
      </c>
      <c r="M1126" s="13">
        <v>8000.0</v>
      </c>
      <c r="N1126" s="13"/>
      <c r="O1126" s="15">
        <f>IF(M1126&gt;0, N1126/M1126, 0)</f>
        <v>0</v>
      </c>
      <c r="P1126" s="13">
        <f>M1126-N1126</f>
        <v>8000</v>
      </c>
      <c r="Q1126" s="13">
        <f>L1126*M1126</f>
        <v>8000</v>
      </c>
      <c r="R1126" s="13">
        <f>L1126*N1126</f>
        <v>0</v>
      </c>
      <c r="S1126" s="13">
        <f>L1126*P1126</f>
        <v>8000</v>
      </c>
      <c r="T1126" s="13"/>
      <c r="U1126" s="13">
        <f>L1126*T1126</f>
        <v>0</v>
      </c>
      <c r="V1126" s="13">
        <f>S1126-U1126</f>
        <v>8000</v>
      </c>
      <c r="W1126" s="15">
        <f>IF(S1126&gt;0, V1126/S1126, 0)</f>
        <v>1</v>
      </c>
      <c r="X1126" s="6" t="s">
        <v>39</v>
      </c>
      <c r="Y1126" s="8" t="s">
        <v>40</v>
      </c>
      <c r="Z1126" s="8" t="s">
        <v>41</v>
      </c>
      <c r="AA1126" s="8" t="s">
        <v>42</v>
      </c>
      <c r="AB1126" s="6" t="s">
        <v>42</v>
      </c>
    </row>
    <row r="1127" spans="1:28">
      <c r="A1127" s="9">
        <v>1120</v>
      </c>
      <c r="B1127" s="9" t="s">
        <v>1429</v>
      </c>
      <c r="C1127" s="9" t="s">
        <v>1366</v>
      </c>
      <c r="D1127" s="9" t="s">
        <v>652</v>
      </c>
      <c r="E1127" s="9" t="s">
        <v>33</v>
      </c>
      <c r="F1127" s="7" t="s">
        <v>34</v>
      </c>
      <c r="G1127" s="7" t="s">
        <v>69</v>
      </c>
      <c r="H1127" s="7" t="s">
        <v>69</v>
      </c>
      <c r="I1127" s="9">
        <v>194</v>
      </c>
      <c r="J1127" s="9" t="s">
        <v>1031</v>
      </c>
      <c r="K1127" s="9" t="s">
        <v>38</v>
      </c>
      <c r="L1127" s="11">
        <v>1</v>
      </c>
      <c r="M1127" s="14">
        <v>16500.0</v>
      </c>
      <c r="N1127" s="14"/>
      <c r="O1127" s="16">
        <f>IF(M1127&gt;0, N1127/M1127, 0)</f>
        <v>0</v>
      </c>
      <c r="P1127" s="14">
        <f>M1127-N1127</f>
        <v>16500</v>
      </c>
      <c r="Q1127" s="14">
        <f>L1127*M1127</f>
        <v>16500</v>
      </c>
      <c r="R1127" s="14">
        <f>L1127*N1127</f>
        <v>0</v>
      </c>
      <c r="S1127" s="14">
        <f>L1127*P1127</f>
        <v>16500</v>
      </c>
      <c r="T1127" s="14"/>
      <c r="U1127" s="14">
        <f>L1127*T1127</f>
        <v>0</v>
      </c>
      <c r="V1127" s="14">
        <f>S1127-U1127</f>
        <v>16500</v>
      </c>
      <c r="W1127" s="16">
        <f>IF(S1127&gt;0, V1127/S1127, 0)</f>
        <v>1</v>
      </c>
      <c r="X1127" s="7" t="s">
        <v>39</v>
      </c>
      <c r="Y1127" s="9" t="s">
        <v>40</v>
      </c>
      <c r="Z1127" s="9" t="s">
        <v>41</v>
      </c>
      <c r="AA1127" s="9" t="s">
        <v>42</v>
      </c>
      <c r="AB1127" s="7" t="s">
        <v>42</v>
      </c>
    </row>
    <row r="1128" spans="1:28">
      <c r="A1128" s="8">
        <v>1121</v>
      </c>
      <c r="B1128" s="8" t="s">
        <v>1430</v>
      </c>
      <c r="C1128" s="8" t="s">
        <v>1366</v>
      </c>
      <c r="D1128" s="8" t="s">
        <v>652</v>
      </c>
      <c r="E1128" s="8" t="s">
        <v>68</v>
      </c>
      <c r="F1128" s="6" t="s">
        <v>50</v>
      </c>
      <c r="G1128" s="6" t="s">
        <v>69</v>
      </c>
      <c r="H1128" s="6" t="s">
        <v>1431</v>
      </c>
      <c r="I1128" s="8">
        <v>134</v>
      </c>
      <c r="J1128" s="8" t="s">
        <v>1432</v>
      </c>
      <c r="K1128" s="8" t="s">
        <v>38</v>
      </c>
      <c r="L1128" s="10">
        <v>1</v>
      </c>
      <c r="M1128" s="13">
        <v>8000.0</v>
      </c>
      <c r="N1128" s="13"/>
      <c r="O1128" s="15">
        <f>IF(M1128&gt;0, N1128/M1128, 0)</f>
        <v>0</v>
      </c>
      <c r="P1128" s="13">
        <f>M1128-N1128</f>
        <v>8000</v>
      </c>
      <c r="Q1128" s="13">
        <f>L1128*M1128</f>
        <v>8000</v>
      </c>
      <c r="R1128" s="13">
        <f>L1128*N1128</f>
        <v>0</v>
      </c>
      <c r="S1128" s="13">
        <f>L1128*P1128</f>
        <v>8000</v>
      </c>
      <c r="T1128" s="13"/>
      <c r="U1128" s="13">
        <f>L1128*T1128</f>
        <v>0</v>
      </c>
      <c r="V1128" s="13">
        <f>S1128-U1128</f>
        <v>8000</v>
      </c>
      <c r="W1128" s="15">
        <f>IF(S1128&gt;0, V1128/S1128, 0)</f>
        <v>1</v>
      </c>
      <c r="X1128" s="6" t="s">
        <v>39</v>
      </c>
      <c r="Y1128" s="8" t="s">
        <v>40</v>
      </c>
      <c r="Z1128" s="8" t="s">
        <v>71</v>
      </c>
      <c r="AA1128" s="8" t="s">
        <v>42</v>
      </c>
      <c r="AB1128" s="6" t="s">
        <v>42</v>
      </c>
    </row>
    <row r="1129" spans="1:28">
      <c r="A1129" s="9">
        <v>1122</v>
      </c>
      <c r="B1129" s="9" t="s">
        <v>1433</v>
      </c>
      <c r="C1129" s="9" t="s">
        <v>1366</v>
      </c>
      <c r="D1129" s="9" t="s">
        <v>652</v>
      </c>
      <c r="E1129" s="9" t="s">
        <v>33</v>
      </c>
      <c r="F1129" s="7" t="s">
        <v>50</v>
      </c>
      <c r="G1129" s="7" t="s">
        <v>69</v>
      </c>
      <c r="H1129" s="7" t="s">
        <v>69</v>
      </c>
      <c r="I1129" s="9">
        <v>134</v>
      </c>
      <c r="J1129" s="9" t="s">
        <v>209</v>
      </c>
      <c r="K1129" s="9" t="s">
        <v>38</v>
      </c>
      <c r="L1129" s="11">
        <v>1</v>
      </c>
      <c r="M1129" s="14">
        <v>16000.0</v>
      </c>
      <c r="N1129" s="14"/>
      <c r="O1129" s="16">
        <f>IF(M1129&gt;0, N1129/M1129, 0)</f>
        <v>0</v>
      </c>
      <c r="P1129" s="14">
        <f>M1129-N1129</f>
        <v>16000</v>
      </c>
      <c r="Q1129" s="14">
        <f>L1129*M1129</f>
        <v>16000</v>
      </c>
      <c r="R1129" s="14">
        <f>L1129*N1129</f>
        <v>0</v>
      </c>
      <c r="S1129" s="14">
        <f>L1129*P1129</f>
        <v>16000</v>
      </c>
      <c r="T1129" s="14"/>
      <c r="U1129" s="14">
        <f>L1129*T1129</f>
        <v>0</v>
      </c>
      <c r="V1129" s="14">
        <f>S1129-U1129</f>
        <v>16000</v>
      </c>
      <c r="W1129" s="16">
        <f>IF(S1129&gt;0, V1129/S1129, 0)</f>
        <v>1</v>
      </c>
      <c r="X1129" s="7" t="s">
        <v>39</v>
      </c>
      <c r="Y1129" s="9" t="s">
        <v>40</v>
      </c>
      <c r="Z1129" s="9" t="s">
        <v>41</v>
      </c>
      <c r="AA1129" s="9" t="s">
        <v>42</v>
      </c>
      <c r="AB1129" s="7" t="s">
        <v>42</v>
      </c>
    </row>
    <row r="1130" spans="1:28">
      <c r="A1130" s="8">
        <v>1123</v>
      </c>
      <c r="B1130" s="8" t="s">
        <v>1434</v>
      </c>
      <c r="C1130" s="8" t="s">
        <v>1366</v>
      </c>
      <c r="D1130" s="8" t="s">
        <v>652</v>
      </c>
      <c r="E1130" s="8" t="s">
        <v>33</v>
      </c>
      <c r="F1130" s="6" t="s">
        <v>50</v>
      </c>
      <c r="G1130" s="6" t="s">
        <v>51</v>
      </c>
      <c r="H1130" s="6" t="s">
        <v>51</v>
      </c>
      <c r="I1130" s="8">
        <v>134</v>
      </c>
      <c r="J1130" s="8" t="s">
        <v>175</v>
      </c>
      <c r="K1130" s="8" t="s">
        <v>53</v>
      </c>
      <c r="L1130" s="10">
        <v>1</v>
      </c>
      <c r="M1130" s="13">
        <v>8000.0</v>
      </c>
      <c r="N1130" s="13"/>
      <c r="O1130" s="15">
        <f>IF(M1130&gt;0, N1130/M1130, 0)</f>
        <v>0</v>
      </c>
      <c r="P1130" s="13">
        <f>M1130-N1130</f>
        <v>8000</v>
      </c>
      <c r="Q1130" s="13">
        <f>L1130*M1130</f>
        <v>8000</v>
      </c>
      <c r="R1130" s="13">
        <f>L1130*N1130</f>
        <v>0</v>
      </c>
      <c r="S1130" s="13">
        <f>L1130*P1130</f>
        <v>8000</v>
      </c>
      <c r="T1130" s="13"/>
      <c r="U1130" s="13">
        <f>L1130*T1130</f>
        <v>0</v>
      </c>
      <c r="V1130" s="13">
        <f>S1130-U1130</f>
        <v>8000</v>
      </c>
      <c r="W1130" s="15">
        <f>IF(S1130&gt;0, V1130/S1130, 0)</f>
        <v>1</v>
      </c>
      <c r="X1130" s="6" t="s">
        <v>39</v>
      </c>
      <c r="Y1130" s="8" t="s">
        <v>40</v>
      </c>
      <c r="Z1130" s="8" t="s">
        <v>41</v>
      </c>
      <c r="AA1130" s="8" t="s">
        <v>42</v>
      </c>
      <c r="AB1130" s="6" t="s">
        <v>42</v>
      </c>
    </row>
    <row r="1131" spans="1:28">
      <c r="A1131" s="9">
        <v>1124</v>
      </c>
      <c r="B1131" s="9" t="s">
        <v>1435</v>
      </c>
      <c r="C1131" s="9" t="s">
        <v>1366</v>
      </c>
      <c r="D1131" s="9" t="s">
        <v>652</v>
      </c>
      <c r="E1131" s="9" t="s">
        <v>33</v>
      </c>
      <c r="F1131" s="7" t="s">
        <v>50</v>
      </c>
      <c r="G1131" s="7" t="s">
        <v>35</v>
      </c>
      <c r="H1131" s="7" t="s">
        <v>73</v>
      </c>
      <c r="I1131" s="9">
        <v>128</v>
      </c>
      <c r="J1131" s="9" t="s">
        <v>185</v>
      </c>
      <c r="K1131" s="9" t="s">
        <v>53</v>
      </c>
      <c r="L1131" s="11">
        <v>1</v>
      </c>
      <c r="M1131" s="14">
        <v>8000.0</v>
      </c>
      <c r="N1131" s="14"/>
      <c r="O1131" s="16">
        <f>IF(M1131&gt;0, N1131/M1131, 0)</f>
        <v>0</v>
      </c>
      <c r="P1131" s="14">
        <f>M1131-N1131</f>
        <v>8000</v>
      </c>
      <c r="Q1131" s="14">
        <f>L1131*M1131</f>
        <v>8000</v>
      </c>
      <c r="R1131" s="14">
        <f>L1131*N1131</f>
        <v>0</v>
      </c>
      <c r="S1131" s="14">
        <f>L1131*P1131</f>
        <v>8000</v>
      </c>
      <c r="T1131" s="14"/>
      <c r="U1131" s="14">
        <f>L1131*T1131</f>
        <v>0</v>
      </c>
      <c r="V1131" s="14">
        <f>S1131-U1131</f>
        <v>8000</v>
      </c>
      <c r="W1131" s="16">
        <f>IF(S1131&gt;0, V1131/S1131, 0)</f>
        <v>1</v>
      </c>
      <c r="X1131" s="7" t="s">
        <v>39</v>
      </c>
      <c r="Y1131" s="9" t="s">
        <v>40</v>
      </c>
      <c r="Z1131" s="9" t="s">
        <v>41</v>
      </c>
      <c r="AA1131" s="9" t="s">
        <v>42</v>
      </c>
      <c r="AB1131" s="7" t="s">
        <v>42</v>
      </c>
    </row>
    <row r="1132" spans="1:28">
      <c r="A1132" s="8">
        <v>1125</v>
      </c>
      <c r="B1132" s="8" t="s">
        <v>1436</v>
      </c>
      <c r="C1132" s="8" t="s">
        <v>1366</v>
      </c>
      <c r="D1132" s="8" t="s">
        <v>652</v>
      </c>
      <c r="E1132" s="8" t="s">
        <v>33</v>
      </c>
      <c r="F1132" s="6" t="s">
        <v>50</v>
      </c>
      <c r="G1132" s="6" t="s">
        <v>35</v>
      </c>
      <c r="H1132" s="6" t="s">
        <v>36</v>
      </c>
      <c r="I1132" s="8">
        <v>134</v>
      </c>
      <c r="J1132" s="8" t="s">
        <v>177</v>
      </c>
      <c r="K1132" s="8" t="s">
        <v>53</v>
      </c>
      <c r="L1132" s="10">
        <v>2</v>
      </c>
      <c r="M1132" s="13">
        <v>7000.0</v>
      </c>
      <c r="N1132" s="13"/>
      <c r="O1132" s="15">
        <f>IF(M1132&gt;0, N1132/M1132, 0)</f>
        <v>0</v>
      </c>
      <c r="P1132" s="13">
        <f>M1132-N1132</f>
        <v>7000</v>
      </c>
      <c r="Q1132" s="13">
        <f>L1132*M1132</f>
        <v>14000</v>
      </c>
      <c r="R1132" s="13">
        <f>L1132*N1132</f>
        <v>0</v>
      </c>
      <c r="S1132" s="13">
        <f>L1132*P1132</f>
        <v>14000</v>
      </c>
      <c r="T1132" s="13"/>
      <c r="U1132" s="13">
        <f>L1132*T1132</f>
        <v>0</v>
      </c>
      <c r="V1132" s="13">
        <f>S1132-U1132</f>
        <v>14000</v>
      </c>
      <c r="W1132" s="15">
        <f>IF(S1132&gt;0, V1132/S1132, 0)</f>
        <v>1</v>
      </c>
      <c r="X1132" s="6" t="s">
        <v>39</v>
      </c>
      <c r="Y1132" s="8" t="s">
        <v>40</v>
      </c>
      <c r="Z1132" s="8" t="s">
        <v>41</v>
      </c>
      <c r="AA1132" s="8" t="s">
        <v>42</v>
      </c>
      <c r="AB1132" s="6" t="s">
        <v>42</v>
      </c>
    </row>
    <row r="1133" spans="1:28">
      <c r="A1133" s="9">
        <v>1126</v>
      </c>
      <c r="B1133" s="9" t="s">
        <v>1437</v>
      </c>
      <c r="C1133" s="9" t="s">
        <v>1366</v>
      </c>
      <c r="D1133" s="9" t="s">
        <v>652</v>
      </c>
      <c r="E1133" s="9" t="s">
        <v>33</v>
      </c>
      <c r="F1133" s="7" t="s">
        <v>34</v>
      </c>
      <c r="G1133" s="7" t="s">
        <v>45</v>
      </c>
      <c r="H1133" s="7" t="s">
        <v>46</v>
      </c>
      <c r="I1133" s="9">
        <v>176</v>
      </c>
      <c r="J1133" s="9" t="s">
        <v>424</v>
      </c>
      <c r="K1133" s="9" t="s">
        <v>38</v>
      </c>
      <c r="L1133" s="11">
        <v>1</v>
      </c>
      <c r="M1133" s="14">
        <v>18000.0</v>
      </c>
      <c r="N1133" s="14"/>
      <c r="O1133" s="16">
        <f>IF(M1133&gt;0, N1133/M1133, 0)</f>
        <v>0</v>
      </c>
      <c r="P1133" s="14">
        <f>M1133-N1133</f>
        <v>18000</v>
      </c>
      <c r="Q1133" s="14">
        <f>L1133*M1133</f>
        <v>18000</v>
      </c>
      <c r="R1133" s="14">
        <f>L1133*N1133</f>
        <v>0</v>
      </c>
      <c r="S1133" s="14">
        <f>L1133*P1133</f>
        <v>18000</v>
      </c>
      <c r="T1133" s="14"/>
      <c r="U1133" s="14">
        <f>L1133*T1133</f>
        <v>0</v>
      </c>
      <c r="V1133" s="14">
        <f>S1133-U1133</f>
        <v>18000</v>
      </c>
      <c r="W1133" s="16">
        <f>IF(S1133&gt;0, V1133/S1133, 0)</f>
        <v>1</v>
      </c>
      <c r="X1133" s="7" t="s">
        <v>39</v>
      </c>
      <c r="Y1133" s="9" t="s">
        <v>40</v>
      </c>
      <c r="Z1133" s="9" t="s">
        <v>41</v>
      </c>
      <c r="AA1133" s="9" t="s">
        <v>42</v>
      </c>
      <c r="AB1133" s="7" t="s">
        <v>42</v>
      </c>
    </row>
    <row r="1134" spans="1:28">
      <c r="A1134" s="8">
        <v>1127</v>
      </c>
      <c r="B1134" s="8" t="s">
        <v>1438</v>
      </c>
      <c r="C1134" s="8" t="s">
        <v>1366</v>
      </c>
      <c r="D1134" s="8" t="s">
        <v>652</v>
      </c>
      <c r="E1134" s="8" t="s">
        <v>33</v>
      </c>
      <c r="F1134" s="6" t="s">
        <v>34</v>
      </c>
      <c r="G1134" s="6" t="s">
        <v>63</v>
      </c>
      <c r="H1134" s="6" t="s">
        <v>148</v>
      </c>
      <c r="I1134" s="8">
        <v>176</v>
      </c>
      <c r="J1134" s="8" t="s">
        <v>233</v>
      </c>
      <c r="K1134" s="8" t="s">
        <v>38</v>
      </c>
      <c r="L1134" s="10">
        <v>1</v>
      </c>
      <c r="M1134" s="13">
        <v>9500.0</v>
      </c>
      <c r="N1134" s="13"/>
      <c r="O1134" s="15">
        <f>IF(M1134&gt;0, N1134/M1134, 0)</f>
        <v>0</v>
      </c>
      <c r="P1134" s="13">
        <f>M1134-N1134</f>
        <v>9500</v>
      </c>
      <c r="Q1134" s="13">
        <f>L1134*M1134</f>
        <v>9500</v>
      </c>
      <c r="R1134" s="13">
        <f>L1134*N1134</f>
        <v>0</v>
      </c>
      <c r="S1134" s="13">
        <f>L1134*P1134</f>
        <v>9500</v>
      </c>
      <c r="T1134" s="13"/>
      <c r="U1134" s="13">
        <f>L1134*T1134</f>
        <v>0</v>
      </c>
      <c r="V1134" s="13">
        <f>S1134-U1134</f>
        <v>9500</v>
      </c>
      <c r="W1134" s="15">
        <f>IF(S1134&gt;0, V1134/S1134, 0)</f>
        <v>1</v>
      </c>
      <c r="X1134" s="6" t="s">
        <v>39</v>
      </c>
      <c r="Y1134" s="8" t="s">
        <v>40</v>
      </c>
      <c r="Z1134" s="8" t="s">
        <v>41</v>
      </c>
      <c r="AA1134" s="8" t="s">
        <v>42</v>
      </c>
      <c r="AB1134" s="6" t="s">
        <v>42</v>
      </c>
    </row>
    <row r="1135" spans="1:28">
      <c r="A1135" s="9">
        <v>1128</v>
      </c>
      <c r="B1135" s="9" t="s">
        <v>1439</v>
      </c>
      <c r="C1135" s="9" t="s">
        <v>1366</v>
      </c>
      <c r="D1135" s="9" t="s">
        <v>652</v>
      </c>
      <c r="E1135" s="9" t="s">
        <v>33</v>
      </c>
      <c r="F1135" s="7" t="s">
        <v>34</v>
      </c>
      <c r="G1135" s="7" t="s">
        <v>56</v>
      </c>
      <c r="H1135" s="7" t="s">
        <v>56</v>
      </c>
      <c r="I1135" s="9">
        <v>164</v>
      </c>
      <c r="J1135" s="9" t="s">
        <v>57</v>
      </c>
      <c r="K1135" s="9" t="s">
        <v>38</v>
      </c>
      <c r="L1135" s="11">
        <v>1</v>
      </c>
      <c r="M1135" s="14">
        <v>7500.0</v>
      </c>
      <c r="N1135" s="14"/>
      <c r="O1135" s="16">
        <f>IF(M1135&gt;0, N1135/M1135, 0)</f>
        <v>0</v>
      </c>
      <c r="P1135" s="14">
        <f>M1135-N1135</f>
        <v>7500</v>
      </c>
      <c r="Q1135" s="14">
        <f>L1135*M1135</f>
        <v>7500</v>
      </c>
      <c r="R1135" s="14">
        <f>L1135*N1135</f>
        <v>0</v>
      </c>
      <c r="S1135" s="14">
        <f>L1135*P1135</f>
        <v>7500</v>
      </c>
      <c r="T1135" s="14"/>
      <c r="U1135" s="14">
        <f>L1135*T1135</f>
        <v>0</v>
      </c>
      <c r="V1135" s="14">
        <f>S1135-U1135</f>
        <v>7500</v>
      </c>
      <c r="W1135" s="16">
        <f>IF(S1135&gt;0, V1135/S1135, 0)</f>
        <v>1</v>
      </c>
      <c r="X1135" s="7" t="s">
        <v>39</v>
      </c>
      <c r="Y1135" s="9" t="s">
        <v>40</v>
      </c>
      <c r="Z1135" s="9" t="s">
        <v>41</v>
      </c>
      <c r="AA1135" s="9" t="s">
        <v>42</v>
      </c>
      <c r="AB1135" s="7" t="s">
        <v>42</v>
      </c>
    </row>
    <row r="1136" spans="1:28">
      <c r="A1136" s="8">
        <v>1129</v>
      </c>
      <c r="B1136" s="8" t="s">
        <v>1440</v>
      </c>
      <c r="C1136" s="8" t="s">
        <v>1366</v>
      </c>
      <c r="D1136" s="8" t="s">
        <v>652</v>
      </c>
      <c r="E1136" s="8" t="s">
        <v>33</v>
      </c>
      <c r="F1136" s="6" t="s">
        <v>34</v>
      </c>
      <c r="G1136" s="6" t="s">
        <v>51</v>
      </c>
      <c r="H1136" s="6" t="s">
        <v>51</v>
      </c>
      <c r="I1136" s="8">
        <v>170</v>
      </c>
      <c r="J1136" s="8" t="s">
        <v>1137</v>
      </c>
      <c r="K1136" s="8" t="s">
        <v>38</v>
      </c>
      <c r="L1136" s="10">
        <v>1</v>
      </c>
      <c r="M1136" s="13">
        <v>8500.0</v>
      </c>
      <c r="N1136" s="13"/>
      <c r="O1136" s="15">
        <f>IF(M1136&gt;0, N1136/M1136, 0)</f>
        <v>0</v>
      </c>
      <c r="P1136" s="13">
        <f>M1136-N1136</f>
        <v>8500</v>
      </c>
      <c r="Q1136" s="13">
        <f>L1136*M1136</f>
        <v>8500</v>
      </c>
      <c r="R1136" s="13">
        <f>L1136*N1136</f>
        <v>0</v>
      </c>
      <c r="S1136" s="13">
        <f>L1136*P1136</f>
        <v>8500</v>
      </c>
      <c r="T1136" s="13"/>
      <c r="U1136" s="13">
        <f>L1136*T1136</f>
        <v>0</v>
      </c>
      <c r="V1136" s="13">
        <f>S1136-U1136</f>
        <v>8500</v>
      </c>
      <c r="W1136" s="15">
        <f>IF(S1136&gt;0, V1136/S1136, 0)</f>
        <v>1</v>
      </c>
      <c r="X1136" s="6" t="s">
        <v>39</v>
      </c>
      <c r="Y1136" s="8" t="s">
        <v>40</v>
      </c>
      <c r="Z1136" s="8" t="s">
        <v>41</v>
      </c>
      <c r="AA1136" s="8" t="s">
        <v>42</v>
      </c>
      <c r="AB1136" s="6" t="s">
        <v>42</v>
      </c>
    </row>
    <row r="1137" spans="1:28">
      <c r="A1137" s="9">
        <v>1130</v>
      </c>
      <c r="B1137" s="9" t="s">
        <v>1441</v>
      </c>
      <c r="C1137" s="9" t="s">
        <v>1366</v>
      </c>
      <c r="D1137" s="9" t="s">
        <v>652</v>
      </c>
      <c r="E1137" s="9" t="s">
        <v>33</v>
      </c>
      <c r="F1137" s="7" t="s">
        <v>34</v>
      </c>
      <c r="G1137" s="7" t="s">
        <v>35</v>
      </c>
      <c r="H1137" s="7" t="s">
        <v>36</v>
      </c>
      <c r="I1137" s="9">
        <v>170</v>
      </c>
      <c r="J1137" s="9" t="s">
        <v>142</v>
      </c>
      <c r="K1137" s="9" t="s">
        <v>38</v>
      </c>
      <c r="L1137" s="11">
        <v>1</v>
      </c>
      <c r="M1137" s="14">
        <v>8000.0</v>
      </c>
      <c r="N1137" s="14"/>
      <c r="O1137" s="16">
        <f>IF(M1137&gt;0, N1137/M1137, 0)</f>
        <v>0</v>
      </c>
      <c r="P1137" s="14">
        <f>M1137-N1137</f>
        <v>8000</v>
      </c>
      <c r="Q1137" s="14">
        <f>L1137*M1137</f>
        <v>8000</v>
      </c>
      <c r="R1137" s="14">
        <f>L1137*N1137</f>
        <v>0</v>
      </c>
      <c r="S1137" s="14">
        <f>L1137*P1137</f>
        <v>8000</v>
      </c>
      <c r="T1137" s="14"/>
      <c r="U1137" s="14">
        <f>L1137*T1137</f>
        <v>0</v>
      </c>
      <c r="V1137" s="14">
        <f>S1137-U1137</f>
        <v>8000</v>
      </c>
      <c r="W1137" s="16">
        <f>IF(S1137&gt;0, V1137/S1137, 0)</f>
        <v>1</v>
      </c>
      <c r="X1137" s="7" t="s">
        <v>39</v>
      </c>
      <c r="Y1137" s="9" t="s">
        <v>40</v>
      </c>
      <c r="Z1137" s="9" t="s">
        <v>41</v>
      </c>
      <c r="AA1137" s="9" t="s">
        <v>42</v>
      </c>
      <c r="AB1137" s="7" t="s">
        <v>42</v>
      </c>
    </row>
    <row r="1138" spans="1:28">
      <c r="A1138" s="8">
        <v>1131</v>
      </c>
      <c r="B1138" s="8" t="s">
        <v>1442</v>
      </c>
      <c r="C1138" s="8" t="s">
        <v>1366</v>
      </c>
      <c r="D1138" s="8" t="s">
        <v>652</v>
      </c>
      <c r="E1138" s="8" t="s">
        <v>33</v>
      </c>
      <c r="F1138" s="6" t="s">
        <v>50</v>
      </c>
      <c r="G1138" s="6" t="s">
        <v>35</v>
      </c>
      <c r="H1138" s="6" t="s">
        <v>73</v>
      </c>
      <c r="I1138" s="8">
        <v>140</v>
      </c>
      <c r="J1138" s="8" t="s">
        <v>570</v>
      </c>
      <c r="K1138" s="8" t="s">
        <v>53</v>
      </c>
      <c r="L1138" s="10">
        <v>1</v>
      </c>
      <c r="M1138" s="13">
        <v>8000.0</v>
      </c>
      <c r="N1138" s="13"/>
      <c r="O1138" s="15">
        <f>IF(M1138&gt;0, N1138/M1138, 0)</f>
        <v>0</v>
      </c>
      <c r="P1138" s="13">
        <f>M1138-N1138</f>
        <v>8000</v>
      </c>
      <c r="Q1138" s="13">
        <f>L1138*M1138</f>
        <v>8000</v>
      </c>
      <c r="R1138" s="13">
        <f>L1138*N1138</f>
        <v>0</v>
      </c>
      <c r="S1138" s="13">
        <f>L1138*P1138</f>
        <v>8000</v>
      </c>
      <c r="T1138" s="13"/>
      <c r="U1138" s="13">
        <f>L1138*T1138</f>
        <v>0</v>
      </c>
      <c r="V1138" s="13">
        <f>S1138-U1138</f>
        <v>8000</v>
      </c>
      <c r="W1138" s="15">
        <f>IF(S1138&gt;0, V1138/S1138, 0)</f>
        <v>1</v>
      </c>
      <c r="X1138" s="6" t="s">
        <v>39</v>
      </c>
      <c r="Y1138" s="8" t="s">
        <v>40</v>
      </c>
      <c r="Z1138" s="8" t="s">
        <v>41</v>
      </c>
      <c r="AA1138" s="8" t="s">
        <v>42</v>
      </c>
      <c r="AB1138" s="6" t="s">
        <v>42</v>
      </c>
    </row>
    <row r="1139" spans="1:28">
      <c r="A1139" s="9">
        <v>1132</v>
      </c>
      <c r="B1139" s="9" t="s">
        <v>1443</v>
      </c>
      <c r="C1139" s="9" t="s">
        <v>1366</v>
      </c>
      <c r="D1139" s="9" t="s">
        <v>652</v>
      </c>
      <c r="E1139" s="9" t="s">
        <v>33</v>
      </c>
      <c r="F1139" s="7" t="s">
        <v>50</v>
      </c>
      <c r="G1139" s="7" t="s">
        <v>35</v>
      </c>
      <c r="H1139" s="7" t="s">
        <v>36</v>
      </c>
      <c r="I1139" s="9">
        <v>146</v>
      </c>
      <c r="J1139" s="9" t="s">
        <v>257</v>
      </c>
      <c r="K1139" s="9" t="s">
        <v>53</v>
      </c>
      <c r="L1139" s="11">
        <v>2</v>
      </c>
      <c r="M1139" s="14">
        <v>7000.0</v>
      </c>
      <c r="N1139" s="14"/>
      <c r="O1139" s="16">
        <f>IF(M1139&gt;0, N1139/M1139, 0)</f>
        <v>0</v>
      </c>
      <c r="P1139" s="14">
        <f>M1139-N1139</f>
        <v>7000</v>
      </c>
      <c r="Q1139" s="14">
        <f>L1139*M1139</f>
        <v>14000</v>
      </c>
      <c r="R1139" s="14">
        <f>L1139*N1139</f>
        <v>0</v>
      </c>
      <c r="S1139" s="14">
        <f>L1139*P1139</f>
        <v>14000</v>
      </c>
      <c r="T1139" s="14"/>
      <c r="U1139" s="14">
        <f>L1139*T1139</f>
        <v>0</v>
      </c>
      <c r="V1139" s="14">
        <f>S1139-U1139</f>
        <v>14000</v>
      </c>
      <c r="W1139" s="16">
        <f>IF(S1139&gt;0, V1139/S1139, 0)</f>
        <v>1</v>
      </c>
      <c r="X1139" s="7" t="s">
        <v>39</v>
      </c>
      <c r="Y1139" s="9" t="s">
        <v>40</v>
      </c>
      <c r="Z1139" s="9" t="s">
        <v>41</v>
      </c>
      <c r="AA1139" s="9" t="s">
        <v>42</v>
      </c>
      <c r="AB1139" s="7" t="s">
        <v>42</v>
      </c>
    </row>
    <row r="1140" spans="1:28">
      <c r="A1140" s="8">
        <v>1133</v>
      </c>
      <c r="B1140" s="8" t="s">
        <v>1444</v>
      </c>
      <c r="C1140" s="8" t="s">
        <v>1366</v>
      </c>
      <c r="D1140" s="8" t="s">
        <v>652</v>
      </c>
      <c r="E1140" s="8" t="s">
        <v>33</v>
      </c>
      <c r="F1140" s="6" t="s">
        <v>50</v>
      </c>
      <c r="G1140" s="6" t="s">
        <v>69</v>
      </c>
      <c r="H1140" s="6" t="s">
        <v>69</v>
      </c>
      <c r="I1140" s="8">
        <v>146</v>
      </c>
      <c r="J1140" s="8" t="s">
        <v>382</v>
      </c>
      <c r="K1140" s="8" t="s">
        <v>38</v>
      </c>
      <c r="L1140" s="10">
        <v>2</v>
      </c>
      <c r="M1140" s="13">
        <v>17000.0</v>
      </c>
      <c r="N1140" s="13"/>
      <c r="O1140" s="15">
        <f>IF(M1140&gt;0, N1140/M1140, 0)</f>
        <v>0</v>
      </c>
      <c r="P1140" s="13">
        <f>M1140-N1140</f>
        <v>17000</v>
      </c>
      <c r="Q1140" s="13">
        <f>L1140*M1140</f>
        <v>34000</v>
      </c>
      <c r="R1140" s="13">
        <f>L1140*N1140</f>
        <v>0</v>
      </c>
      <c r="S1140" s="13">
        <f>L1140*P1140</f>
        <v>34000</v>
      </c>
      <c r="T1140" s="13"/>
      <c r="U1140" s="13">
        <f>L1140*T1140</f>
        <v>0</v>
      </c>
      <c r="V1140" s="13">
        <f>S1140-U1140</f>
        <v>34000</v>
      </c>
      <c r="W1140" s="15">
        <f>IF(S1140&gt;0, V1140/S1140, 0)</f>
        <v>1</v>
      </c>
      <c r="X1140" s="6" t="s">
        <v>39</v>
      </c>
      <c r="Y1140" s="8" t="s">
        <v>40</v>
      </c>
      <c r="Z1140" s="8" t="s">
        <v>41</v>
      </c>
      <c r="AA1140" s="8" t="s">
        <v>42</v>
      </c>
      <c r="AB1140" s="6" t="s">
        <v>42</v>
      </c>
    </row>
    <row r="1141" spans="1:28">
      <c r="A1141" s="9">
        <v>1134</v>
      </c>
      <c r="B1141" s="9" t="s">
        <v>1445</v>
      </c>
      <c r="C1141" s="9" t="s">
        <v>1366</v>
      </c>
      <c r="D1141" s="9" t="s">
        <v>652</v>
      </c>
      <c r="E1141" s="9" t="s">
        <v>33</v>
      </c>
      <c r="F1141" s="7" t="s">
        <v>50</v>
      </c>
      <c r="G1141" s="7" t="s">
        <v>51</v>
      </c>
      <c r="H1141" s="7" t="s">
        <v>51</v>
      </c>
      <c r="I1141" s="9">
        <v>146</v>
      </c>
      <c r="J1141" s="9" t="s">
        <v>254</v>
      </c>
      <c r="K1141" s="9" t="s">
        <v>53</v>
      </c>
      <c r="L1141" s="11">
        <v>2</v>
      </c>
      <c r="M1141" s="14">
        <v>8000.0</v>
      </c>
      <c r="N1141" s="14"/>
      <c r="O1141" s="16">
        <f>IF(M1141&gt;0, N1141/M1141, 0)</f>
        <v>0</v>
      </c>
      <c r="P1141" s="14">
        <f>M1141-N1141</f>
        <v>8000</v>
      </c>
      <c r="Q1141" s="14">
        <f>L1141*M1141</f>
        <v>16000</v>
      </c>
      <c r="R1141" s="14">
        <f>L1141*N1141</f>
        <v>0</v>
      </c>
      <c r="S1141" s="14">
        <f>L1141*P1141</f>
        <v>16000</v>
      </c>
      <c r="T1141" s="14"/>
      <c r="U1141" s="14">
        <f>L1141*T1141</f>
        <v>0</v>
      </c>
      <c r="V1141" s="14">
        <f>S1141-U1141</f>
        <v>16000</v>
      </c>
      <c r="W1141" s="16">
        <f>IF(S1141&gt;0, V1141/S1141, 0)</f>
        <v>1</v>
      </c>
      <c r="X1141" s="7" t="s">
        <v>39</v>
      </c>
      <c r="Y1141" s="9" t="s">
        <v>40</v>
      </c>
      <c r="Z1141" s="9" t="s">
        <v>41</v>
      </c>
      <c r="AA1141" s="9" t="s">
        <v>42</v>
      </c>
      <c r="AB1141" s="7" t="s">
        <v>42</v>
      </c>
    </row>
    <row r="1142" spans="1:28">
      <c r="A1142" s="8">
        <v>1135</v>
      </c>
      <c r="B1142" s="8" t="s">
        <v>1446</v>
      </c>
      <c r="C1142" s="8" t="s">
        <v>1366</v>
      </c>
      <c r="D1142" s="8" t="s">
        <v>652</v>
      </c>
      <c r="E1142" s="8" t="s">
        <v>33</v>
      </c>
      <c r="F1142" s="6" t="s">
        <v>50</v>
      </c>
      <c r="G1142" s="6" t="s">
        <v>35</v>
      </c>
      <c r="H1142" s="6" t="s">
        <v>36</v>
      </c>
      <c r="I1142" s="8">
        <v>152</v>
      </c>
      <c r="J1142" s="8" t="s">
        <v>151</v>
      </c>
      <c r="K1142" s="8" t="s">
        <v>53</v>
      </c>
      <c r="L1142" s="10">
        <v>2</v>
      </c>
      <c r="M1142" s="13">
        <v>7000.0</v>
      </c>
      <c r="N1142" s="13"/>
      <c r="O1142" s="15">
        <f>IF(M1142&gt;0, N1142/M1142, 0)</f>
        <v>0</v>
      </c>
      <c r="P1142" s="13">
        <f>M1142-N1142</f>
        <v>7000</v>
      </c>
      <c r="Q1142" s="13">
        <f>L1142*M1142</f>
        <v>14000</v>
      </c>
      <c r="R1142" s="13">
        <f>L1142*N1142</f>
        <v>0</v>
      </c>
      <c r="S1142" s="13">
        <f>L1142*P1142</f>
        <v>14000</v>
      </c>
      <c r="T1142" s="13"/>
      <c r="U1142" s="13">
        <f>L1142*T1142</f>
        <v>0</v>
      </c>
      <c r="V1142" s="13">
        <f>S1142-U1142</f>
        <v>14000</v>
      </c>
      <c r="W1142" s="15">
        <f>IF(S1142&gt;0, V1142/S1142, 0)</f>
        <v>1</v>
      </c>
      <c r="X1142" s="6" t="s">
        <v>39</v>
      </c>
      <c r="Y1142" s="8" t="s">
        <v>40</v>
      </c>
      <c r="Z1142" s="8" t="s">
        <v>41</v>
      </c>
      <c r="AA1142" s="8" t="s">
        <v>42</v>
      </c>
      <c r="AB1142" s="6" t="s">
        <v>42</v>
      </c>
    </row>
    <row r="1143" spans="1:28">
      <c r="A1143" s="9">
        <v>1136</v>
      </c>
      <c r="B1143" s="9" t="s">
        <v>1447</v>
      </c>
      <c r="C1143" s="9" t="s">
        <v>1366</v>
      </c>
      <c r="D1143" s="9" t="s">
        <v>652</v>
      </c>
      <c r="E1143" s="9" t="s">
        <v>33</v>
      </c>
      <c r="F1143" s="7" t="s">
        <v>50</v>
      </c>
      <c r="G1143" s="7" t="s">
        <v>35</v>
      </c>
      <c r="H1143" s="7" t="s">
        <v>36</v>
      </c>
      <c r="I1143" s="9">
        <v>146</v>
      </c>
      <c r="J1143" s="9" t="s">
        <v>257</v>
      </c>
      <c r="K1143" s="9" t="s">
        <v>53</v>
      </c>
      <c r="L1143" s="11">
        <v>2</v>
      </c>
      <c r="M1143" s="14">
        <v>7000.0</v>
      </c>
      <c r="N1143" s="14"/>
      <c r="O1143" s="16">
        <f>IF(M1143&gt;0, N1143/M1143, 0)</f>
        <v>0</v>
      </c>
      <c r="P1143" s="14">
        <f>M1143-N1143</f>
        <v>7000</v>
      </c>
      <c r="Q1143" s="14">
        <f>L1143*M1143</f>
        <v>14000</v>
      </c>
      <c r="R1143" s="14">
        <f>L1143*N1143</f>
        <v>0</v>
      </c>
      <c r="S1143" s="14">
        <f>L1143*P1143</f>
        <v>14000</v>
      </c>
      <c r="T1143" s="14"/>
      <c r="U1143" s="14">
        <f>L1143*T1143</f>
        <v>0</v>
      </c>
      <c r="V1143" s="14">
        <f>S1143-U1143</f>
        <v>14000</v>
      </c>
      <c r="W1143" s="16">
        <f>IF(S1143&gt;0, V1143/S1143, 0)</f>
        <v>1</v>
      </c>
      <c r="X1143" s="7" t="s">
        <v>39</v>
      </c>
      <c r="Y1143" s="9" t="s">
        <v>40</v>
      </c>
      <c r="Z1143" s="9" t="s">
        <v>41</v>
      </c>
      <c r="AA1143" s="9" t="s">
        <v>42</v>
      </c>
      <c r="AB1143" s="7" t="s">
        <v>42</v>
      </c>
    </row>
    <row r="1144" spans="1:28">
      <c r="A1144" s="8">
        <v>1137</v>
      </c>
      <c r="B1144" s="8" t="s">
        <v>1448</v>
      </c>
      <c r="C1144" s="8" t="s">
        <v>1366</v>
      </c>
      <c r="D1144" s="8" t="s">
        <v>652</v>
      </c>
      <c r="E1144" s="8" t="s">
        <v>33</v>
      </c>
      <c r="F1144" s="6" t="s">
        <v>50</v>
      </c>
      <c r="G1144" s="6" t="s">
        <v>56</v>
      </c>
      <c r="H1144" s="6" t="s">
        <v>56</v>
      </c>
      <c r="I1144" s="8">
        <v>140</v>
      </c>
      <c r="J1144" s="8" t="s">
        <v>597</v>
      </c>
      <c r="K1144" s="8" t="s">
        <v>38</v>
      </c>
      <c r="L1144" s="10">
        <v>1</v>
      </c>
      <c r="M1144" s="13">
        <v>7000.0</v>
      </c>
      <c r="N1144" s="13"/>
      <c r="O1144" s="15">
        <f>IF(M1144&gt;0, N1144/M1144, 0)</f>
        <v>0</v>
      </c>
      <c r="P1144" s="13">
        <f>M1144-N1144</f>
        <v>7000</v>
      </c>
      <c r="Q1144" s="13">
        <f>L1144*M1144</f>
        <v>7000</v>
      </c>
      <c r="R1144" s="13">
        <f>L1144*N1144</f>
        <v>0</v>
      </c>
      <c r="S1144" s="13">
        <f>L1144*P1144</f>
        <v>7000</v>
      </c>
      <c r="T1144" s="13"/>
      <c r="U1144" s="13">
        <f>L1144*T1144</f>
        <v>0</v>
      </c>
      <c r="V1144" s="13">
        <f>S1144-U1144</f>
        <v>7000</v>
      </c>
      <c r="W1144" s="15">
        <f>IF(S1144&gt;0, V1144/S1144, 0)</f>
        <v>1</v>
      </c>
      <c r="X1144" s="6" t="s">
        <v>39</v>
      </c>
      <c r="Y1144" s="8" t="s">
        <v>40</v>
      </c>
      <c r="Z1144" s="8" t="s">
        <v>41</v>
      </c>
      <c r="AA1144" s="8" t="s">
        <v>42</v>
      </c>
      <c r="AB1144" s="6" t="s">
        <v>42</v>
      </c>
    </row>
    <row r="1145" spans="1:28">
      <c r="A1145" s="9">
        <v>1138</v>
      </c>
      <c r="B1145" s="9" t="s">
        <v>1449</v>
      </c>
      <c r="C1145" s="9" t="s">
        <v>1450</v>
      </c>
      <c r="D1145" s="9" t="s">
        <v>652</v>
      </c>
      <c r="E1145" s="9" t="s">
        <v>33</v>
      </c>
      <c r="F1145" s="7" t="s">
        <v>50</v>
      </c>
      <c r="G1145" s="7" t="s">
        <v>35</v>
      </c>
      <c r="H1145" s="7" t="s">
        <v>36</v>
      </c>
      <c r="I1145" s="9">
        <v>158</v>
      </c>
      <c r="J1145" s="9" t="s">
        <v>130</v>
      </c>
      <c r="K1145" s="9" t="s">
        <v>53</v>
      </c>
      <c r="L1145" s="11">
        <v>2</v>
      </c>
      <c r="M1145" s="14">
        <v>7000.0</v>
      </c>
      <c r="N1145" s="14"/>
      <c r="O1145" s="16">
        <f>IF(M1145&gt;0, N1145/M1145, 0)</f>
        <v>0</v>
      </c>
      <c r="P1145" s="14">
        <f>M1145-N1145</f>
        <v>7000</v>
      </c>
      <c r="Q1145" s="14">
        <f>L1145*M1145</f>
        <v>14000</v>
      </c>
      <c r="R1145" s="14">
        <f>L1145*N1145</f>
        <v>0</v>
      </c>
      <c r="S1145" s="14">
        <f>L1145*P1145</f>
        <v>14000</v>
      </c>
      <c r="T1145" s="14"/>
      <c r="U1145" s="14">
        <f>L1145*T1145</f>
        <v>0</v>
      </c>
      <c r="V1145" s="14">
        <f>S1145-U1145</f>
        <v>14000</v>
      </c>
      <c r="W1145" s="16">
        <f>IF(S1145&gt;0, V1145/S1145, 0)</f>
        <v>1</v>
      </c>
      <c r="X1145" s="7" t="s">
        <v>39</v>
      </c>
      <c r="Y1145" s="9" t="s">
        <v>40</v>
      </c>
      <c r="Z1145" s="9" t="s">
        <v>41</v>
      </c>
      <c r="AA1145" s="9" t="s">
        <v>42</v>
      </c>
      <c r="AB1145" s="7" t="s">
        <v>42</v>
      </c>
    </row>
    <row r="1146" spans="1:28">
      <c r="A1146" s="8">
        <v>1139</v>
      </c>
      <c r="B1146" s="8" t="s">
        <v>1451</v>
      </c>
      <c r="C1146" s="8" t="s">
        <v>1450</v>
      </c>
      <c r="D1146" s="8" t="s">
        <v>652</v>
      </c>
      <c r="E1146" s="8" t="s">
        <v>33</v>
      </c>
      <c r="F1146" s="6" t="s">
        <v>34</v>
      </c>
      <c r="G1146" s="6" t="s">
        <v>35</v>
      </c>
      <c r="H1146" s="6" t="s">
        <v>36</v>
      </c>
      <c r="I1146" s="8">
        <v>158</v>
      </c>
      <c r="J1146" s="8" t="s">
        <v>37</v>
      </c>
      <c r="K1146" s="8" t="s">
        <v>38</v>
      </c>
      <c r="L1146" s="10">
        <v>1</v>
      </c>
      <c r="M1146" s="13">
        <v>8000.0</v>
      </c>
      <c r="N1146" s="13"/>
      <c r="O1146" s="15">
        <f>IF(M1146&gt;0, N1146/M1146, 0)</f>
        <v>0</v>
      </c>
      <c r="P1146" s="13">
        <f>M1146-N1146</f>
        <v>8000</v>
      </c>
      <c r="Q1146" s="13">
        <f>L1146*M1146</f>
        <v>8000</v>
      </c>
      <c r="R1146" s="13">
        <f>L1146*N1146</f>
        <v>0</v>
      </c>
      <c r="S1146" s="13">
        <f>L1146*P1146</f>
        <v>8000</v>
      </c>
      <c r="T1146" s="13"/>
      <c r="U1146" s="13">
        <f>L1146*T1146</f>
        <v>0</v>
      </c>
      <c r="V1146" s="13">
        <f>S1146-U1146</f>
        <v>8000</v>
      </c>
      <c r="W1146" s="15">
        <f>IF(S1146&gt;0, V1146/S1146, 0)</f>
        <v>1</v>
      </c>
      <c r="X1146" s="6" t="s">
        <v>39</v>
      </c>
      <c r="Y1146" s="8" t="s">
        <v>40</v>
      </c>
      <c r="Z1146" s="8" t="s">
        <v>41</v>
      </c>
      <c r="AA1146" s="8" t="s">
        <v>42</v>
      </c>
      <c r="AB1146" s="6" t="s">
        <v>42</v>
      </c>
    </row>
    <row r="1147" spans="1:28">
      <c r="A1147" s="9">
        <v>1140</v>
      </c>
      <c r="B1147" s="9" t="s">
        <v>1452</v>
      </c>
      <c r="C1147" s="9" t="s">
        <v>1450</v>
      </c>
      <c r="D1147" s="9" t="s">
        <v>652</v>
      </c>
      <c r="E1147" s="9" t="s">
        <v>33</v>
      </c>
      <c r="F1147" s="7" t="s">
        <v>50</v>
      </c>
      <c r="G1147" s="7" t="s">
        <v>35</v>
      </c>
      <c r="H1147" s="7" t="s">
        <v>36</v>
      </c>
      <c r="I1147" s="9">
        <v>140</v>
      </c>
      <c r="J1147" s="9" t="s">
        <v>223</v>
      </c>
      <c r="K1147" s="9" t="s">
        <v>53</v>
      </c>
      <c r="L1147" s="11">
        <v>2</v>
      </c>
      <c r="M1147" s="14">
        <v>7000.0</v>
      </c>
      <c r="N1147" s="14"/>
      <c r="O1147" s="16">
        <f>IF(M1147&gt;0, N1147/M1147, 0)</f>
        <v>0</v>
      </c>
      <c r="P1147" s="14">
        <f>M1147-N1147</f>
        <v>7000</v>
      </c>
      <c r="Q1147" s="14">
        <f>L1147*M1147</f>
        <v>14000</v>
      </c>
      <c r="R1147" s="14">
        <f>L1147*N1147</f>
        <v>0</v>
      </c>
      <c r="S1147" s="14">
        <f>L1147*P1147</f>
        <v>14000</v>
      </c>
      <c r="T1147" s="14"/>
      <c r="U1147" s="14">
        <f>L1147*T1147</f>
        <v>0</v>
      </c>
      <c r="V1147" s="14">
        <f>S1147-U1147</f>
        <v>14000</v>
      </c>
      <c r="W1147" s="16">
        <f>IF(S1147&gt;0, V1147/S1147, 0)</f>
        <v>1</v>
      </c>
      <c r="X1147" s="7" t="s">
        <v>39</v>
      </c>
      <c r="Y1147" s="9" t="s">
        <v>40</v>
      </c>
      <c r="Z1147" s="9" t="s">
        <v>41</v>
      </c>
      <c r="AA1147" s="9" t="s">
        <v>42</v>
      </c>
      <c r="AB1147" s="7" t="s">
        <v>42</v>
      </c>
    </row>
    <row r="1148" spans="1:28">
      <c r="A1148" s="8">
        <v>1141</v>
      </c>
      <c r="B1148" s="8" t="s">
        <v>1453</v>
      </c>
      <c r="C1148" s="8" t="s">
        <v>1450</v>
      </c>
      <c r="D1148" s="8" t="s">
        <v>652</v>
      </c>
      <c r="E1148" s="8" t="s">
        <v>33</v>
      </c>
      <c r="F1148" s="6" t="s">
        <v>50</v>
      </c>
      <c r="G1148" s="6" t="s">
        <v>69</v>
      </c>
      <c r="H1148" s="6" t="s">
        <v>1431</v>
      </c>
      <c r="I1148" s="8">
        <v>110</v>
      </c>
      <c r="J1148" s="8" t="s">
        <v>1454</v>
      </c>
      <c r="K1148" s="8" t="s">
        <v>38</v>
      </c>
      <c r="L1148" s="10">
        <v>1</v>
      </c>
      <c r="M1148" s="13">
        <v>7000.0</v>
      </c>
      <c r="N1148" s="13"/>
      <c r="O1148" s="15">
        <f>IF(M1148&gt;0, N1148/M1148, 0)</f>
        <v>0</v>
      </c>
      <c r="P1148" s="13">
        <f>M1148-N1148</f>
        <v>7000</v>
      </c>
      <c r="Q1148" s="13">
        <f>L1148*M1148</f>
        <v>7000</v>
      </c>
      <c r="R1148" s="13">
        <f>L1148*N1148</f>
        <v>0</v>
      </c>
      <c r="S1148" s="13">
        <f>L1148*P1148</f>
        <v>7000</v>
      </c>
      <c r="T1148" s="13"/>
      <c r="U1148" s="13">
        <f>L1148*T1148</f>
        <v>0</v>
      </c>
      <c r="V1148" s="13">
        <f>S1148-U1148</f>
        <v>7000</v>
      </c>
      <c r="W1148" s="15">
        <f>IF(S1148&gt;0, V1148/S1148, 0)</f>
        <v>1</v>
      </c>
      <c r="X1148" s="6" t="s">
        <v>39</v>
      </c>
      <c r="Y1148" s="8" t="s">
        <v>40</v>
      </c>
      <c r="Z1148" s="8" t="s">
        <v>41</v>
      </c>
      <c r="AA1148" s="8" t="s">
        <v>42</v>
      </c>
      <c r="AB1148" s="6" t="s">
        <v>42</v>
      </c>
    </row>
    <row r="1149" spans="1:28">
      <c r="A1149" s="9">
        <v>1142</v>
      </c>
      <c r="B1149" s="9" t="s">
        <v>1455</v>
      </c>
      <c r="C1149" s="9" t="s">
        <v>1450</v>
      </c>
      <c r="D1149" s="9" t="s">
        <v>652</v>
      </c>
      <c r="E1149" s="9" t="s">
        <v>33</v>
      </c>
      <c r="F1149" s="7" t="s">
        <v>50</v>
      </c>
      <c r="G1149" s="7" t="s">
        <v>69</v>
      </c>
      <c r="H1149" s="7" t="s">
        <v>69</v>
      </c>
      <c r="I1149" s="9">
        <v>116</v>
      </c>
      <c r="J1149" s="9" t="s">
        <v>87</v>
      </c>
      <c r="K1149" s="9" t="s">
        <v>38</v>
      </c>
      <c r="L1149" s="11">
        <v>1</v>
      </c>
      <c r="M1149" s="14">
        <v>16000.0</v>
      </c>
      <c r="N1149" s="14"/>
      <c r="O1149" s="16">
        <f>IF(M1149&gt;0, N1149/M1149, 0)</f>
        <v>0</v>
      </c>
      <c r="P1149" s="14">
        <f>M1149-N1149</f>
        <v>16000</v>
      </c>
      <c r="Q1149" s="14">
        <f>L1149*M1149</f>
        <v>16000</v>
      </c>
      <c r="R1149" s="14">
        <f>L1149*N1149</f>
        <v>0</v>
      </c>
      <c r="S1149" s="14">
        <f>L1149*P1149</f>
        <v>16000</v>
      </c>
      <c r="T1149" s="14"/>
      <c r="U1149" s="14">
        <f>L1149*T1149</f>
        <v>0</v>
      </c>
      <c r="V1149" s="14">
        <f>S1149-U1149</f>
        <v>16000</v>
      </c>
      <c r="W1149" s="16">
        <f>IF(S1149&gt;0, V1149/S1149, 0)</f>
        <v>1</v>
      </c>
      <c r="X1149" s="7" t="s">
        <v>39</v>
      </c>
      <c r="Y1149" s="9" t="s">
        <v>40</v>
      </c>
      <c r="Z1149" s="9" t="s">
        <v>41</v>
      </c>
      <c r="AA1149" s="9" t="s">
        <v>42</v>
      </c>
      <c r="AB1149" s="7" t="s">
        <v>42</v>
      </c>
    </row>
    <row r="1150" spans="1:28">
      <c r="A1150" s="8">
        <v>1143</v>
      </c>
      <c r="B1150" s="8" t="s">
        <v>1456</v>
      </c>
      <c r="C1150" s="8" t="s">
        <v>1450</v>
      </c>
      <c r="D1150" s="8" t="s">
        <v>652</v>
      </c>
      <c r="E1150" s="8" t="s">
        <v>33</v>
      </c>
      <c r="F1150" s="6" t="s">
        <v>50</v>
      </c>
      <c r="G1150" s="6" t="s">
        <v>35</v>
      </c>
      <c r="H1150" s="6" t="s">
        <v>36</v>
      </c>
      <c r="I1150" s="8">
        <v>116</v>
      </c>
      <c r="J1150" s="8" t="s">
        <v>92</v>
      </c>
      <c r="K1150" s="8" t="s">
        <v>53</v>
      </c>
      <c r="L1150" s="10">
        <v>1</v>
      </c>
      <c r="M1150" s="13">
        <v>7000.0</v>
      </c>
      <c r="N1150" s="13"/>
      <c r="O1150" s="15">
        <f>IF(M1150&gt;0, N1150/M1150, 0)</f>
        <v>0</v>
      </c>
      <c r="P1150" s="13">
        <f>M1150-N1150</f>
        <v>7000</v>
      </c>
      <c r="Q1150" s="13">
        <f>L1150*M1150</f>
        <v>7000</v>
      </c>
      <c r="R1150" s="13">
        <f>L1150*N1150</f>
        <v>0</v>
      </c>
      <c r="S1150" s="13">
        <f>L1150*P1150</f>
        <v>7000</v>
      </c>
      <c r="T1150" s="13"/>
      <c r="U1150" s="13">
        <f>L1150*T1150</f>
        <v>0</v>
      </c>
      <c r="V1150" s="13">
        <f>S1150-U1150</f>
        <v>7000</v>
      </c>
      <c r="W1150" s="15">
        <f>IF(S1150&gt;0, V1150/S1150, 0)</f>
        <v>1</v>
      </c>
      <c r="X1150" s="6" t="s">
        <v>39</v>
      </c>
      <c r="Y1150" s="8" t="s">
        <v>40</v>
      </c>
      <c r="Z1150" s="8" t="s">
        <v>41</v>
      </c>
      <c r="AA1150" s="8" t="s">
        <v>42</v>
      </c>
      <c r="AB1150" s="6" t="s">
        <v>42</v>
      </c>
    </row>
    <row r="1151" spans="1:28">
      <c r="A1151" s="9">
        <v>1144</v>
      </c>
      <c r="B1151" s="9" t="s">
        <v>1457</v>
      </c>
      <c r="C1151" s="9" t="s">
        <v>1450</v>
      </c>
      <c r="D1151" s="9" t="s">
        <v>652</v>
      </c>
      <c r="E1151" s="9" t="s">
        <v>33</v>
      </c>
      <c r="F1151" s="7" t="s">
        <v>34</v>
      </c>
      <c r="G1151" s="7" t="s">
        <v>51</v>
      </c>
      <c r="H1151" s="7" t="s">
        <v>51</v>
      </c>
      <c r="I1151" s="9">
        <v>164</v>
      </c>
      <c r="J1151" s="9" t="s">
        <v>61</v>
      </c>
      <c r="K1151" s="9" t="s">
        <v>38</v>
      </c>
      <c r="L1151" s="11">
        <v>2</v>
      </c>
      <c r="M1151" s="14">
        <v>8500.0</v>
      </c>
      <c r="N1151" s="14"/>
      <c r="O1151" s="16">
        <f>IF(M1151&gt;0, N1151/M1151, 0)</f>
        <v>0</v>
      </c>
      <c r="P1151" s="14">
        <f>M1151-N1151</f>
        <v>8500</v>
      </c>
      <c r="Q1151" s="14">
        <f>L1151*M1151</f>
        <v>17000</v>
      </c>
      <c r="R1151" s="14">
        <f>L1151*N1151</f>
        <v>0</v>
      </c>
      <c r="S1151" s="14">
        <f>L1151*P1151</f>
        <v>17000</v>
      </c>
      <c r="T1151" s="14"/>
      <c r="U1151" s="14">
        <f>L1151*T1151</f>
        <v>0</v>
      </c>
      <c r="V1151" s="14">
        <f>S1151-U1151</f>
        <v>17000</v>
      </c>
      <c r="W1151" s="16">
        <f>IF(S1151&gt;0, V1151/S1151, 0)</f>
        <v>1</v>
      </c>
      <c r="X1151" s="7" t="s">
        <v>39</v>
      </c>
      <c r="Y1151" s="9" t="s">
        <v>40</v>
      </c>
      <c r="Z1151" s="9" t="s">
        <v>41</v>
      </c>
      <c r="AA1151" s="9" t="s">
        <v>42</v>
      </c>
      <c r="AB1151" s="7" t="s">
        <v>42</v>
      </c>
    </row>
    <row r="1152" spans="1:28">
      <c r="A1152" s="8">
        <v>1145</v>
      </c>
      <c r="B1152" s="8" t="s">
        <v>1458</v>
      </c>
      <c r="C1152" s="8" t="s">
        <v>1450</v>
      </c>
      <c r="D1152" s="8" t="s">
        <v>652</v>
      </c>
      <c r="E1152" s="8" t="s">
        <v>33</v>
      </c>
      <c r="F1152" s="6" t="s">
        <v>34</v>
      </c>
      <c r="G1152" s="6" t="s">
        <v>69</v>
      </c>
      <c r="H1152" s="6" t="s">
        <v>69</v>
      </c>
      <c r="I1152" s="8">
        <v>176</v>
      </c>
      <c r="J1152" s="8" t="s">
        <v>203</v>
      </c>
      <c r="K1152" s="8" t="s">
        <v>38</v>
      </c>
      <c r="L1152" s="10">
        <v>2</v>
      </c>
      <c r="M1152" s="13">
        <v>16500.0</v>
      </c>
      <c r="N1152" s="13"/>
      <c r="O1152" s="15">
        <f>IF(M1152&gt;0, N1152/M1152, 0)</f>
        <v>0</v>
      </c>
      <c r="P1152" s="13">
        <f>M1152-N1152</f>
        <v>16500</v>
      </c>
      <c r="Q1152" s="13">
        <f>L1152*M1152</f>
        <v>33000</v>
      </c>
      <c r="R1152" s="13">
        <f>L1152*N1152</f>
        <v>0</v>
      </c>
      <c r="S1152" s="13">
        <f>L1152*P1152</f>
        <v>33000</v>
      </c>
      <c r="T1152" s="13"/>
      <c r="U1152" s="13">
        <f>L1152*T1152</f>
        <v>0</v>
      </c>
      <c r="V1152" s="13">
        <f>S1152-U1152</f>
        <v>33000</v>
      </c>
      <c r="W1152" s="15">
        <f>IF(S1152&gt;0, V1152/S1152, 0)</f>
        <v>1</v>
      </c>
      <c r="X1152" s="6" t="s">
        <v>39</v>
      </c>
      <c r="Y1152" s="8" t="s">
        <v>40</v>
      </c>
      <c r="Z1152" s="8" t="s">
        <v>41</v>
      </c>
      <c r="AA1152" s="8" t="s">
        <v>42</v>
      </c>
      <c r="AB1152" s="6" t="s">
        <v>42</v>
      </c>
    </row>
    <row r="1153" spans="1:28">
      <c r="A1153" s="9">
        <v>1146</v>
      </c>
      <c r="B1153" s="9" t="s">
        <v>1459</v>
      </c>
      <c r="C1153" s="9" t="s">
        <v>1450</v>
      </c>
      <c r="D1153" s="9" t="s">
        <v>652</v>
      </c>
      <c r="E1153" s="9" t="s">
        <v>33</v>
      </c>
      <c r="F1153" s="7" t="s">
        <v>34</v>
      </c>
      <c r="G1153" s="7" t="s">
        <v>35</v>
      </c>
      <c r="H1153" s="7" t="s">
        <v>73</v>
      </c>
      <c r="I1153" s="9">
        <v>164</v>
      </c>
      <c r="J1153" s="9" t="s">
        <v>74</v>
      </c>
      <c r="K1153" s="9" t="s">
        <v>38</v>
      </c>
      <c r="L1153" s="11">
        <v>2</v>
      </c>
      <c r="M1153" s="14">
        <v>9000.0</v>
      </c>
      <c r="N1153" s="14"/>
      <c r="O1153" s="16">
        <f>IF(M1153&gt;0, N1153/M1153, 0)</f>
        <v>0</v>
      </c>
      <c r="P1153" s="14">
        <f>M1153-N1153</f>
        <v>9000</v>
      </c>
      <c r="Q1153" s="14">
        <f>L1153*M1153</f>
        <v>18000</v>
      </c>
      <c r="R1153" s="14">
        <f>L1153*N1153</f>
        <v>0</v>
      </c>
      <c r="S1153" s="14">
        <f>L1153*P1153</f>
        <v>18000</v>
      </c>
      <c r="T1153" s="14"/>
      <c r="U1153" s="14">
        <f>L1153*T1153</f>
        <v>0</v>
      </c>
      <c r="V1153" s="14">
        <f>S1153-U1153</f>
        <v>18000</v>
      </c>
      <c r="W1153" s="16">
        <f>IF(S1153&gt;0, V1153/S1153, 0)</f>
        <v>1</v>
      </c>
      <c r="X1153" s="7" t="s">
        <v>39</v>
      </c>
      <c r="Y1153" s="9" t="s">
        <v>40</v>
      </c>
      <c r="Z1153" s="9" t="s">
        <v>41</v>
      </c>
      <c r="AA1153" s="9" t="s">
        <v>42</v>
      </c>
      <c r="AB1153" s="7" t="s">
        <v>42</v>
      </c>
    </row>
    <row r="1154" spans="1:28">
      <c r="A1154" s="8">
        <v>1147</v>
      </c>
      <c r="B1154" s="8" t="s">
        <v>1460</v>
      </c>
      <c r="C1154" s="8" t="s">
        <v>1450</v>
      </c>
      <c r="D1154" s="8" t="s">
        <v>652</v>
      </c>
      <c r="E1154" s="8" t="s">
        <v>33</v>
      </c>
      <c r="F1154" s="6" t="s">
        <v>34</v>
      </c>
      <c r="G1154" s="6" t="s">
        <v>35</v>
      </c>
      <c r="H1154" s="6" t="s">
        <v>36</v>
      </c>
      <c r="I1154" s="8">
        <v>164</v>
      </c>
      <c r="J1154" s="8" t="s">
        <v>77</v>
      </c>
      <c r="K1154" s="8" t="s">
        <v>38</v>
      </c>
      <c r="L1154" s="10">
        <v>3</v>
      </c>
      <c r="M1154" s="13">
        <v>8000.0</v>
      </c>
      <c r="N1154" s="13"/>
      <c r="O1154" s="15">
        <f>IF(M1154&gt;0, N1154/M1154, 0)</f>
        <v>0</v>
      </c>
      <c r="P1154" s="13">
        <f>M1154-N1154</f>
        <v>8000</v>
      </c>
      <c r="Q1154" s="13">
        <f>L1154*M1154</f>
        <v>24000</v>
      </c>
      <c r="R1154" s="13">
        <f>L1154*N1154</f>
        <v>0</v>
      </c>
      <c r="S1154" s="13">
        <f>L1154*P1154</f>
        <v>24000</v>
      </c>
      <c r="T1154" s="13"/>
      <c r="U1154" s="13">
        <f>L1154*T1154</f>
        <v>0</v>
      </c>
      <c r="V1154" s="13">
        <f>S1154-U1154</f>
        <v>24000</v>
      </c>
      <c r="W1154" s="15">
        <f>IF(S1154&gt;0, V1154/S1154, 0)</f>
        <v>1</v>
      </c>
      <c r="X1154" s="6" t="s">
        <v>39</v>
      </c>
      <c r="Y1154" s="8" t="s">
        <v>40</v>
      </c>
      <c r="Z1154" s="8" t="s">
        <v>41</v>
      </c>
      <c r="AA1154" s="8" t="s">
        <v>42</v>
      </c>
      <c r="AB1154" s="6" t="s">
        <v>42</v>
      </c>
    </row>
    <row r="1155" spans="1:28">
      <c r="A1155" s="9">
        <v>1148</v>
      </c>
      <c r="B1155" s="9" t="s">
        <v>1461</v>
      </c>
      <c r="C1155" s="9" t="s">
        <v>1450</v>
      </c>
      <c r="D1155" s="9" t="s">
        <v>652</v>
      </c>
      <c r="E1155" s="9" t="s">
        <v>68</v>
      </c>
      <c r="F1155" s="7" t="s">
        <v>34</v>
      </c>
      <c r="G1155" s="7" t="s">
        <v>63</v>
      </c>
      <c r="H1155" s="7" t="s">
        <v>148</v>
      </c>
      <c r="I1155" s="9">
        <v>170</v>
      </c>
      <c r="J1155" s="9" t="s">
        <v>149</v>
      </c>
      <c r="K1155" s="9" t="s">
        <v>38</v>
      </c>
      <c r="L1155" s="11">
        <v>1</v>
      </c>
      <c r="M1155" s="14">
        <v>18000.0</v>
      </c>
      <c r="N1155" s="14"/>
      <c r="O1155" s="16">
        <f>IF(M1155&gt;0, N1155/M1155, 0)</f>
        <v>0</v>
      </c>
      <c r="P1155" s="14">
        <f>M1155-N1155</f>
        <v>18000</v>
      </c>
      <c r="Q1155" s="14">
        <f>L1155*M1155</f>
        <v>18000</v>
      </c>
      <c r="R1155" s="14">
        <f>L1155*N1155</f>
        <v>0</v>
      </c>
      <c r="S1155" s="14">
        <f>L1155*P1155</f>
        <v>18000</v>
      </c>
      <c r="T1155" s="14"/>
      <c r="U1155" s="14">
        <f>L1155*T1155</f>
        <v>0</v>
      </c>
      <c r="V1155" s="14">
        <f>S1155-U1155</f>
        <v>18000</v>
      </c>
      <c r="W1155" s="16">
        <f>IF(S1155&gt;0, V1155/S1155, 0)</f>
        <v>1</v>
      </c>
      <c r="X1155" s="7" t="s">
        <v>39</v>
      </c>
      <c r="Y1155" s="9" t="s">
        <v>40</v>
      </c>
      <c r="Z1155" s="9" t="s">
        <v>71</v>
      </c>
      <c r="AA1155" s="9" t="s">
        <v>42</v>
      </c>
      <c r="AB1155" s="7" t="s">
        <v>42</v>
      </c>
    </row>
    <row r="1156" spans="1:28">
      <c r="A1156" s="8">
        <v>1149</v>
      </c>
      <c r="B1156" s="8" t="s">
        <v>1462</v>
      </c>
      <c r="C1156" s="8" t="s">
        <v>1450</v>
      </c>
      <c r="D1156" s="8" t="s">
        <v>652</v>
      </c>
      <c r="E1156" s="8" t="s">
        <v>33</v>
      </c>
      <c r="F1156" s="6" t="s">
        <v>34</v>
      </c>
      <c r="G1156" s="6" t="s">
        <v>56</v>
      </c>
      <c r="H1156" s="6" t="s">
        <v>56</v>
      </c>
      <c r="I1156" s="8">
        <v>170</v>
      </c>
      <c r="J1156" s="8" t="s">
        <v>212</v>
      </c>
      <c r="K1156" s="8" t="s">
        <v>38</v>
      </c>
      <c r="L1156" s="10">
        <v>1</v>
      </c>
      <c r="M1156" s="13">
        <v>7500.0</v>
      </c>
      <c r="N1156" s="13"/>
      <c r="O1156" s="15">
        <f>IF(M1156&gt;0, N1156/M1156, 0)</f>
        <v>0</v>
      </c>
      <c r="P1156" s="13">
        <f>M1156-N1156</f>
        <v>7500</v>
      </c>
      <c r="Q1156" s="13">
        <f>L1156*M1156</f>
        <v>7500</v>
      </c>
      <c r="R1156" s="13">
        <f>L1156*N1156</f>
        <v>0</v>
      </c>
      <c r="S1156" s="13">
        <f>L1156*P1156</f>
        <v>7500</v>
      </c>
      <c r="T1156" s="13"/>
      <c r="U1156" s="13">
        <f>L1156*T1156</f>
        <v>0</v>
      </c>
      <c r="V1156" s="13">
        <f>S1156-U1156</f>
        <v>7500</v>
      </c>
      <c r="W1156" s="15">
        <f>IF(S1156&gt;0, V1156/S1156, 0)</f>
        <v>1</v>
      </c>
      <c r="X1156" s="6" t="s">
        <v>39</v>
      </c>
      <c r="Y1156" s="8" t="s">
        <v>40</v>
      </c>
      <c r="Z1156" s="8" t="s">
        <v>41</v>
      </c>
      <c r="AA1156" s="8" t="s">
        <v>42</v>
      </c>
      <c r="AB1156" s="6" t="s">
        <v>42</v>
      </c>
    </row>
    <row r="1157" spans="1:28">
      <c r="A1157" s="9">
        <v>1150</v>
      </c>
      <c r="B1157" s="9" t="s">
        <v>1463</v>
      </c>
      <c r="C1157" s="9" t="s">
        <v>1450</v>
      </c>
      <c r="D1157" s="9" t="s">
        <v>652</v>
      </c>
      <c r="E1157" s="9" t="s">
        <v>33</v>
      </c>
      <c r="F1157" s="7" t="s">
        <v>34</v>
      </c>
      <c r="G1157" s="7" t="s">
        <v>51</v>
      </c>
      <c r="H1157" s="7" t="s">
        <v>51</v>
      </c>
      <c r="I1157" s="9">
        <v>170</v>
      </c>
      <c r="J1157" s="9" t="s">
        <v>1137</v>
      </c>
      <c r="K1157" s="9" t="s">
        <v>38</v>
      </c>
      <c r="L1157" s="11">
        <v>1</v>
      </c>
      <c r="M1157" s="14">
        <v>8500.0</v>
      </c>
      <c r="N1157" s="14"/>
      <c r="O1157" s="16">
        <f>IF(M1157&gt;0, N1157/M1157, 0)</f>
        <v>0</v>
      </c>
      <c r="P1157" s="14">
        <f>M1157-N1157</f>
        <v>8500</v>
      </c>
      <c r="Q1157" s="14">
        <f>L1157*M1157</f>
        <v>8500</v>
      </c>
      <c r="R1157" s="14">
        <f>L1157*N1157</f>
        <v>0</v>
      </c>
      <c r="S1157" s="14">
        <f>L1157*P1157</f>
        <v>8500</v>
      </c>
      <c r="T1157" s="14"/>
      <c r="U1157" s="14">
        <f>L1157*T1157</f>
        <v>0</v>
      </c>
      <c r="V1157" s="14">
        <f>S1157-U1157</f>
        <v>8500</v>
      </c>
      <c r="W1157" s="16">
        <f>IF(S1157&gt;0, V1157/S1157, 0)</f>
        <v>1</v>
      </c>
      <c r="X1157" s="7" t="s">
        <v>39</v>
      </c>
      <c r="Y1157" s="9" t="s">
        <v>40</v>
      </c>
      <c r="Z1157" s="9" t="s">
        <v>41</v>
      </c>
      <c r="AA1157" s="9" t="s">
        <v>42</v>
      </c>
      <c r="AB1157" s="7" t="s">
        <v>42</v>
      </c>
    </row>
    <row r="1158" spans="1:28">
      <c r="A1158" s="8">
        <v>1151</v>
      </c>
      <c r="B1158" s="8" t="s">
        <v>1464</v>
      </c>
      <c r="C1158" s="8" t="s">
        <v>1450</v>
      </c>
      <c r="D1158" s="8" t="s">
        <v>652</v>
      </c>
      <c r="E1158" s="8" t="s">
        <v>33</v>
      </c>
      <c r="F1158" s="6" t="s">
        <v>34</v>
      </c>
      <c r="G1158" s="6" t="s">
        <v>69</v>
      </c>
      <c r="H1158" s="6" t="s">
        <v>69</v>
      </c>
      <c r="I1158" s="8">
        <v>176</v>
      </c>
      <c r="J1158" s="8" t="s">
        <v>203</v>
      </c>
      <c r="K1158" s="8" t="s">
        <v>38</v>
      </c>
      <c r="L1158" s="10">
        <v>2</v>
      </c>
      <c r="M1158" s="13">
        <v>16500.0</v>
      </c>
      <c r="N1158" s="13"/>
      <c r="O1158" s="15">
        <f>IF(M1158&gt;0, N1158/M1158, 0)</f>
        <v>0</v>
      </c>
      <c r="P1158" s="13">
        <f>M1158-N1158</f>
        <v>16500</v>
      </c>
      <c r="Q1158" s="13">
        <f>L1158*M1158</f>
        <v>33000</v>
      </c>
      <c r="R1158" s="13">
        <f>L1158*N1158</f>
        <v>0</v>
      </c>
      <c r="S1158" s="13">
        <f>L1158*P1158</f>
        <v>33000</v>
      </c>
      <c r="T1158" s="13"/>
      <c r="U1158" s="13">
        <f>L1158*T1158</f>
        <v>0</v>
      </c>
      <c r="V1158" s="13">
        <f>S1158-U1158</f>
        <v>33000</v>
      </c>
      <c r="W1158" s="15">
        <f>IF(S1158&gt;0, V1158/S1158, 0)</f>
        <v>1</v>
      </c>
      <c r="X1158" s="6" t="s">
        <v>39</v>
      </c>
      <c r="Y1158" s="8" t="s">
        <v>40</v>
      </c>
      <c r="Z1158" s="8" t="s">
        <v>41</v>
      </c>
      <c r="AA1158" s="8" t="s">
        <v>42</v>
      </c>
      <c r="AB1158" s="6" t="s">
        <v>42</v>
      </c>
    </row>
    <row r="1159" spans="1:28">
      <c r="A1159" s="9">
        <v>1152</v>
      </c>
      <c r="B1159" s="9" t="s">
        <v>1465</v>
      </c>
      <c r="C1159" s="9" t="s">
        <v>1450</v>
      </c>
      <c r="D1159" s="9" t="s">
        <v>652</v>
      </c>
      <c r="E1159" s="9" t="s">
        <v>33</v>
      </c>
      <c r="F1159" s="7" t="s">
        <v>34</v>
      </c>
      <c r="G1159" s="7" t="s">
        <v>45</v>
      </c>
      <c r="H1159" s="7" t="s">
        <v>46</v>
      </c>
      <c r="I1159" s="9">
        <v>170</v>
      </c>
      <c r="J1159" s="9" t="s">
        <v>181</v>
      </c>
      <c r="K1159" s="9" t="s">
        <v>38</v>
      </c>
      <c r="L1159" s="11">
        <v>1</v>
      </c>
      <c r="M1159" s="14">
        <v>18000.0</v>
      </c>
      <c r="N1159" s="14"/>
      <c r="O1159" s="16">
        <f>IF(M1159&gt;0, N1159/M1159, 0)</f>
        <v>0</v>
      </c>
      <c r="P1159" s="14">
        <f>M1159-N1159</f>
        <v>18000</v>
      </c>
      <c r="Q1159" s="14">
        <f>L1159*M1159</f>
        <v>18000</v>
      </c>
      <c r="R1159" s="14">
        <f>L1159*N1159</f>
        <v>0</v>
      </c>
      <c r="S1159" s="14">
        <f>L1159*P1159</f>
        <v>18000</v>
      </c>
      <c r="T1159" s="14"/>
      <c r="U1159" s="14">
        <f>L1159*T1159</f>
        <v>0</v>
      </c>
      <c r="V1159" s="14">
        <f>S1159-U1159</f>
        <v>18000</v>
      </c>
      <c r="W1159" s="16">
        <f>IF(S1159&gt;0, V1159/S1159, 0)</f>
        <v>1</v>
      </c>
      <c r="X1159" s="7" t="s">
        <v>39</v>
      </c>
      <c r="Y1159" s="9" t="s">
        <v>40</v>
      </c>
      <c r="Z1159" s="9" t="s">
        <v>41</v>
      </c>
      <c r="AA1159" s="9" t="s">
        <v>42</v>
      </c>
      <c r="AB1159" s="7" t="s">
        <v>42</v>
      </c>
    </row>
    <row r="1160" spans="1:28">
      <c r="A1160" s="8">
        <v>1153</v>
      </c>
      <c r="B1160" s="8" t="s">
        <v>1466</v>
      </c>
      <c r="C1160" s="8" t="s">
        <v>1450</v>
      </c>
      <c r="D1160" s="8" t="s">
        <v>652</v>
      </c>
      <c r="E1160" s="8" t="s">
        <v>33</v>
      </c>
      <c r="F1160" s="6" t="s">
        <v>34</v>
      </c>
      <c r="G1160" s="6" t="s">
        <v>35</v>
      </c>
      <c r="H1160" s="6" t="s">
        <v>73</v>
      </c>
      <c r="I1160" s="8">
        <v>170</v>
      </c>
      <c r="J1160" s="8" t="s">
        <v>648</v>
      </c>
      <c r="K1160" s="8" t="s">
        <v>38</v>
      </c>
      <c r="L1160" s="10">
        <v>2</v>
      </c>
      <c r="M1160" s="13">
        <v>9000.0</v>
      </c>
      <c r="N1160" s="13"/>
      <c r="O1160" s="15">
        <f>IF(M1160&gt;0, N1160/M1160, 0)</f>
        <v>0</v>
      </c>
      <c r="P1160" s="13">
        <f>M1160-N1160</f>
        <v>9000</v>
      </c>
      <c r="Q1160" s="13">
        <f>L1160*M1160</f>
        <v>18000</v>
      </c>
      <c r="R1160" s="13">
        <f>L1160*N1160</f>
        <v>0</v>
      </c>
      <c r="S1160" s="13">
        <f>L1160*P1160</f>
        <v>18000</v>
      </c>
      <c r="T1160" s="13"/>
      <c r="U1160" s="13">
        <f>L1160*T1160</f>
        <v>0</v>
      </c>
      <c r="V1160" s="13">
        <f>S1160-U1160</f>
        <v>18000</v>
      </c>
      <c r="W1160" s="15">
        <f>IF(S1160&gt;0, V1160/S1160, 0)</f>
        <v>1</v>
      </c>
      <c r="X1160" s="6" t="s">
        <v>39</v>
      </c>
      <c r="Y1160" s="8" t="s">
        <v>40</v>
      </c>
      <c r="Z1160" s="8" t="s">
        <v>41</v>
      </c>
      <c r="AA1160" s="8" t="s">
        <v>42</v>
      </c>
      <c r="AB1160" s="6" t="s">
        <v>42</v>
      </c>
    </row>
    <row r="1161" spans="1:28">
      <c r="A1161" s="9">
        <v>1154</v>
      </c>
      <c r="B1161" s="9" t="s">
        <v>1467</v>
      </c>
      <c r="C1161" s="9" t="s">
        <v>1450</v>
      </c>
      <c r="D1161" s="9" t="s">
        <v>652</v>
      </c>
      <c r="E1161" s="9" t="s">
        <v>33</v>
      </c>
      <c r="F1161" s="7" t="s">
        <v>34</v>
      </c>
      <c r="G1161" s="7" t="s">
        <v>35</v>
      </c>
      <c r="H1161" s="7" t="s">
        <v>36</v>
      </c>
      <c r="I1161" s="9">
        <v>170</v>
      </c>
      <c r="J1161" s="9" t="s">
        <v>142</v>
      </c>
      <c r="K1161" s="9" t="s">
        <v>38</v>
      </c>
      <c r="L1161" s="11">
        <v>3</v>
      </c>
      <c r="M1161" s="14">
        <v>8000.0</v>
      </c>
      <c r="N1161" s="14"/>
      <c r="O1161" s="16">
        <f>IF(M1161&gt;0, N1161/M1161, 0)</f>
        <v>0</v>
      </c>
      <c r="P1161" s="14">
        <f>M1161-N1161</f>
        <v>8000</v>
      </c>
      <c r="Q1161" s="14">
        <f>L1161*M1161</f>
        <v>24000</v>
      </c>
      <c r="R1161" s="14">
        <f>L1161*N1161</f>
        <v>0</v>
      </c>
      <c r="S1161" s="14">
        <f>L1161*P1161</f>
        <v>24000</v>
      </c>
      <c r="T1161" s="14"/>
      <c r="U1161" s="14">
        <f>L1161*T1161</f>
        <v>0</v>
      </c>
      <c r="V1161" s="14">
        <f>S1161-U1161</f>
        <v>24000</v>
      </c>
      <c r="W1161" s="16">
        <f>IF(S1161&gt;0, V1161/S1161, 0)</f>
        <v>1</v>
      </c>
      <c r="X1161" s="7" t="s">
        <v>39</v>
      </c>
      <c r="Y1161" s="9" t="s">
        <v>40</v>
      </c>
      <c r="Z1161" s="9" t="s">
        <v>41</v>
      </c>
      <c r="AA1161" s="9" t="s">
        <v>42</v>
      </c>
      <c r="AB1161" s="7" t="s">
        <v>42</v>
      </c>
    </row>
    <row r="1162" spans="1:28">
      <c r="A1162" s="8">
        <v>1155</v>
      </c>
      <c r="B1162" s="8" t="s">
        <v>1468</v>
      </c>
      <c r="C1162" s="8" t="s">
        <v>1450</v>
      </c>
      <c r="D1162" s="8" t="s">
        <v>652</v>
      </c>
      <c r="E1162" s="8" t="s">
        <v>33</v>
      </c>
      <c r="F1162" s="6" t="s">
        <v>50</v>
      </c>
      <c r="G1162" s="6" t="s">
        <v>69</v>
      </c>
      <c r="H1162" s="6" t="s">
        <v>69</v>
      </c>
      <c r="I1162" s="8">
        <v>152</v>
      </c>
      <c r="J1162" s="8" t="s">
        <v>350</v>
      </c>
      <c r="K1162" s="8" t="s">
        <v>38</v>
      </c>
      <c r="L1162" s="10">
        <v>1</v>
      </c>
      <c r="M1162" s="13">
        <v>17000.0</v>
      </c>
      <c r="N1162" s="13"/>
      <c r="O1162" s="15">
        <f>IF(M1162&gt;0, N1162/M1162, 0)</f>
        <v>0</v>
      </c>
      <c r="P1162" s="13">
        <f>M1162-N1162</f>
        <v>17000</v>
      </c>
      <c r="Q1162" s="13">
        <f>L1162*M1162</f>
        <v>17000</v>
      </c>
      <c r="R1162" s="13">
        <f>L1162*N1162</f>
        <v>0</v>
      </c>
      <c r="S1162" s="13">
        <f>L1162*P1162</f>
        <v>17000</v>
      </c>
      <c r="T1162" s="13"/>
      <c r="U1162" s="13">
        <f>L1162*T1162</f>
        <v>0</v>
      </c>
      <c r="V1162" s="13">
        <f>S1162-U1162</f>
        <v>17000</v>
      </c>
      <c r="W1162" s="15">
        <f>IF(S1162&gt;0, V1162/S1162, 0)</f>
        <v>1</v>
      </c>
      <c r="X1162" s="6" t="s">
        <v>39</v>
      </c>
      <c r="Y1162" s="8" t="s">
        <v>40</v>
      </c>
      <c r="Z1162" s="8" t="s">
        <v>41</v>
      </c>
      <c r="AA1162" s="8" t="s">
        <v>42</v>
      </c>
      <c r="AB1162" s="6" t="s">
        <v>42</v>
      </c>
    </row>
    <row r="1163" spans="1:28">
      <c r="A1163" s="9">
        <v>1156</v>
      </c>
      <c r="B1163" s="9" t="s">
        <v>1469</v>
      </c>
      <c r="C1163" s="9" t="s">
        <v>1450</v>
      </c>
      <c r="D1163" s="9" t="s">
        <v>652</v>
      </c>
      <c r="E1163" s="9" t="s">
        <v>33</v>
      </c>
      <c r="F1163" s="7" t="s">
        <v>50</v>
      </c>
      <c r="G1163" s="7" t="s">
        <v>51</v>
      </c>
      <c r="H1163" s="7" t="s">
        <v>51</v>
      </c>
      <c r="I1163" s="9">
        <v>158</v>
      </c>
      <c r="J1163" s="9" t="s">
        <v>125</v>
      </c>
      <c r="K1163" s="9" t="s">
        <v>53</v>
      </c>
      <c r="L1163" s="11">
        <v>2</v>
      </c>
      <c r="M1163" s="14">
        <v>8000.0</v>
      </c>
      <c r="N1163" s="14"/>
      <c r="O1163" s="16">
        <f>IF(M1163&gt;0, N1163/M1163, 0)</f>
        <v>0</v>
      </c>
      <c r="P1163" s="14">
        <f>M1163-N1163</f>
        <v>8000</v>
      </c>
      <c r="Q1163" s="14">
        <f>L1163*M1163</f>
        <v>16000</v>
      </c>
      <c r="R1163" s="14">
        <f>L1163*N1163</f>
        <v>0</v>
      </c>
      <c r="S1163" s="14">
        <f>L1163*P1163</f>
        <v>16000</v>
      </c>
      <c r="T1163" s="14"/>
      <c r="U1163" s="14">
        <f>L1163*T1163</f>
        <v>0</v>
      </c>
      <c r="V1163" s="14">
        <f>S1163-U1163</f>
        <v>16000</v>
      </c>
      <c r="W1163" s="16">
        <f>IF(S1163&gt;0, V1163/S1163, 0)</f>
        <v>1</v>
      </c>
      <c r="X1163" s="7" t="s">
        <v>39</v>
      </c>
      <c r="Y1163" s="9" t="s">
        <v>40</v>
      </c>
      <c r="Z1163" s="9" t="s">
        <v>41</v>
      </c>
      <c r="AA1163" s="9" t="s">
        <v>42</v>
      </c>
      <c r="AB1163" s="7" t="s">
        <v>42</v>
      </c>
    </row>
    <row r="1164" spans="1:28">
      <c r="A1164" s="8">
        <v>1157</v>
      </c>
      <c r="B1164" s="8" t="s">
        <v>1470</v>
      </c>
      <c r="C1164" s="8" t="s">
        <v>1450</v>
      </c>
      <c r="D1164" s="8" t="s">
        <v>652</v>
      </c>
      <c r="E1164" s="8" t="s">
        <v>33</v>
      </c>
      <c r="F1164" s="6" t="s">
        <v>50</v>
      </c>
      <c r="G1164" s="6" t="s">
        <v>45</v>
      </c>
      <c r="H1164" s="6" t="s">
        <v>46</v>
      </c>
      <c r="I1164" s="8">
        <v>158</v>
      </c>
      <c r="J1164" s="8" t="s">
        <v>441</v>
      </c>
      <c r="K1164" s="8" t="s">
        <v>38</v>
      </c>
      <c r="L1164" s="10">
        <v>1</v>
      </c>
      <c r="M1164" s="13">
        <v>18000.0</v>
      </c>
      <c r="N1164" s="13"/>
      <c r="O1164" s="15">
        <f>IF(M1164&gt;0, N1164/M1164, 0)</f>
        <v>0</v>
      </c>
      <c r="P1164" s="13">
        <f>M1164-N1164</f>
        <v>18000</v>
      </c>
      <c r="Q1164" s="13">
        <f>L1164*M1164</f>
        <v>18000</v>
      </c>
      <c r="R1164" s="13">
        <f>L1164*N1164</f>
        <v>0</v>
      </c>
      <c r="S1164" s="13">
        <f>L1164*P1164</f>
        <v>18000</v>
      </c>
      <c r="T1164" s="13"/>
      <c r="U1164" s="13">
        <f>L1164*T1164</f>
        <v>0</v>
      </c>
      <c r="V1164" s="13">
        <f>S1164-U1164</f>
        <v>18000</v>
      </c>
      <c r="W1164" s="15">
        <f>IF(S1164&gt;0, V1164/S1164, 0)</f>
        <v>1</v>
      </c>
      <c r="X1164" s="6" t="s">
        <v>39</v>
      </c>
      <c r="Y1164" s="8" t="s">
        <v>40</v>
      </c>
      <c r="Z1164" s="8" t="s">
        <v>41</v>
      </c>
      <c r="AA1164" s="8" t="s">
        <v>42</v>
      </c>
      <c r="AB1164" s="6" t="s">
        <v>42</v>
      </c>
    </row>
    <row r="1165" spans="1:28">
      <c r="A1165" s="9">
        <v>1158</v>
      </c>
      <c r="B1165" s="9" t="s">
        <v>1471</v>
      </c>
      <c r="C1165" s="9" t="s">
        <v>1450</v>
      </c>
      <c r="D1165" s="9" t="s">
        <v>652</v>
      </c>
      <c r="E1165" s="9" t="s">
        <v>33</v>
      </c>
      <c r="F1165" s="7" t="s">
        <v>50</v>
      </c>
      <c r="G1165" s="7" t="s">
        <v>56</v>
      </c>
      <c r="H1165" s="7" t="s">
        <v>56</v>
      </c>
      <c r="I1165" s="9">
        <v>158</v>
      </c>
      <c r="J1165" s="9" t="s">
        <v>791</v>
      </c>
      <c r="K1165" s="9" t="s">
        <v>38</v>
      </c>
      <c r="L1165" s="11">
        <v>2</v>
      </c>
      <c r="M1165" s="14">
        <v>7000.0</v>
      </c>
      <c r="N1165" s="14"/>
      <c r="O1165" s="16">
        <f>IF(M1165&gt;0, N1165/M1165, 0)</f>
        <v>0</v>
      </c>
      <c r="P1165" s="14">
        <f>M1165-N1165</f>
        <v>7000</v>
      </c>
      <c r="Q1165" s="14">
        <f>L1165*M1165</f>
        <v>14000</v>
      </c>
      <c r="R1165" s="14">
        <f>L1165*N1165</f>
        <v>0</v>
      </c>
      <c r="S1165" s="14">
        <f>L1165*P1165</f>
        <v>14000</v>
      </c>
      <c r="T1165" s="14"/>
      <c r="U1165" s="14">
        <f>L1165*T1165</f>
        <v>0</v>
      </c>
      <c r="V1165" s="14">
        <f>S1165-U1165</f>
        <v>14000</v>
      </c>
      <c r="W1165" s="16">
        <f>IF(S1165&gt;0, V1165/S1165, 0)</f>
        <v>1</v>
      </c>
      <c r="X1165" s="7" t="s">
        <v>39</v>
      </c>
      <c r="Y1165" s="9" t="s">
        <v>40</v>
      </c>
      <c r="Z1165" s="9" t="s">
        <v>41</v>
      </c>
      <c r="AA1165" s="9" t="s">
        <v>42</v>
      </c>
      <c r="AB1165" s="7" t="s">
        <v>42</v>
      </c>
    </row>
    <row r="1166" spans="1:28">
      <c r="A1166" s="8">
        <v>1159</v>
      </c>
      <c r="B1166" s="8" t="s">
        <v>1472</v>
      </c>
      <c r="C1166" s="8" t="s">
        <v>1450</v>
      </c>
      <c r="D1166" s="8" t="s">
        <v>652</v>
      </c>
      <c r="E1166" s="8" t="s">
        <v>33</v>
      </c>
      <c r="F1166" s="6" t="s">
        <v>50</v>
      </c>
      <c r="G1166" s="6" t="s">
        <v>35</v>
      </c>
      <c r="H1166" s="6" t="s">
        <v>73</v>
      </c>
      <c r="I1166" s="8">
        <v>158</v>
      </c>
      <c r="J1166" s="8" t="s">
        <v>533</v>
      </c>
      <c r="K1166" s="8" t="s">
        <v>53</v>
      </c>
      <c r="L1166" s="10">
        <v>1</v>
      </c>
      <c r="M1166" s="13">
        <v>8000.0</v>
      </c>
      <c r="N1166" s="13"/>
      <c r="O1166" s="15">
        <f>IF(M1166&gt;0, N1166/M1166, 0)</f>
        <v>0</v>
      </c>
      <c r="P1166" s="13">
        <f>M1166-N1166</f>
        <v>8000</v>
      </c>
      <c r="Q1166" s="13">
        <f>L1166*M1166</f>
        <v>8000</v>
      </c>
      <c r="R1166" s="13">
        <f>L1166*N1166</f>
        <v>0</v>
      </c>
      <c r="S1166" s="13">
        <f>L1166*P1166</f>
        <v>8000</v>
      </c>
      <c r="T1166" s="13"/>
      <c r="U1166" s="13">
        <f>L1166*T1166</f>
        <v>0</v>
      </c>
      <c r="V1166" s="13">
        <f>S1166-U1166</f>
        <v>8000</v>
      </c>
      <c r="W1166" s="15">
        <f>IF(S1166&gt;0, V1166/S1166, 0)</f>
        <v>1</v>
      </c>
      <c r="X1166" s="6" t="s">
        <v>39</v>
      </c>
      <c r="Y1166" s="8" t="s">
        <v>40</v>
      </c>
      <c r="Z1166" s="8" t="s">
        <v>41</v>
      </c>
      <c r="AA1166" s="8" t="s">
        <v>42</v>
      </c>
      <c r="AB1166" s="6" t="s">
        <v>42</v>
      </c>
    </row>
    <row r="1167" spans="1:28">
      <c r="A1167" s="9">
        <v>1160</v>
      </c>
      <c r="B1167" s="9" t="s">
        <v>1473</v>
      </c>
      <c r="C1167" s="9" t="s">
        <v>1450</v>
      </c>
      <c r="D1167" s="9" t="s">
        <v>652</v>
      </c>
      <c r="E1167" s="9" t="s">
        <v>33</v>
      </c>
      <c r="F1167" s="7" t="s">
        <v>50</v>
      </c>
      <c r="G1167" s="7" t="s">
        <v>35</v>
      </c>
      <c r="H1167" s="7" t="s">
        <v>36</v>
      </c>
      <c r="I1167" s="9">
        <v>158</v>
      </c>
      <c r="J1167" s="9" t="s">
        <v>130</v>
      </c>
      <c r="K1167" s="9" t="s">
        <v>53</v>
      </c>
      <c r="L1167" s="11">
        <v>3</v>
      </c>
      <c r="M1167" s="14">
        <v>7000.0</v>
      </c>
      <c r="N1167" s="14"/>
      <c r="O1167" s="16">
        <f>IF(M1167&gt;0, N1167/M1167, 0)</f>
        <v>0</v>
      </c>
      <c r="P1167" s="14">
        <f>M1167-N1167</f>
        <v>7000</v>
      </c>
      <c r="Q1167" s="14">
        <f>L1167*M1167</f>
        <v>21000</v>
      </c>
      <c r="R1167" s="14">
        <f>L1167*N1167</f>
        <v>0</v>
      </c>
      <c r="S1167" s="14">
        <f>L1167*P1167</f>
        <v>21000</v>
      </c>
      <c r="T1167" s="14"/>
      <c r="U1167" s="14">
        <f>L1167*T1167</f>
        <v>0</v>
      </c>
      <c r="V1167" s="14">
        <f>S1167-U1167</f>
        <v>21000</v>
      </c>
      <c r="W1167" s="16">
        <f>IF(S1167&gt;0, V1167/S1167, 0)</f>
        <v>1</v>
      </c>
      <c r="X1167" s="7" t="s">
        <v>39</v>
      </c>
      <c r="Y1167" s="9" t="s">
        <v>40</v>
      </c>
      <c r="Z1167" s="9" t="s">
        <v>41</v>
      </c>
      <c r="AA1167" s="9" t="s">
        <v>42</v>
      </c>
      <c r="AB1167" s="7" t="s">
        <v>42</v>
      </c>
    </row>
    <row r="1168" spans="1:28">
      <c r="A1168" s="8">
        <v>1161</v>
      </c>
      <c r="B1168" s="8" t="s">
        <v>1474</v>
      </c>
      <c r="C1168" s="8" t="s">
        <v>1450</v>
      </c>
      <c r="D1168" s="8" t="s">
        <v>652</v>
      </c>
      <c r="E1168" s="8" t="s">
        <v>33</v>
      </c>
      <c r="F1168" s="6" t="s">
        <v>50</v>
      </c>
      <c r="G1168" s="6" t="s">
        <v>69</v>
      </c>
      <c r="H1168" s="6" t="s">
        <v>69</v>
      </c>
      <c r="I1168" s="8">
        <v>146</v>
      </c>
      <c r="J1168" s="8" t="s">
        <v>382</v>
      </c>
      <c r="K1168" s="8" t="s">
        <v>38</v>
      </c>
      <c r="L1168" s="10">
        <v>1</v>
      </c>
      <c r="M1168" s="13">
        <v>17000.0</v>
      </c>
      <c r="N1168" s="13"/>
      <c r="O1168" s="15">
        <f>IF(M1168&gt;0, N1168/M1168, 0)</f>
        <v>0</v>
      </c>
      <c r="P1168" s="13">
        <f>M1168-N1168</f>
        <v>17000</v>
      </c>
      <c r="Q1168" s="13">
        <f>L1168*M1168</f>
        <v>17000</v>
      </c>
      <c r="R1168" s="13">
        <f>L1168*N1168</f>
        <v>0</v>
      </c>
      <c r="S1168" s="13">
        <f>L1168*P1168</f>
        <v>17000</v>
      </c>
      <c r="T1168" s="13"/>
      <c r="U1168" s="13">
        <f>L1168*T1168</f>
        <v>0</v>
      </c>
      <c r="V1168" s="13">
        <f>S1168-U1168</f>
        <v>17000</v>
      </c>
      <c r="W1168" s="15">
        <f>IF(S1168&gt;0, V1168/S1168, 0)</f>
        <v>1</v>
      </c>
      <c r="X1168" s="6" t="s">
        <v>39</v>
      </c>
      <c r="Y1168" s="8" t="s">
        <v>40</v>
      </c>
      <c r="Z1168" s="8" t="s">
        <v>41</v>
      </c>
      <c r="AA1168" s="8" t="s">
        <v>42</v>
      </c>
      <c r="AB1168" s="6" t="s">
        <v>42</v>
      </c>
    </row>
    <row r="1169" spans="1:28">
      <c r="A1169" s="9">
        <v>1162</v>
      </c>
      <c r="B1169" s="9" t="s">
        <v>1475</v>
      </c>
      <c r="C1169" s="9" t="s">
        <v>1450</v>
      </c>
      <c r="D1169" s="9" t="s">
        <v>652</v>
      </c>
      <c r="E1169" s="9" t="s">
        <v>33</v>
      </c>
      <c r="F1169" s="7" t="s">
        <v>50</v>
      </c>
      <c r="G1169" s="7" t="s">
        <v>51</v>
      </c>
      <c r="H1169" s="7" t="s">
        <v>51</v>
      </c>
      <c r="I1169" s="9">
        <v>146</v>
      </c>
      <c r="J1169" s="9" t="s">
        <v>254</v>
      </c>
      <c r="K1169" s="9" t="s">
        <v>53</v>
      </c>
      <c r="L1169" s="11">
        <v>1</v>
      </c>
      <c r="M1169" s="14">
        <v>8000.0</v>
      </c>
      <c r="N1169" s="14"/>
      <c r="O1169" s="16">
        <f>IF(M1169&gt;0, N1169/M1169, 0)</f>
        <v>0</v>
      </c>
      <c r="P1169" s="14">
        <f>M1169-N1169</f>
        <v>8000</v>
      </c>
      <c r="Q1169" s="14">
        <f>L1169*M1169</f>
        <v>8000</v>
      </c>
      <c r="R1169" s="14">
        <f>L1169*N1169</f>
        <v>0</v>
      </c>
      <c r="S1169" s="14">
        <f>L1169*P1169</f>
        <v>8000</v>
      </c>
      <c r="T1169" s="14"/>
      <c r="U1169" s="14">
        <f>L1169*T1169</f>
        <v>0</v>
      </c>
      <c r="V1169" s="14">
        <f>S1169-U1169</f>
        <v>8000</v>
      </c>
      <c r="W1169" s="16">
        <f>IF(S1169&gt;0, V1169/S1169, 0)</f>
        <v>1</v>
      </c>
      <c r="X1169" s="7" t="s">
        <v>39</v>
      </c>
      <c r="Y1169" s="9" t="s">
        <v>40</v>
      </c>
      <c r="Z1169" s="9" t="s">
        <v>41</v>
      </c>
      <c r="AA1169" s="9" t="s">
        <v>42</v>
      </c>
      <c r="AB1169" s="7" t="s">
        <v>42</v>
      </c>
    </row>
    <row r="1170" spans="1:28">
      <c r="A1170" s="8">
        <v>1163</v>
      </c>
      <c r="B1170" s="8" t="s">
        <v>1476</v>
      </c>
      <c r="C1170" s="8" t="s">
        <v>1450</v>
      </c>
      <c r="D1170" s="8" t="s">
        <v>652</v>
      </c>
      <c r="E1170" s="8" t="s">
        <v>33</v>
      </c>
      <c r="F1170" s="6" t="s">
        <v>50</v>
      </c>
      <c r="G1170" s="6" t="s">
        <v>56</v>
      </c>
      <c r="H1170" s="6" t="s">
        <v>56</v>
      </c>
      <c r="I1170" s="8">
        <v>140</v>
      </c>
      <c r="J1170" s="8" t="s">
        <v>597</v>
      </c>
      <c r="K1170" s="8" t="s">
        <v>38</v>
      </c>
      <c r="L1170" s="10">
        <v>1</v>
      </c>
      <c r="M1170" s="13">
        <v>7000.0</v>
      </c>
      <c r="N1170" s="13"/>
      <c r="O1170" s="15">
        <f>IF(M1170&gt;0, N1170/M1170, 0)</f>
        <v>0</v>
      </c>
      <c r="P1170" s="13">
        <f>M1170-N1170</f>
        <v>7000</v>
      </c>
      <c r="Q1170" s="13">
        <f>L1170*M1170</f>
        <v>7000</v>
      </c>
      <c r="R1170" s="13">
        <f>L1170*N1170</f>
        <v>0</v>
      </c>
      <c r="S1170" s="13">
        <f>L1170*P1170</f>
        <v>7000</v>
      </c>
      <c r="T1170" s="13"/>
      <c r="U1170" s="13">
        <f>L1170*T1170</f>
        <v>0</v>
      </c>
      <c r="V1170" s="13">
        <f>S1170-U1170</f>
        <v>7000</v>
      </c>
      <c r="W1170" s="15">
        <f>IF(S1170&gt;0, V1170/S1170, 0)</f>
        <v>1</v>
      </c>
      <c r="X1170" s="6" t="s">
        <v>39</v>
      </c>
      <c r="Y1170" s="8" t="s">
        <v>40</v>
      </c>
      <c r="Z1170" s="8" t="s">
        <v>41</v>
      </c>
      <c r="AA1170" s="8" t="s">
        <v>42</v>
      </c>
      <c r="AB1170" s="6" t="s">
        <v>42</v>
      </c>
    </row>
    <row r="1171" spans="1:28">
      <c r="A1171" s="9">
        <v>1164</v>
      </c>
      <c r="B1171" s="9" t="s">
        <v>1477</v>
      </c>
      <c r="C1171" s="9" t="s">
        <v>1450</v>
      </c>
      <c r="D1171" s="9" t="s">
        <v>652</v>
      </c>
      <c r="E1171" s="9" t="s">
        <v>33</v>
      </c>
      <c r="F1171" s="7" t="s">
        <v>50</v>
      </c>
      <c r="G1171" s="7" t="s">
        <v>35</v>
      </c>
      <c r="H1171" s="7" t="s">
        <v>73</v>
      </c>
      <c r="I1171" s="9">
        <v>146</v>
      </c>
      <c r="J1171" s="9" t="s">
        <v>340</v>
      </c>
      <c r="K1171" s="9" t="s">
        <v>53</v>
      </c>
      <c r="L1171" s="11">
        <v>1</v>
      </c>
      <c r="M1171" s="14">
        <v>9000.0</v>
      </c>
      <c r="N1171" s="14"/>
      <c r="O1171" s="16">
        <f>IF(M1171&gt;0, N1171/M1171, 0)</f>
        <v>0</v>
      </c>
      <c r="P1171" s="14">
        <f>M1171-N1171</f>
        <v>9000</v>
      </c>
      <c r="Q1171" s="14">
        <f>L1171*M1171</f>
        <v>9000</v>
      </c>
      <c r="R1171" s="14">
        <f>L1171*N1171</f>
        <v>0</v>
      </c>
      <c r="S1171" s="14">
        <f>L1171*P1171</f>
        <v>9000</v>
      </c>
      <c r="T1171" s="14"/>
      <c r="U1171" s="14">
        <f>L1171*T1171</f>
        <v>0</v>
      </c>
      <c r="V1171" s="14">
        <f>S1171-U1171</f>
        <v>9000</v>
      </c>
      <c r="W1171" s="16">
        <f>IF(S1171&gt;0, V1171/S1171, 0)</f>
        <v>1</v>
      </c>
      <c r="X1171" s="7" t="s">
        <v>39</v>
      </c>
      <c r="Y1171" s="9" t="s">
        <v>40</v>
      </c>
      <c r="Z1171" s="9" t="s">
        <v>41</v>
      </c>
      <c r="AA1171" s="9" t="s">
        <v>42</v>
      </c>
      <c r="AB1171" s="7" t="s">
        <v>42</v>
      </c>
    </row>
    <row r="1172" spans="1:28">
      <c r="A1172" s="8">
        <v>1165</v>
      </c>
      <c r="B1172" s="8" t="s">
        <v>1478</v>
      </c>
      <c r="C1172" s="8" t="s">
        <v>1450</v>
      </c>
      <c r="D1172" s="8" t="s">
        <v>652</v>
      </c>
      <c r="E1172" s="8" t="s">
        <v>33</v>
      </c>
      <c r="F1172" s="6" t="s">
        <v>50</v>
      </c>
      <c r="G1172" s="6" t="s">
        <v>35</v>
      </c>
      <c r="H1172" s="6" t="s">
        <v>36</v>
      </c>
      <c r="I1172" s="8">
        <v>146</v>
      </c>
      <c r="J1172" s="8" t="s">
        <v>257</v>
      </c>
      <c r="K1172" s="8" t="s">
        <v>53</v>
      </c>
      <c r="L1172" s="10">
        <v>2</v>
      </c>
      <c r="M1172" s="13">
        <v>8000.0</v>
      </c>
      <c r="N1172" s="13"/>
      <c r="O1172" s="15">
        <f>IF(M1172&gt;0, N1172/M1172, 0)</f>
        <v>0</v>
      </c>
      <c r="P1172" s="13">
        <f>M1172-N1172</f>
        <v>8000</v>
      </c>
      <c r="Q1172" s="13">
        <f>L1172*M1172</f>
        <v>16000</v>
      </c>
      <c r="R1172" s="13">
        <f>L1172*N1172</f>
        <v>0</v>
      </c>
      <c r="S1172" s="13">
        <f>L1172*P1172</f>
        <v>16000</v>
      </c>
      <c r="T1172" s="13"/>
      <c r="U1172" s="13">
        <f>L1172*T1172</f>
        <v>0</v>
      </c>
      <c r="V1172" s="13">
        <f>S1172-U1172</f>
        <v>16000</v>
      </c>
      <c r="W1172" s="15">
        <f>IF(S1172&gt;0, V1172/S1172, 0)</f>
        <v>1</v>
      </c>
      <c r="X1172" s="6" t="s">
        <v>39</v>
      </c>
      <c r="Y1172" s="8" t="s">
        <v>40</v>
      </c>
      <c r="Z1172" s="8" t="s">
        <v>41</v>
      </c>
      <c r="AA1172" s="8" t="s">
        <v>42</v>
      </c>
      <c r="AB1172" s="6" t="s">
        <v>42</v>
      </c>
    </row>
    <row r="1173" spans="1:28">
      <c r="A1173" s="9">
        <v>1166</v>
      </c>
      <c r="B1173" s="9" t="s">
        <v>1479</v>
      </c>
      <c r="C1173" s="9" t="s">
        <v>1450</v>
      </c>
      <c r="D1173" s="9" t="s">
        <v>652</v>
      </c>
      <c r="E1173" s="9" t="s">
        <v>33</v>
      </c>
      <c r="F1173" s="7" t="s">
        <v>50</v>
      </c>
      <c r="G1173" s="7" t="s">
        <v>69</v>
      </c>
      <c r="H1173" s="7" t="s">
        <v>69</v>
      </c>
      <c r="I1173" s="9">
        <v>152</v>
      </c>
      <c r="J1173" s="9" t="s">
        <v>350</v>
      </c>
      <c r="K1173" s="9" t="s">
        <v>38</v>
      </c>
      <c r="L1173" s="11">
        <v>1</v>
      </c>
      <c r="M1173" s="14">
        <v>16000.0</v>
      </c>
      <c r="N1173" s="14"/>
      <c r="O1173" s="16">
        <f>IF(M1173&gt;0, N1173/M1173, 0)</f>
        <v>0</v>
      </c>
      <c r="P1173" s="14">
        <f>M1173-N1173</f>
        <v>16000</v>
      </c>
      <c r="Q1173" s="14">
        <f>L1173*M1173</f>
        <v>16000</v>
      </c>
      <c r="R1173" s="14">
        <f>L1173*N1173</f>
        <v>0</v>
      </c>
      <c r="S1173" s="14">
        <f>L1173*P1173</f>
        <v>16000</v>
      </c>
      <c r="T1173" s="14"/>
      <c r="U1173" s="14">
        <f>L1173*T1173</f>
        <v>0</v>
      </c>
      <c r="V1173" s="14">
        <f>S1173-U1173</f>
        <v>16000</v>
      </c>
      <c r="W1173" s="16">
        <f>IF(S1173&gt;0, V1173/S1173, 0)</f>
        <v>1</v>
      </c>
      <c r="X1173" s="7" t="s">
        <v>39</v>
      </c>
      <c r="Y1173" s="9" t="s">
        <v>40</v>
      </c>
      <c r="Z1173" s="9" t="s">
        <v>41</v>
      </c>
      <c r="AA1173" s="9" t="s">
        <v>42</v>
      </c>
      <c r="AB1173" s="7" t="s">
        <v>42</v>
      </c>
    </row>
    <row r="1174" spans="1:28">
      <c r="A1174" s="8">
        <v>1167</v>
      </c>
      <c r="B1174" s="8" t="s">
        <v>1480</v>
      </c>
      <c r="C1174" s="8" t="s">
        <v>1450</v>
      </c>
      <c r="D1174" s="8" t="s">
        <v>652</v>
      </c>
      <c r="E1174" s="8" t="s">
        <v>33</v>
      </c>
      <c r="F1174" s="6" t="s">
        <v>50</v>
      </c>
      <c r="G1174" s="6" t="s">
        <v>63</v>
      </c>
      <c r="H1174" s="6" t="s">
        <v>148</v>
      </c>
      <c r="I1174" s="8">
        <v>152</v>
      </c>
      <c r="J1174" s="8" t="s">
        <v>251</v>
      </c>
      <c r="K1174" s="8" t="s">
        <v>38</v>
      </c>
      <c r="L1174" s="10">
        <v>1</v>
      </c>
      <c r="M1174" s="13">
        <v>9000.0</v>
      </c>
      <c r="N1174" s="13"/>
      <c r="O1174" s="15">
        <f>IF(M1174&gt;0, N1174/M1174, 0)</f>
        <v>0</v>
      </c>
      <c r="P1174" s="13">
        <f>M1174-N1174</f>
        <v>9000</v>
      </c>
      <c r="Q1174" s="13">
        <f>L1174*M1174</f>
        <v>9000</v>
      </c>
      <c r="R1174" s="13">
        <f>L1174*N1174</f>
        <v>0</v>
      </c>
      <c r="S1174" s="13">
        <f>L1174*P1174</f>
        <v>9000</v>
      </c>
      <c r="T1174" s="13"/>
      <c r="U1174" s="13">
        <f>L1174*T1174</f>
        <v>0</v>
      </c>
      <c r="V1174" s="13">
        <f>S1174-U1174</f>
        <v>9000</v>
      </c>
      <c r="W1174" s="15">
        <f>IF(S1174&gt;0, V1174/S1174, 0)</f>
        <v>1</v>
      </c>
      <c r="X1174" s="6" t="s">
        <v>39</v>
      </c>
      <c r="Y1174" s="8" t="s">
        <v>40</v>
      </c>
      <c r="Z1174" s="8" t="s">
        <v>41</v>
      </c>
      <c r="AA1174" s="8" t="s">
        <v>42</v>
      </c>
      <c r="AB1174" s="6" t="s">
        <v>42</v>
      </c>
    </row>
    <row r="1175" spans="1:28">
      <c r="A1175" s="9">
        <v>1168</v>
      </c>
      <c r="B1175" s="9" t="s">
        <v>1481</v>
      </c>
      <c r="C1175" s="9" t="s">
        <v>1450</v>
      </c>
      <c r="D1175" s="9" t="s">
        <v>652</v>
      </c>
      <c r="E1175" s="9" t="s">
        <v>33</v>
      </c>
      <c r="F1175" s="7" t="s">
        <v>50</v>
      </c>
      <c r="G1175" s="7" t="s">
        <v>56</v>
      </c>
      <c r="H1175" s="7" t="s">
        <v>56</v>
      </c>
      <c r="I1175" s="9">
        <v>152</v>
      </c>
      <c r="J1175" s="9" t="s">
        <v>311</v>
      </c>
      <c r="K1175" s="9" t="s">
        <v>38</v>
      </c>
      <c r="L1175" s="11">
        <v>1</v>
      </c>
      <c r="M1175" s="14">
        <v>7000.0</v>
      </c>
      <c r="N1175" s="14"/>
      <c r="O1175" s="16">
        <f>IF(M1175&gt;0, N1175/M1175, 0)</f>
        <v>0</v>
      </c>
      <c r="P1175" s="14">
        <f>M1175-N1175</f>
        <v>7000</v>
      </c>
      <c r="Q1175" s="14">
        <f>L1175*M1175</f>
        <v>7000</v>
      </c>
      <c r="R1175" s="14">
        <f>L1175*N1175</f>
        <v>0</v>
      </c>
      <c r="S1175" s="14">
        <f>L1175*P1175</f>
        <v>7000</v>
      </c>
      <c r="T1175" s="14"/>
      <c r="U1175" s="14">
        <f>L1175*T1175</f>
        <v>0</v>
      </c>
      <c r="V1175" s="14">
        <f>S1175-U1175</f>
        <v>7000</v>
      </c>
      <c r="W1175" s="16">
        <f>IF(S1175&gt;0, V1175/S1175, 0)</f>
        <v>1</v>
      </c>
      <c r="X1175" s="7" t="s">
        <v>39</v>
      </c>
      <c r="Y1175" s="9" t="s">
        <v>40</v>
      </c>
      <c r="Z1175" s="9" t="s">
        <v>41</v>
      </c>
      <c r="AA1175" s="9" t="s">
        <v>42</v>
      </c>
      <c r="AB1175" s="7" t="s">
        <v>42</v>
      </c>
    </row>
    <row r="1176" spans="1:28">
      <c r="A1176" s="8">
        <v>1169</v>
      </c>
      <c r="B1176" s="8" t="s">
        <v>1482</v>
      </c>
      <c r="C1176" s="8" t="s">
        <v>1450</v>
      </c>
      <c r="D1176" s="8" t="s">
        <v>652</v>
      </c>
      <c r="E1176" s="8" t="s">
        <v>33</v>
      </c>
      <c r="F1176" s="6" t="s">
        <v>50</v>
      </c>
      <c r="G1176" s="6" t="s">
        <v>51</v>
      </c>
      <c r="H1176" s="6" t="s">
        <v>51</v>
      </c>
      <c r="I1176" s="8">
        <v>152</v>
      </c>
      <c r="J1176" s="8" t="s">
        <v>402</v>
      </c>
      <c r="K1176" s="8" t="s">
        <v>53</v>
      </c>
      <c r="L1176" s="10">
        <v>1</v>
      </c>
      <c r="M1176" s="13">
        <v>8000.0</v>
      </c>
      <c r="N1176" s="13"/>
      <c r="O1176" s="15">
        <f>IF(M1176&gt;0, N1176/M1176, 0)</f>
        <v>0</v>
      </c>
      <c r="P1176" s="13">
        <f>M1176-N1176</f>
        <v>8000</v>
      </c>
      <c r="Q1176" s="13">
        <f>L1176*M1176</f>
        <v>8000</v>
      </c>
      <c r="R1176" s="13">
        <f>L1176*N1176</f>
        <v>0</v>
      </c>
      <c r="S1176" s="13">
        <f>L1176*P1176</f>
        <v>8000</v>
      </c>
      <c r="T1176" s="13"/>
      <c r="U1176" s="13">
        <f>L1176*T1176</f>
        <v>0</v>
      </c>
      <c r="V1176" s="13">
        <f>S1176-U1176</f>
        <v>8000</v>
      </c>
      <c r="W1176" s="15">
        <f>IF(S1176&gt;0, V1176/S1176, 0)</f>
        <v>1</v>
      </c>
      <c r="X1176" s="6" t="s">
        <v>39</v>
      </c>
      <c r="Y1176" s="8" t="s">
        <v>40</v>
      </c>
      <c r="Z1176" s="8" t="s">
        <v>41</v>
      </c>
      <c r="AA1176" s="8" t="s">
        <v>42</v>
      </c>
      <c r="AB1176" s="6" t="s">
        <v>42</v>
      </c>
    </row>
    <row r="1177" spans="1:28">
      <c r="A1177" s="9">
        <v>1170</v>
      </c>
      <c r="B1177" s="9" t="s">
        <v>1483</v>
      </c>
      <c r="C1177" s="9" t="s">
        <v>1450</v>
      </c>
      <c r="D1177" s="9" t="s">
        <v>652</v>
      </c>
      <c r="E1177" s="9" t="s">
        <v>33</v>
      </c>
      <c r="F1177" s="7" t="s">
        <v>50</v>
      </c>
      <c r="G1177" s="7" t="s">
        <v>35</v>
      </c>
      <c r="H1177" s="7" t="s">
        <v>73</v>
      </c>
      <c r="I1177" s="9">
        <v>152</v>
      </c>
      <c r="J1177" s="9" t="s">
        <v>605</v>
      </c>
      <c r="K1177" s="9" t="s">
        <v>53</v>
      </c>
      <c r="L1177" s="11">
        <v>1</v>
      </c>
      <c r="M1177" s="14">
        <v>8000.0</v>
      </c>
      <c r="N1177" s="14"/>
      <c r="O1177" s="16">
        <f>IF(M1177&gt;0, N1177/M1177, 0)</f>
        <v>0</v>
      </c>
      <c r="P1177" s="14">
        <f>M1177-N1177</f>
        <v>8000</v>
      </c>
      <c r="Q1177" s="14">
        <f>L1177*M1177</f>
        <v>8000</v>
      </c>
      <c r="R1177" s="14">
        <f>L1177*N1177</f>
        <v>0</v>
      </c>
      <c r="S1177" s="14">
        <f>L1177*P1177</f>
        <v>8000</v>
      </c>
      <c r="T1177" s="14"/>
      <c r="U1177" s="14">
        <f>L1177*T1177</f>
        <v>0</v>
      </c>
      <c r="V1177" s="14">
        <f>S1177-U1177</f>
        <v>8000</v>
      </c>
      <c r="W1177" s="16">
        <f>IF(S1177&gt;0, V1177/S1177, 0)</f>
        <v>1</v>
      </c>
      <c r="X1177" s="7" t="s">
        <v>39</v>
      </c>
      <c r="Y1177" s="9" t="s">
        <v>40</v>
      </c>
      <c r="Z1177" s="9" t="s">
        <v>41</v>
      </c>
      <c r="AA1177" s="9" t="s">
        <v>42</v>
      </c>
      <c r="AB1177" s="7" t="s">
        <v>42</v>
      </c>
    </row>
    <row r="1178" spans="1:28">
      <c r="A1178" s="8">
        <v>1171</v>
      </c>
      <c r="B1178" s="8" t="s">
        <v>1484</v>
      </c>
      <c r="C1178" s="8" t="s">
        <v>1450</v>
      </c>
      <c r="D1178" s="8" t="s">
        <v>652</v>
      </c>
      <c r="E1178" s="8" t="s">
        <v>33</v>
      </c>
      <c r="F1178" s="6" t="s">
        <v>50</v>
      </c>
      <c r="G1178" s="6" t="s">
        <v>35</v>
      </c>
      <c r="H1178" s="6" t="s">
        <v>36</v>
      </c>
      <c r="I1178" s="8">
        <v>152</v>
      </c>
      <c r="J1178" s="8" t="s">
        <v>151</v>
      </c>
      <c r="K1178" s="8" t="s">
        <v>53</v>
      </c>
      <c r="L1178" s="10">
        <v>2</v>
      </c>
      <c r="M1178" s="13">
        <v>7000.0</v>
      </c>
      <c r="N1178" s="13"/>
      <c r="O1178" s="15">
        <f>IF(M1178&gt;0, N1178/M1178, 0)</f>
        <v>0</v>
      </c>
      <c r="P1178" s="13">
        <f>M1178-N1178</f>
        <v>7000</v>
      </c>
      <c r="Q1178" s="13">
        <f>L1178*M1178</f>
        <v>14000</v>
      </c>
      <c r="R1178" s="13">
        <f>L1178*N1178</f>
        <v>0</v>
      </c>
      <c r="S1178" s="13">
        <f>L1178*P1178</f>
        <v>14000</v>
      </c>
      <c r="T1178" s="13"/>
      <c r="U1178" s="13">
        <f>L1178*T1178</f>
        <v>0</v>
      </c>
      <c r="V1178" s="13">
        <f>S1178-U1178</f>
        <v>14000</v>
      </c>
      <c r="W1178" s="15">
        <f>IF(S1178&gt;0, V1178/S1178, 0)</f>
        <v>1</v>
      </c>
      <c r="X1178" s="6" t="s">
        <v>39</v>
      </c>
      <c r="Y1178" s="8" t="s">
        <v>40</v>
      </c>
      <c r="Z1178" s="8" t="s">
        <v>41</v>
      </c>
      <c r="AA1178" s="8" t="s">
        <v>42</v>
      </c>
      <c r="AB1178" s="6" t="s">
        <v>42</v>
      </c>
    </row>
    <row r="1179" spans="1:28">
      <c r="A1179" s="9">
        <v>1172</v>
      </c>
      <c r="B1179" s="9" t="s">
        <v>1485</v>
      </c>
      <c r="C1179" s="9" t="s">
        <v>1450</v>
      </c>
      <c r="D1179" s="9" t="s">
        <v>652</v>
      </c>
      <c r="E1179" s="9" t="s">
        <v>33</v>
      </c>
      <c r="F1179" s="7" t="s">
        <v>34</v>
      </c>
      <c r="G1179" s="7" t="s">
        <v>56</v>
      </c>
      <c r="H1179" s="7" t="s">
        <v>56</v>
      </c>
      <c r="I1179" s="9">
        <v>140</v>
      </c>
      <c r="J1179" s="9" t="s">
        <v>1486</v>
      </c>
      <c r="K1179" s="9" t="s">
        <v>38</v>
      </c>
      <c r="L1179" s="11">
        <v>1</v>
      </c>
      <c r="M1179" s="14">
        <v>7500.0</v>
      </c>
      <c r="N1179" s="14"/>
      <c r="O1179" s="16">
        <f>IF(M1179&gt;0, N1179/M1179, 0)</f>
        <v>0</v>
      </c>
      <c r="P1179" s="14">
        <f>M1179-N1179</f>
        <v>7500</v>
      </c>
      <c r="Q1179" s="14">
        <f>L1179*M1179</f>
        <v>7500</v>
      </c>
      <c r="R1179" s="14">
        <f>L1179*N1179</f>
        <v>0</v>
      </c>
      <c r="S1179" s="14">
        <f>L1179*P1179</f>
        <v>7500</v>
      </c>
      <c r="T1179" s="14"/>
      <c r="U1179" s="14">
        <f>L1179*T1179</f>
        <v>0</v>
      </c>
      <c r="V1179" s="14">
        <f>S1179-U1179</f>
        <v>7500</v>
      </c>
      <c r="W1179" s="16">
        <f>IF(S1179&gt;0, V1179/S1179, 0)</f>
        <v>1</v>
      </c>
      <c r="X1179" s="7" t="s">
        <v>39</v>
      </c>
      <c r="Y1179" s="9" t="s">
        <v>40</v>
      </c>
      <c r="Z1179" s="9" t="s">
        <v>41</v>
      </c>
      <c r="AA1179" s="9" t="s">
        <v>42</v>
      </c>
      <c r="AB1179" s="7" t="s">
        <v>42</v>
      </c>
    </row>
    <row r="1180" spans="1:28">
      <c r="A1180" s="8">
        <v>1173</v>
      </c>
      <c r="B1180" s="8" t="s">
        <v>1487</v>
      </c>
      <c r="C1180" s="8" t="s">
        <v>1450</v>
      </c>
      <c r="D1180" s="8" t="s">
        <v>652</v>
      </c>
      <c r="E1180" s="8" t="s">
        <v>33</v>
      </c>
      <c r="F1180" s="6" t="s">
        <v>50</v>
      </c>
      <c r="G1180" s="6" t="s">
        <v>35</v>
      </c>
      <c r="H1180" s="6" t="s">
        <v>1488</v>
      </c>
      <c r="I1180" s="8">
        <v>146</v>
      </c>
      <c r="J1180" s="8" t="s">
        <v>1489</v>
      </c>
      <c r="K1180" s="8" t="s">
        <v>53</v>
      </c>
      <c r="L1180" s="10">
        <v>1</v>
      </c>
      <c r="M1180" s="13">
        <v>8500.0</v>
      </c>
      <c r="N1180" s="13"/>
      <c r="O1180" s="15">
        <f>IF(M1180&gt;0, N1180/M1180, 0)</f>
        <v>0</v>
      </c>
      <c r="P1180" s="13">
        <f>M1180-N1180</f>
        <v>8500</v>
      </c>
      <c r="Q1180" s="13">
        <f>L1180*M1180</f>
        <v>8500</v>
      </c>
      <c r="R1180" s="13">
        <f>L1180*N1180</f>
        <v>0</v>
      </c>
      <c r="S1180" s="13">
        <f>L1180*P1180</f>
        <v>8500</v>
      </c>
      <c r="T1180" s="13"/>
      <c r="U1180" s="13">
        <f>L1180*T1180</f>
        <v>0</v>
      </c>
      <c r="V1180" s="13">
        <f>S1180-U1180</f>
        <v>8500</v>
      </c>
      <c r="W1180" s="15">
        <f>IF(S1180&gt;0, V1180/S1180, 0)</f>
        <v>1</v>
      </c>
      <c r="X1180" s="6" t="s">
        <v>39</v>
      </c>
      <c r="Y1180" s="8" t="s">
        <v>40</v>
      </c>
      <c r="Z1180" s="8" t="s">
        <v>41</v>
      </c>
      <c r="AA1180" s="8" t="s">
        <v>42</v>
      </c>
      <c r="AB1180" s="6" t="s">
        <v>42</v>
      </c>
    </row>
    <row r="1181" spans="1:28">
      <c r="A1181" s="9">
        <v>1174</v>
      </c>
      <c r="B1181" s="9" t="s">
        <v>1490</v>
      </c>
      <c r="C1181" s="9" t="s">
        <v>1450</v>
      </c>
      <c r="D1181" s="9" t="s">
        <v>652</v>
      </c>
      <c r="E1181" s="9" t="s">
        <v>33</v>
      </c>
      <c r="F1181" s="7" t="s">
        <v>50</v>
      </c>
      <c r="G1181" s="7" t="s">
        <v>35</v>
      </c>
      <c r="H1181" s="7" t="s">
        <v>36</v>
      </c>
      <c r="I1181" s="9">
        <v>146</v>
      </c>
      <c r="J1181" s="9" t="s">
        <v>257</v>
      </c>
      <c r="K1181" s="9" t="s">
        <v>53</v>
      </c>
      <c r="L1181" s="11">
        <v>2</v>
      </c>
      <c r="M1181" s="14">
        <v>7000.0</v>
      </c>
      <c r="N1181" s="14"/>
      <c r="O1181" s="16">
        <f>IF(M1181&gt;0, N1181/M1181, 0)</f>
        <v>0</v>
      </c>
      <c r="P1181" s="14">
        <f>M1181-N1181</f>
        <v>7000</v>
      </c>
      <c r="Q1181" s="14">
        <f>L1181*M1181</f>
        <v>14000</v>
      </c>
      <c r="R1181" s="14">
        <f>L1181*N1181</f>
        <v>0</v>
      </c>
      <c r="S1181" s="14">
        <f>L1181*P1181</f>
        <v>14000</v>
      </c>
      <c r="T1181" s="14"/>
      <c r="U1181" s="14">
        <f>L1181*T1181</f>
        <v>0</v>
      </c>
      <c r="V1181" s="14">
        <f>S1181-U1181</f>
        <v>14000</v>
      </c>
      <c r="W1181" s="16">
        <f>IF(S1181&gt;0, V1181/S1181, 0)</f>
        <v>1</v>
      </c>
      <c r="X1181" s="7" t="s">
        <v>39</v>
      </c>
      <c r="Y1181" s="9" t="s">
        <v>40</v>
      </c>
      <c r="Z1181" s="9" t="s">
        <v>41</v>
      </c>
      <c r="AA1181" s="9" t="s">
        <v>42</v>
      </c>
      <c r="AB1181" s="7" t="s">
        <v>42</v>
      </c>
    </row>
    <row r="1182" spans="1:28">
      <c r="A1182" s="8">
        <v>1175</v>
      </c>
      <c r="B1182" s="8" t="s">
        <v>1491</v>
      </c>
      <c r="C1182" s="8" t="s">
        <v>1450</v>
      </c>
      <c r="D1182" s="8" t="s">
        <v>652</v>
      </c>
      <c r="E1182" s="8" t="s">
        <v>33</v>
      </c>
      <c r="F1182" s="6" t="s">
        <v>50</v>
      </c>
      <c r="G1182" s="6" t="s">
        <v>51</v>
      </c>
      <c r="H1182" s="6" t="s">
        <v>51</v>
      </c>
      <c r="I1182" s="8">
        <v>128</v>
      </c>
      <c r="J1182" s="8" t="s">
        <v>390</v>
      </c>
      <c r="K1182" s="8" t="s">
        <v>53</v>
      </c>
      <c r="L1182" s="10">
        <v>1</v>
      </c>
      <c r="M1182" s="13">
        <v>8000.0</v>
      </c>
      <c r="N1182" s="13"/>
      <c r="O1182" s="15">
        <f>IF(M1182&gt;0, N1182/M1182, 0)</f>
        <v>0</v>
      </c>
      <c r="P1182" s="13">
        <f>M1182-N1182</f>
        <v>8000</v>
      </c>
      <c r="Q1182" s="13">
        <f>L1182*M1182</f>
        <v>8000</v>
      </c>
      <c r="R1182" s="13">
        <f>L1182*N1182</f>
        <v>0</v>
      </c>
      <c r="S1182" s="13">
        <f>L1182*P1182</f>
        <v>8000</v>
      </c>
      <c r="T1182" s="13"/>
      <c r="U1182" s="13">
        <f>L1182*T1182</f>
        <v>0</v>
      </c>
      <c r="V1182" s="13">
        <f>S1182-U1182</f>
        <v>8000</v>
      </c>
      <c r="W1182" s="15">
        <f>IF(S1182&gt;0, V1182/S1182, 0)</f>
        <v>1</v>
      </c>
      <c r="X1182" s="6" t="s">
        <v>39</v>
      </c>
      <c r="Y1182" s="8" t="s">
        <v>40</v>
      </c>
      <c r="Z1182" s="8" t="s">
        <v>41</v>
      </c>
      <c r="AA1182" s="8" t="s">
        <v>42</v>
      </c>
      <c r="AB1182" s="6" t="s">
        <v>42</v>
      </c>
    </row>
    <row r="1183" spans="1:28">
      <c r="A1183" s="9">
        <v>1176</v>
      </c>
      <c r="B1183" s="9" t="s">
        <v>1492</v>
      </c>
      <c r="C1183" s="9" t="s">
        <v>1450</v>
      </c>
      <c r="D1183" s="9" t="s">
        <v>652</v>
      </c>
      <c r="E1183" s="9" t="s">
        <v>33</v>
      </c>
      <c r="F1183" s="7" t="s">
        <v>50</v>
      </c>
      <c r="G1183" s="7" t="s">
        <v>56</v>
      </c>
      <c r="H1183" s="7" t="s">
        <v>56</v>
      </c>
      <c r="I1183" s="9">
        <v>110</v>
      </c>
      <c r="J1183" s="9" t="s">
        <v>957</v>
      </c>
      <c r="K1183" s="9" t="s">
        <v>38</v>
      </c>
      <c r="L1183" s="11">
        <v>1</v>
      </c>
      <c r="M1183" s="14">
        <v>7000.0</v>
      </c>
      <c r="N1183" s="14"/>
      <c r="O1183" s="16">
        <f>IF(M1183&gt;0, N1183/M1183, 0)</f>
        <v>0</v>
      </c>
      <c r="P1183" s="14">
        <f>M1183-N1183</f>
        <v>7000</v>
      </c>
      <c r="Q1183" s="14">
        <f>L1183*M1183</f>
        <v>7000</v>
      </c>
      <c r="R1183" s="14">
        <f>L1183*N1183</f>
        <v>0</v>
      </c>
      <c r="S1183" s="14">
        <f>L1183*P1183</f>
        <v>7000</v>
      </c>
      <c r="T1183" s="14"/>
      <c r="U1183" s="14">
        <f>L1183*T1183</f>
        <v>0</v>
      </c>
      <c r="V1183" s="14">
        <f>S1183-U1183</f>
        <v>7000</v>
      </c>
      <c r="W1183" s="16">
        <f>IF(S1183&gt;0, V1183/S1183, 0)</f>
        <v>1</v>
      </c>
      <c r="X1183" s="7" t="s">
        <v>39</v>
      </c>
      <c r="Y1183" s="9" t="s">
        <v>40</v>
      </c>
      <c r="Z1183" s="9" t="s">
        <v>41</v>
      </c>
      <c r="AA1183" s="9" t="s">
        <v>42</v>
      </c>
      <c r="AB1183" s="7" t="s">
        <v>42</v>
      </c>
    </row>
    <row r="1184" spans="1:28">
      <c r="A1184" s="8">
        <v>1177</v>
      </c>
      <c r="B1184" s="8" t="s">
        <v>1493</v>
      </c>
      <c r="C1184" s="8" t="s">
        <v>1450</v>
      </c>
      <c r="D1184" s="8" t="s">
        <v>652</v>
      </c>
      <c r="E1184" s="8" t="s">
        <v>33</v>
      </c>
      <c r="F1184" s="6" t="s">
        <v>50</v>
      </c>
      <c r="G1184" s="6" t="s">
        <v>35</v>
      </c>
      <c r="H1184" s="6" t="s">
        <v>36</v>
      </c>
      <c r="I1184" s="8">
        <v>134</v>
      </c>
      <c r="J1184" s="8" t="s">
        <v>177</v>
      </c>
      <c r="K1184" s="8" t="s">
        <v>53</v>
      </c>
      <c r="L1184" s="10">
        <v>1</v>
      </c>
      <c r="M1184" s="13">
        <v>7000.0</v>
      </c>
      <c r="N1184" s="13"/>
      <c r="O1184" s="15">
        <f>IF(M1184&gt;0, N1184/M1184, 0)</f>
        <v>0</v>
      </c>
      <c r="P1184" s="13">
        <f>M1184-N1184</f>
        <v>7000</v>
      </c>
      <c r="Q1184" s="13">
        <f>L1184*M1184</f>
        <v>7000</v>
      </c>
      <c r="R1184" s="13">
        <f>L1184*N1184</f>
        <v>0</v>
      </c>
      <c r="S1184" s="13">
        <f>L1184*P1184</f>
        <v>7000</v>
      </c>
      <c r="T1184" s="13"/>
      <c r="U1184" s="13">
        <f>L1184*T1184</f>
        <v>0</v>
      </c>
      <c r="V1184" s="13">
        <f>S1184-U1184</f>
        <v>7000</v>
      </c>
      <c r="W1184" s="15">
        <f>IF(S1184&gt;0, V1184/S1184, 0)</f>
        <v>1</v>
      </c>
      <c r="X1184" s="6" t="s">
        <v>39</v>
      </c>
      <c r="Y1184" s="8" t="s">
        <v>40</v>
      </c>
      <c r="Z1184" s="8" t="s">
        <v>41</v>
      </c>
      <c r="AA1184" s="8" t="s">
        <v>42</v>
      </c>
      <c r="AB1184" s="6" t="s">
        <v>42</v>
      </c>
    </row>
    <row r="1185" spans="1:28">
      <c r="A1185" s="9">
        <v>1178</v>
      </c>
      <c r="B1185" s="9" t="s">
        <v>1494</v>
      </c>
      <c r="C1185" s="9" t="s">
        <v>1450</v>
      </c>
      <c r="D1185" s="9" t="s">
        <v>652</v>
      </c>
      <c r="E1185" s="9" t="s">
        <v>33</v>
      </c>
      <c r="F1185" s="7" t="s">
        <v>50</v>
      </c>
      <c r="G1185" s="7" t="s">
        <v>35</v>
      </c>
      <c r="H1185" s="7" t="s">
        <v>36</v>
      </c>
      <c r="I1185" s="9">
        <v>128</v>
      </c>
      <c r="J1185" s="9" t="s">
        <v>156</v>
      </c>
      <c r="K1185" s="9" t="s">
        <v>53</v>
      </c>
      <c r="L1185" s="11">
        <v>1</v>
      </c>
      <c r="M1185" s="14">
        <v>7000.0</v>
      </c>
      <c r="N1185" s="14"/>
      <c r="O1185" s="16">
        <f>IF(M1185&gt;0, N1185/M1185, 0)</f>
        <v>0</v>
      </c>
      <c r="P1185" s="14">
        <f>M1185-N1185</f>
        <v>7000</v>
      </c>
      <c r="Q1185" s="14">
        <f>L1185*M1185</f>
        <v>7000</v>
      </c>
      <c r="R1185" s="14">
        <f>L1185*N1185</f>
        <v>0</v>
      </c>
      <c r="S1185" s="14">
        <f>L1185*P1185</f>
        <v>7000</v>
      </c>
      <c r="T1185" s="14"/>
      <c r="U1185" s="14">
        <f>L1185*T1185</f>
        <v>0</v>
      </c>
      <c r="V1185" s="14">
        <f>S1185-U1185</f>
        <v>7000</v>
      </c>
      <c r="W1185" s="16">
        <f>IF(S1185&gt;0, V1185/S1185, 0)</f>
        <v>1</v>
      </c>
      <c r="X1185" s="7" t="s">
        <v>39</v>
      </c>
      <c r="Y1185" s="9" t="s">
        <v>40</v>
      </c>
      <c r="Z1185" s="9" t="s">
        <v>41</v>
      </c>
      <c r="AA1185" s="9" t="s">
        <v>42</v>
      </c>
      <c r="AB1185" s="7" t="s">
        <v>42</v>
      </c>
    </row>
    <row r="1186" spans="1:28">
      <c r="A1186" s="8">
        <v>1179</v>
      </c>
      <c r="B1186" s="8" t="s">
        <v>1495</v>
      </c>
      <c r="C1186" s="8" t="s">
        <v>1450</v>
      </c>
      <c r="D1186" s="8" t="s">
        <v>652</v>
      </c>
      <c r="E1186" s="8" t="s">
        <v>33</v>
      </c>
      <c r="F1186" s="6" t="s">
        <v>34</v>
      </c>
      <c r="G1186" s="6" t="s">
        <v>56</v>
      </c>
      <c r="H1186" s="6" t="s">
        <v>56</v>
      </c>
      <c r="I1186" s="8">
        <v>158</v>
      </c>
      <c r="J1186" s="8" t="s">
        <v>128</v>
      </c>
      <c r="K1186" s="8" t="s">
        <v>38</v>
      </c>
      <c r="L1186" s="10">
        <v>1</v>
      </c>
      <c r="M1186" s="13">
        <v>7500.0</v>
      </c>
      <c r="N1186" s="13"/>
      <c r="O1186" s="15">
        <f>IF(M1186&gt;0, N1186/M1186, 0)</f>
        <v>0</v>
      </c>
      <c r="P1186" s="13">
        <f>M1186-N1186</f>
        <v>7500</v>
      </c>
      <c r="Q1186" s="13">
        <f>L1186*M1186</f>
        <v>7500</v>
      </c>
      <c r="R1186" s="13">
        <f>L1186*N1186</f>
        <v>0</v>
      </c>
      <c r="S1186" s="13">
        <f>L1186*P1186</f>
        <v>7500</v>
      </c>
      <c r="T1186" s="13"/>
      <c r="U1186" s="13">
        <f>L1186*T1186</f>
        <v>0</v>
      </c>
      <c r="V1186" s="13">
        <f>S1186-U1186</f>
        <v>7500</v>
      </c>
      <c r="W1186" s="15">
        <f>IF(S1186&gt;0, V1186/S1186, 0)</f>
        <v>1</v>
      </c>
      <c r="X1186" s="6" t="s">
        <v>39</v>
      </c>
      <c r="Y1186" s="8" t="s">
        <v>40</v>
      </c>
      <c r="Z1186" s="8" t="s">
        <v>41</v>
      </c>
      <c r="AA1186" s="8" t="s">
        <v>42</v>
      </c>
      <c r="AB1186" s="6" t="s">
        <v>42</v>
      </c>
    </row>
    <row r="1187" spans="1:28">
      <c r="A1187" s="9">
        <v>1180</v>
      </c>
      <c r="B1187" s="9" t="s">
        <v>1496</v>
      </c>
      <c r="C1187" s="9" t="s">
        <v>1450</v>
      </c>
      <c r="D1187" s="9" t="s">
        <v>652</v>
      </c>
      <c r="E1187" s="9" t="s">
        <v>33</v>
      </c>
      <c r="F1187" s="7" t="s">
        <v>50</v>
      </c>
      <c r="G1187" s="7" t="s">
        <v>35</v>
      </c>
      <c r="H1187" s="7" t="s">
        <v>36</v>
      </c>
      <c r="I1187" s="9">
        <v>158</v>
      </c>
      <c r="J1187" s="9" t="s">
        <v>130</v>
      </c>
      <c r="K1187" s="9" t="s">
        <v>53</v>
      </c>
      <c r="L1187" s="11">
        <v>1</v>
      </c>
      <c r="M1187" s="14">
        <v>8000.0</v>
      </c>
      <c r="N1187" s="14"/>
      <c r="O1187" s="16">
        <f>IF(M1187&gt;0, N1187/M1187, 0)</f>
        <v>0</v>
      </c>
      <c r="P1187" s="14">
        <f>M1187-N1187</f>
        <v>8000</v>
      </c>
      <c r="Q1187" s="14">
        <f>L1187*M1187</f>
        <v>8000</v>
      </c>
      <c r="R1187" s="14">
        <f>L1187*N1187</f>
        <v>0</v>
      </c>
      <c r="S1187" s="14">
        <f>L1187*P1187</f>
        <v>8000</v>
      </c>
      <c r="T1187" s="14"/>
      <c r="U1187" s="14">
        <f>L1187*T1187</f>
        <v>0</v>
      </c>
      <c r="V1187" s="14">
        <f>S1187-U1187</f>
        <v>8000</v>
      </c>
      <c r="W1187" s="16">
        <f>IF(S1187&gt;0, V1187/S1187, 0)</f>
        <v>1</v>
      </c>
      <c r="X1187" s="7" t="s">
        <v>39</v>
      </c>
      <c r="Y1187" s="9" t="s">
        <v>40</v>
      </c>
      <c r="Z1187" s="9" t="s">
        <v>41</v>
      </c>
      <c r="AA1187" s="9" t="s">
        <v>42</v>
      </c>
      <c r="AB1187" s="7" t="s">
        <v>42</v>
      </c>
    </row>
    <row r="1188" spans="1:28">
      <c r="A1188" s="8">
        <v>1181</v>
      </c>
      <c r="B1188" s="8" t="s">
        <v>1497</v>
      </c>
      <c r="C1188" s="8" t="s">
        <v>1450</v>
      </c>
      <c r="D1188" s="8" t="s">
        <v>652</v>
      </c>
      <c r="E1188" s="8" t="s">
        <v>33</v>
      </c>
      <c r="F1188" s="6" t="s">
        <v>50</v>
      </c>
      <c r="G1188" s="6" t="s">
        <v>35</v>
      </c>
      <c r="H1188" s="6" t="s">
        <v>36</v>
      </c>
      <c r="I1188" s="8">
        <v>116</v>
      </c>
      <c r="J1188" s="8" t="s">
        <v>92</v>
      </c>
      <c r="K1188" s="8" t="s">
        <v>53</v>
      </c>
      <c r="L1188" s="10">
        <v>1</v>
      </c>
      <c r="M1188" s="13">
        <v>7000.0</v>
      </c>
      <c r="N1188" s="13"/>
      <c r="O1188" s="15">
        <f>IF(M1188&gt;0, N1188/M1188, 0)</f>
        <v>0</v>
      </c>
      <c r="P1188" s="13">
        <f>M1188-N1188</f>
        <v>7000</v>
      </c>
      <c r="Q1188" s="13">
        <f>L1188*M1188</f>
        <v>7000</v>
      </c>
      <c r="R1188" s="13">
        <f>L1188*N1188</f>
        <v>0</v>
      </c>
      <c r="S1188" s="13">
        <f>L1188*P1188</f>
        <v>7000</v>
      </c>
      <c r="T1188" s="13"/>
      <c r="U1188" s="13">
        <f>L1188*T1188</f>
        <v>0</v>
      </c>
      <c r="V1188" s="13">
        <f>S1188-U1188</f>
        <v>7000</v>
      </c>
      <c r="W1188" s="15">
        <f>IF(S1188&gt;0, V1188/S1188, 0)</f>
        <v>1</v>
      </c>
      <c r="X1188" s="6" t="s">
        <v>39</v>
      </c>
      <c r="Y1188" s="8" t="s">
        <v>40</v>
      </c>
      <c r="Z1188" s="8" t="s">
        <v>41</v>
      </c>
      <c r="AA1188" s="8" t="s">
        <v>42</v>
      </c>
      <c r="AB1188" s="6" t="s">
        <v>42</v>
      </c>
    </row>
    <row r="1189" spans="1:28">
      <c r="A1189" s="9">
        <v>1182</v>
      </c>
      <c r="B1189" s="9" t="s">
        <v>1498</v>
      </c>
      <c r="C1189" s="9" t="s">
        <v>1450</v>
      </c>
      <c r="D1189" s="9" t="s">
        <v>652</v>
      </c>
      <c r="E1189" s="9" t="s">
        <v>33</v>
      </c>
      <c r="F1189" s="7" t="s">
        <v>50</v>
      </c>
      <c r="G1189" s="7" t="s">
        <v>35</v>
      </c>
      <c r="H1189" s="7" t="s">
        <v>73</v>
      </c>
      <c r="I1189" s="9">
        <v>140</v>
      </c>
      <c r="J1189" s="9" t="s">
        <v>570</v>
      </c>
      <c r="K1189" s="9" t="s">
        <v>53</v>
      </c>
      <c r="L1189" s="11">
        <v>1</v>
      </c>
      <c r="M1189" s="14">
        <v>8000.0</v>
      </c>
      <c r="N1189" s="14"/>
      <c r="O1189" s="16">
        <f>IF(M1189&gt;0, N1189/M1189, 0)</f>
        <v>0</v>
      </c>
      <c r="P1189" s="14">
        <f>M1189-N1189</f>
        <v>8000</v>
      </c>
      <c r="Q1189" s="14">
        <f>L1189*M1189</f>
        <v>8000</v>
      </c>
      <c r="R1189" s="14">
        <f>L1189*N1189</f>
        <v>0</v>
      </c>
      <c r="S1189" s="14">
        <f>L1189*P1189</f>
        <v>8000</v>
      </c>
      <c r="T1189" s="14"/>
      <c r="U1189" s="14">
        <f>L1189*T1189</f>
        <v>0</v>
      </c>
      <c r="V1189" s="14">
        <f>S1189-U1189</f>
        <v>8000</v>
      </c>
      <c r="W1189" s="16">
        <f>IF(S1189&gt;0, V1189/S1189, 0)</f>
        <v>1</v>
      </c>
      <c r="X1189" s="7" t="s">
        <v>39</v>
      </c>
      <c r="Y1189" s="9" t="s">
        <v>40</v>
      </c>
      <c r="Z1189" s="9" t="s">
        <v>41</v>
      </c>
      <c r="AA1189" s="9" t="s">
        <v>42</v>
      </c>
      <c r="AB1189" s="7" t="s">
        <v>42</v>
      </c>
    </row>
    <row r="1190" spans="1:28">
      <c r="A1190" s="8">
        <v>1183</v>
      </c>
      <c r="B1190" s="8" t="s">
        <v>1499</v>
      </c>
      <c r="C1190" s="8" t="s">
        <v>1450</v>
      </c>
      <c r="D1190" s="8" t="s">
        <v>652</v>
      </c>
      <c r="E1190" s="8" t="s">
        <v>33</v>
      </c>
      <c r="F1190" s="6" t="s">
        <v>50</v>
      </c>
      <c r="G1190" s="6" t="s">
        <v>35</v>
      </c>
      <c r="H1190" s="6" t="s">
        <v>73</v>
      </c>
      <c r="I1190" s="8">
        <v>134</v>
      </c>
      <c r="J1190" s="8" t="s">
        <v>146</v>
      </c>
      <c r="K1190" s="8" t="s">
        <v>53</v>
      </c>
      <c r="L1190" s="10">
        <v>1</v>
      </c>
      <c r="M1190" s="13">
        <v>8000.0</v>
      </c>
      <c r="N1190" s="13"/>
      <c r="O1190" s="15">
        <f>IF(M1190&gt;0, N1190/M1190, 0)</f>
        <v>0</v>
      </c>
      <c r="P1190" s="13">
        <f>M1190-N1190</f>
        <v>8000</v>
      </c>
      <c r="Q1190" s="13">
        <f>L1190*M1190</f>
        <v>8000</v>
      </c>
      <c r="R1190" s="13">
        <f>L1190*N1190</f>
        <v>0</v>
      </c>
      <c r="S1190" s="13">
        <f>L1190*P1190</f>
        <v>8000</v>
      </c>
      <c r="T1190" s="13"/>
      <c r="U1190" s="13">
        <f>L1190*T1190</f>
        <v>0</v>
      </c>
      <c r="V1190" s="13">
        <f>S1190-U1190</f>
        <v>8000</v>
      </c>
      <c r="W1190" s="15">
        <f>IF(S1190&gt;0, V1190/S1190, 0)</f>
        <v>1</v>
      </c>
      <c r="X1190" s="6" t="s">
        <v>39</v>
      </c>
      <c r="Y1190" s="8" t="s">
        <v>40</v>
      </c>
      <c r="Z1190" s="8" t="s">
        <v>41</v>
      </c>
      <c r="AA1190" s="8" t="s">
        <v>42</v>
      </c>
      <c r="AB1190" s="6" t="s">
        <v>42</v>
      </c>
    </row>
    <row r="1191" spans="1:28">
      <c r="A1191" s="9">
        <v>1184</v>
      </c>
      <c r="B1191" s="9" t="s">
        <v>1500</v>
      </c>
      <c r="C1191" s="9" t="s">
        <v>1450</v>
      </c>
      <c r="D1191" s="9" t="s">
        <v>652</v>
      </c>
      <c r="E1191" s="9" t="s">
        <v>33</v>
      </c>
      <c r="F1191" s="7" t="s">
        <v>50</v>
      </c>
      <c r="G1191" s="7" t="s">
        <v>35</v>
      </c>
      <c r="H1191" s="7" t="s">
        <v>36</v>
      </c>
      <c r="I1191" s="9">
        <v>134</v>
      </c>
      <c r="J1191" s="9" t="s">
        <v>177</v>
      </c>
      <c r="K1191" s="9" t="s">
        <v>53</v>
      </c>
      <c r="L1191" s="11">
        <v>1</v>
      </c>
      <c r="M1191" s="14">
        <v>7000.0</v>
      </c>
      <c r="N1191" s="14"/>
      <c r="O1191" s="16">
        <f>IF(M1191&gt;0, N1191/M1191, 0)</f>
        <v>0</v>
      </c>
      <c r="P1191" s="14">
        <f>M1191-N1191</f>
        <v>7000</v>
      </c>
      <c r="Q1191" s="14">
        <f>L1191*M1191</f>
        <v>7000</v>
      </c>
      <c r="R1191" s="14">
        <f>L1191*N1191</f>
        <v>0</v>
      </c>
      <c r="S1191" s="14">
        <f>L1191*P1191</f>
        <v>7000</v>
      </c>
      <c r="T1191" s="14"/>
      <c r="U1191" s="14">
        <f>L1191*T1191</f>
        <v>0</v>
      </c>
      <c r="V1191" s="14">
        <f>S1191-U1191</f>
        <v>7000</v>
      </c>
      <c r="W1191" s="16">
        <f>IF(S1191&gt;0, V1191/S1191, 0)</f>
        <v>1</v>
      </c>
      <c r="X1191" s="7" t="s">
        <v>39</v>
      </c>
      <c r="Y1191" s="9" t="s">
        <v>40</v>
      </c>
      <c r="Z1191" s="9" t="s">
        <v>41</v>
      </c>
      <c r="AA1191" s="9" t="s">
        <v>42</v>
      </c>
      <c r="AB1191" s="7" t="s">
        <v>42</v>
      </c>
    </row>
    <row r="1192" spans="1:28">
      <c r="A1192" s="8">
        <v>1185</v>
      </c>
      <c r="B1192" s="8" t="s">
        <v>1501</v>
      </c>
      <c r="C1192" s="8" t="s">
        <v>1450</v>
      </c>
      <c r="D1192" s="8" t="s">
        <v>652</v>
      </c>
      <c r="E1192" s="8" t="s">
        <v>33</v>
      </c>
      <c r="F1192" s="6" t="s">
        <v>50</v>
      </c>
      <c r="G1192" s="6" t="s">
        <v>51</v>
      </c>
      <c r="H1192" s="6" t="s">
        <v>51</v>
      </c>
      <c r="I1192" s="8">
        <v>134</v>
      </c>
      <c r="J1192" s="8" t="s">
        <v>175</v>
      </c>
      <c r="K1192" s="8" t="s">
        <v>53</v>
      </c>
      <c r="L1192" s="10">
        <v>1</v>
      </c>
      <c r="M1192" s="13">
        <v>8000.0</v>
      </c>
      <c r="N1192" s="13"/>
      <c r="O1192" s="15">
        <f>IF(M1192&gt;0, N1192/M1192, 0)</f>
        <v>0</v>
      </c>
      <c r="P1192" s="13">
        <f>M1192-N1192</f>
        <v>8000</v>
      </c>
      <c r="Q1192" s="13">
        <f>L1192*M1192</f>
        <v>8000</v>
      </c>
      <c r="R1192" s="13">
        <f>L1192*N1192</f>
        <v>0</v>
      </c>
      <c r="S1192" s="13">
        <f>L1192*P1192</f>
        <v>8000</v>
      </c>
      <c r="T1192" s="13"/>
      <c r="U1192" s="13">
        <f>L1192*T1192</f>
        <v>0</v>
      </c>
      <c r="V1192" s="13">
        <f>S1192-U1192</f>
        <v>8000</v>
      </c>
      <c r="W1192" s="15">
        <f>IF(S1192&gt;0, V1192/S1192, 0)</f>
        <v>1</v>
      </c>
      <c r="X1192" s="6" t="s">
        <v>39</v>
      </c>
      <c r="Y1192" s="8" t="s">
        <v>40</v>
      </c>
      <c r="Z1192" s="8" t="s">
        <v>41</v>
      </c>
      <c r="AA1192" s="8" t="s">
        <v>42</v>
      </c>
      <c r="AB1192" s="6" t="s">
        <v>42</v>
      </c>
    </row>
    <row r="1193" spans="1:28">
      <c r="A1193" s="9">
        <v>1186</v>
      </c>
      <c r="B1193" s="9" t="s">
        <v>1502</v>
      </c>
      <c r="C1193" s="9" t="s">
        <v>1450</v>
      </c>
      <c r="D1193" s="9" t="s">
        <v>652</v>
      </c>
      <c r="E1193" s="9" t="s">
        <v>33</v>
      </c>
      <c r="F1193" s="7" t="s">
        <v>34</v>
      </c>
      <c r="G1193" s="7" t="s">
        <v>69</v>
      </c>
      <c r="H1193" s="7" t="s">
        <v>69</v>
      </c>
      <c r="I1193" s="9">
        <v>182</v>
      </c>
      <c r="J1193" s="9" t="s">
        <v>422</v>
      </c>
      <c r="K1193" s="9" t="s">
        <v>38</v>
      </c>
      <c r="L1193" s="11">
        <v>1</v>
      </c>
      <c r="M1193" s="14">
        <v>16500.0</v>
      </c>
      <c r="N1193" s="14"/>
      <c r="O1193" s="16">
        <f>IF(M1193&gt;0, N1193/M1193, 0)</f>
        <v>0</v>
      </c>
      <c r="P1193" s="14">
        <f>M1193-N1193</f>
        <v>16500</v>
      </c>
      <c r="Q1193" s="14">
        <f>L1193*M1193</f>
        <v>16500</v>
      </c>
      <c r="R1193" s="14">
        <f>L1193*N1193</f>
        <v>0</v>
      </c>
      <c r="S1193" s="14">
        <f>L1193*P1193</f>
        <v>16500</v>
      </c>
      <c r="T1193" s="14"/>
      <c r="U1193" s="14">
        <f>L1193*T1193</f>
        <v>0</v>
      </c>
      <c r="V1193" s="14">
        <f>S1193-U1193</f>
        <v>16500</v>
      </c>
      <c r="W1193" s="16">
        <f>IF(S1193&gt;0, V1193/S1193, 0)</f>
        <v>1</v>
      </c>
      <c r="X1193" s="7" t="s">
        <v>39</v>
      </c>
      <c r="Y1193" s="9" t="s">
        <v>40</v>
      </c>
      <c r="Z1193" s="9" t="s">
        <v>41</v>
      </c>
      <c r="AA1193" s="9" t="s">
        <v>42</v>
      </c>
      <c r="AB1193" s="7" t="s">
        <v>42</v>
      </c>
    </row>
    <row r="1194" spans="1:28">
      <c r="A1194" s="8">
        <v>1187</v>
      </c>
      <c r="B1194" s="8" t="s">
        <v>1503</v>
      </c>
      <c r="C1194" s="8" t="s">
        <v>1450</v>
      </c>
      <c r="D1194" s="8" t="s">
        <v>652</v>
      </c>
      <c r="E1194" s="8" t="s">
        <v>33</v>
      </c>
      <c r="F1194" s="6" t="s">
        <v>34</v>
      </c>
      <c r="G1194" s="6" t="s">
        <v>35</v>
      </c>
      <c r="H1194" s="6" t="s">
        <v>36</v>
      </c>
      <c r="I1194" s="8">
        <v>188</v>
      </c>
      <c r="J1194" s="8" t="s">
        <v>368</v>
      </c>
      <c r="K1194" s="8" t="s">
        <v>38</v>
      </c>
      <c r="L1194" s="10">
        <v>1</v>
      </c>
      <c r="M1194" s="13">
        <v>8000.0</v>
      </c>
      <c r="N1194" s="13"/>
      <c r="O1194" s="15">
        <f>IF(M1194&gt;0, N1194/M1194, 0)</f>
        <v>0</v>
      </c>
      <c r="P1194" s="13">
        <f>M1194-N1194</f>
        <v>8000</v>
      </c>
      <c r="Q1194" s="13">
        <f>L1194*M1194</f>
        <v>8000</v>
      </c>
      <c r="R1194" s="13">
        <f>L1194*N1194</f>
        <v>0</v>
      </c>
      <c r="S1194" s="13">
        <f>L1194*P1194</f>
        <v>8000</v>
      </c>
      <c r="T1194" s="13"/>
      <c r="U1194" s="13">
        <f>L1194*T1194</f>
        <v>0</v>
      </c>
      <c r="V1194" s="13">
        <f>S1194-U1194</f>
        <v>8000</v>
      </c>
      <c r="W1194" s="15">
        <f>IF(S1194&gt;0, V1194/S1194, 0)</f>
        <v>1</v>
      </c>
      <c r="X1194" s="6" t="s">
        <v>39</v>
      </c>
      <c r="Y1194" s="8" t="s">
        <v>40</v>
      </c>
      <c r="Z1194" s="8" t="s">
        <v>41</v>
      </c>
      <c r="AA1194" s="8" t="s">
        <v>42</v>
      </c>
      <c r="AB1194" s="6" t="s">
        <v>42</v>
      </c>
    </row>
    <row r="1195" spans="1:28">
      <c r="A1195" s="9">
        <v>1188</v>
      </c>
      <c r="B1195" s="9" t="s">
        <v>1504</v>
      </c>
      <c r="C1195" s="9" t="s">
        <v>1450</v>
      </c>
      <c r="D1195" s="9" t="s">
        <v>652</v>
      </c>
      <c r="E1195" s="9" t="s">
        <v>33</v>
      </c>
      <c r="F1195" s="7" t="s">
        <v>50</v>
      </c>
      <c r="G1195" s="7" t="s">
        <v>45</v>
      </c>
      <c r="H1195" s="7" t="s">
        <v>46</v>
      </c>
      <c r="I1195" s="9">
        <v>158</v>
      </c>
      <c r="J1195" s="9" t="s">
        <v>441</v>
      </c>
      <c r="K1195" s="9" t="s">
        <v>38</v>
      </c>
      <c r="L1195" s="11">
        <v>1</v>
      </c>
      <c r="M1195" s="14">
        <v>18000.0</v>
      </c>
      <c r="N1195" s="14"/>
      <c r="O1195" s="16">
        <f>IF(M1195&gt;0, N1195/M1195, 0)</f>
        <v>0</v>
      </c>
      <c r="P1195" s="14">
        <f>M1195-N1195</f>
        <v>18000</v>
      </c>
      <c r="Q1195" s="14">
        <f>L1195*M1195</f>
        <v>18000</v>
      </c>
      <c r="R1195" s="14">
        <f>L1195*N1195</f>
        <v>0</v>
      </c>
      <c r="S1195" s="14">
        <f>L1195*P1195</f>
        <v>18000</v>
      </c>
      <c r="T1195" s="14"/>
      <c r="U1195" s="14">
        <f>L1195*T1195</f>
        <v>0</v>
      </c>
      <c r="V1195" s="14">
        <f>S1195-U1195</f>
        <v>18000</v>
      </c>
      <c r="W1195" s="16">
        <f>IF(S1195&gt;0, V1195/S1195, 0)</f>
        <v>1</v>
      </c>
      <c r="X1195" s="7" t="s">
        <v>39</v>
      </c>
      <c r="Y1195" s="9" t="s">
        <v>40</v>
      </c>
      <c r="Z1195" s="9" t="s">
        <v>41</v>
      </c>
      <c r="AA1195" s="9" t="s">
        <v>42</v>
      </c>
      <c r="AB1195" s="7" t="s">
        <v>42</v>
      </c>
    </row>
    <row r="1196" spans="1:28">
      <c r="A1196" s="8">
        <v>1189</v>
      </c>
      <c r="B1196" s="8" t="s">
        <v>1505</v>
      </c>
      <c r="C1196" s="8" t="s">
        <v>1450</v>
      </c>
      <c r="D1196" s="8" t="s">
        <v>652</v>
      </c>
      <c r="E1196" s="8" t="s">
        <v>33</v>
      </c>
      <c r="F1196" s="6" t="s">
        <v>50</v>
      </c>
      <c r="G1196" s="6" t="s">
        <v>51</v>
      </c>
      <c r="H1196" s="6" t="s">
        <v>51</v>
      </c>
      <c r="I1196" s="8">
        <v>152</v>
      </c>
      <c r="J1196" s="8" t="s">
        <v>402</v>
      </c>
      <c r="K1196" s="8" t="s">
        <v>53</v>
      </c>
      <c r="L1196" s="10">
        <v>1</v>
      </c>
      <c r="M1196" s="13">
        <v>8000.0</v>
      </c>
      <c r="N1196" s="13"/>
      <c r="O1196" s="15">
        <f>IF(M1196&gt;0, N1196/M1196, 0)</f>
        <v>0</v>
      </c>
      <c r="P1196" s="13">
        <f>M1196-N1196</f>
        <v>8000</v>
      </c>
      <c r="Q1196" s="13">
        <f>L1196*M1196</f>
        <v>8000</v>
      </c>
      <c r="R1196" s="13">
        <f>L1196*N1196</f>
        <v>0</v>
      </c>
      <c r="S1196" s="13">
        <f>L1196*P1196</f>
        <v>8000</v>
      </c>
      <c r="T1196" s="13"/>
      <c r="U1196" s="13">
        <f>L1196*T1196</f>
        <v>0</v>
      </c>
      <c r="V1196" s="13">
        <f>S1196-U1196</f>
        <v>8000</v>
      </c>
      <c r="W1196" s="15">
        <f>IF(S1196&gt;0, V1196/S1196, 0)</f>
        <v>1</v>
      </c>
      <c r="X1196" s="6" t="s">
        <v>39</v>
      </c>
      <c r="Y1196" s="8" t="s">
        <v>40</v>
      </c>
      <c r="Z1196" s="8" t="s">
        <v>41</v>
      </c>
      <c r="AA1196" s="8" t="s">
        <v>42</v>
      </c>
      <c r="AB1196" s="6" t="s">
        <v>42</v>
      </c>
    </row>
    <row r="1197" spans="1:28">
      <c r="A1197" s="9">
        <v>1190</v>
      </c>
      <c r="B1197" s="9" t="s">
        <v>1506</v>
      </c>
      <c r="C1197" s="9" t="s">
        <v>1450</v>
      </c>
      <c r="D1197" s="9" t="s">
        <v>652</v>
      </c>
      <c r="E1197" s="9" t="s">
        <v>33</v>
      </c>
      <c r="F1197" s="7" t="s">
        <v>50</v>
      </c>
      <c r="G1197" s="7" t="s">
        <v>35</v>
      </c>
      <c r="H1197" s="7" t="s">
        <v>36</v>
      </c>
      <c r="I1197" s="9">
        <v>152</v>
      </c>
      <c r="J1197" s="9" t="s">
        <v>151</v>
      </c>
      <c r="K1197" s="9" t="s">
        <v>53</v>
      </c>
      <c r="L1197" s="11">
        <v>1</v>
      </c>
      <c r="M1197" s="14">
        <v>7000.0</v>
      </c>
      <c r="N1197" s="14"/>
      <c r="O1197" s="16">
        <f>IF(M1197&gt;0, N1197/M1197, 0)</f>
        <v>0</v>
      </c>
      <c r="P1197" s="14">
        <f>M1197-N1197</f>
        <v>7000</v>
      </c>
      <c r="Q1197" s="14">
        <f>L1197*M1197</f>
        <v>7000</v>
      </c>
      <c r="R1197" s="14">
        <f>L1197*N1197</f>
        <v>0</v>
      </c>
      <c r="S1197" s="14">
        <f>L1197*P1197</f>
        <v>7000</v>
      </c>
      <c r="T1197" s="14"/>
      <c r="U1197" s="14">
        <f>L1197*T1197</f>
        <v>0</v>
      </c>
      <c r="V1197" s="14">
        <f>S1197-U1197</f>
        <v>7000</v>
      </c>
      <c r="W1197" s="16">
        <f>IF(S1197&gt;0, V1197/S1197, 0)</f>
        <v>1</v>
      </c>
      <c r="X1197" s="7" t="s">
        <v>39</v>
      </c>
      <c r="Y1197" s="9" t="s">
        <v>40</v>
      </c>
      <c r="Z1197" s="9" t="s">
        <v>41</v>
      </c>
      <c r="AA1197" s="9" t="s">
        <v>42</v>
      </c>
      <c r="AB1197" s="7" t="s">
        <v>42</v>
      </c>
    </row>
    <row r="1198" spans="1:28">
      <c r="A1198" s="8">
        <v>1191</v>
      </c>
      <c r="B1198" s="8" t="s">
        <v>1507</v>
      </c>
      <c r="C1198" s="8" t="s">
        <v>1450</v>
      </c>
      <c r="D1198" s="8" t="s">
        <v>652</v>
      </c>
      <c r="E1198" s="8" t="s">
        <v>33</v>
      </c>
      <c r="F1198" s="6" t="s">
        <v>50</v>
      </c>
      <c r="G1198" s="6" t="s">
        <v>56</v>
      </c>
      <c r="H1198" s="6" t="s">
        <v>56</v>
      </c>
      <c r="I1198" s="8">
        <v>152</v>
      </c>
      <c r="J1198" s="8" t="s">
        <v>311</v>
      </c>
      <c r="K1198" s="8" t="s">
        <v>38</v>
      </c>
      <c r="L1198" s="10">
        <v>1</v>
      </c>
      <c r="M1198" s="13">
        <v>7000.0</v>
      </c>
      <c r="N1198" s="13"/>
      <c r="O1198" s="15">
        <f>IF(M1198&gt;0, N1198/M1198, 0)</f>
        <v>0</v>
      </c>
      <c r="P1198" s="13">
        <f>M1198-N1198</f>
        <v>7000</v>
      </c>
      <c r="Q1198" s="13">
        <f>L1198*M1198</f>
        <v>7000</v>
      </c>
      <c r="R1198" s="13">
        <f>L1198*N1198</f>
        <v>0</v>
      </c>
      <c r="S1198" s="13">
        <f>L1198*P1198</f>
        <v>7000</v>
      </c>
      <c r="T1198" s="13"/>
      <c r="U1198" s="13">
        <f>L1198*T1198</f>
        <v>0</v>
      </c>
      <c r="V1198" s="13">
        <f>S1198-U1198</f>
        <v>7000</v>
      </c>
      <c r="W1198" s="15">
        <f>IF(S1198&gt;0, V1198/S1198, 0)</f>
        <v>1</v>
      </c>
      <c r="X1198" s="6" t="s">
        <v>39</v>
      </c>
      <c r="Y1198" s="8" t="s">
        <v>40</v>
      </c>
      <c r="Z1198" s="8" t="s">
        <v>41</v>
      </c>
      <c r="AA1198" s="8" t="s">
        <v>42</v>
      </c>
      <c r="AB1198" s="6" t="s">
        <v>42</v>
      </c>
    </row>
    <row r="1199" spans="1:28">
      <c r="A1199" s="9">
        <v>1192</v>
      </c>
      <c r="B1199" s="9" t="s">
        <v>1508</v>
      </c>
      <c r="C1199" s="9" t="s">
        <v>1450</v>
      </c>
      <c r="D1199" s="9" t="s">
        <v>652</v>
      </c>
      <c r="E1199" s="9" t="s">
        <v>33</v>
      </c>
      <c r="F1199" s="7" t="s">
        <v>34</v>
      </c>
      <c r="G1199" s="7" t="s">
        <v>35</v>
      </c>
      <c r="H1199" s="7" t="s">
        <v>36</v>
      </c>
      <c r="I1199" s="9">
        <v>158</v>
      </c>
      <c r="J1199" s="9" t="s">
        <v>37</v>
      </c>
      <c r="K1199" s="9" t="s">
        <v>38</v>
      </c>
      <c r="L1199" s="11">
        <v>1</v>
      </c>
      <c r="M1199" s="14">
        <v>8000.0</v>
      </c>
      <c r="N1199" s="14"/>
      <c r="O1199" s="16">
        <f>IF(M1199&gt;0, N1199/M1199, 0)</f>
        <v>0</v>
      </c>
      <c r="P1199" s="14">
        <f>M1199-N1199</f>
        <v>8000</v>
      </c>
      <c r="Q1199" s="14">
        <f>L1199*M1199</f>
        <v>8000</v>
      </c>
      <c r="R1199" s="14">
        <f>L1199*N1199</f>
        <v>0</v>
      </c>
      <c r="S1199" s="14">
        <f>L1199*P1199</f>
        <v>8000</v>
      </c>
      <c r="T1199" s="14"/>
      <c r="U1199" s="14">
        <f>L1199*T1199</f>
        <v>0</v>
      </c>
      <c r="V1199" s="14">
        <f>S1199-U1199</f>
        <v>8000</v>
      </c>
      <c r="W1199" s="16">
        <f>IF(S1199&gt;0, V1199/S1199, 0)</f>
        <v>1</v>
      </c>
      <c r="X1199" s="7" t="s">
        <v>39</v>
      </c>
      <c r="Y1199" s="9" t="s">
        <v>40</v>
      </c>
      <c r="Z1199" s="9" t="s">
        <v>41</v>
      </c>
      <c r="AA1199" s="9" t="s">
        <v>42</v>
      </c>
      <c r="AB1199" s="7" t="s">
        <v>42</v>
      </c>
    </row>
    <row r="1200" spans="1:28">
      <c r="A1200" s="8">
        <v>1193</v>
      </c>
      <c r="B1200" s="8" t="s">
        <v>1509</v>
      </c>
      <c r="C1200" s="8" t="s">
        <v>1450</v>
      </c>
      <c r="D1200" s="8" t="s">
        <v>652</v>
      </c>
      <c r="E1200" s="8" t="s">
        <v>33</v>
      </c>
      <c r="F1200" s="6" t="s">
        <v>50</v>
      </c>
      <c r="G1200" s="6" t="s">
        <v>35</v>
      </c>
      <c r="H1200" s="6" t="s">
        <v>36</v>
      </c>
      <c r="I1200" s="8">
        <v>146</v>
      </c>
      <c r="J1200" s="8" t="s">
        <v>257</v>
      </c>
      <c r="K1200" s="8" t="s">
        <v>53</v>
      </c>
      <c r="L1200" s="10">
        <v>1</v>
      </c>
      <c r="M1200" s="13">
        <v>7000.0</v>
      </c>
      <c r="N1200" s="13"/>
      <c r="O1200" s="15">
        <f>IF(M1200&gt;0, N1200/M1200, 0)</f>
        <v>0</v>
      </c>
      <c r="P1200" s="13">
        <f>M1200-N1200</f>
        <v>7000</v>
      </c>
      <c r="Q1200" s="13">
        <f>L1200*M1200</f>
        <v>7000</v>
      </c>
      <c r="R1200" s="13">
        <f>L1200*N1200</f>
        <v>0</v>
      </c>
      <c r="S1200" s="13">
        <f>L1200*P1200</f>
        <v>7000</v>
      </c>
      <c r="T1200" s="13"/>
      <c r="U1200" s="13">
        <f>L1200*T1200</f>
        <v>0</v>
      </c>
      <c r="V1200" s="13">
        <f>S1200-U1200</f>
        <v>7000</v>
      </c>
      <c r="W1200" s="15">
        <f>IF(S1200&gt;0, V1200/S1200, 0)</f>
        <v>1</v>
      </c>
      <c r="X1200" s="6" t="s">
        <v>39</v>
      </c>
      <c r="Y1200" s="8" t="s">
        <v>40</v>
      </c>
      <c r="Z1200" s="8" t="s">
        <v>41</v>
      </c>
      <c r="AA1200" s="8" t="s">
        <v>42</v>
      </c>
      <c r="AB1200" s="6" t="s">
        <v>42</v>
      </c>
    </row>
    <row r="1201" spans="1:28">
      <c r="A1201" s="9">
        <v>1194</v>
      </c>
      <c r="B1201" s="9" t="s">
        <v>1510</v>
      </c>
      <c r="C1201" s="9" t="s">
        <v>1450</v>
      </c>
      <c r="D1201" s="9" t="s">
        <v>652</v>
      </c>
      <c r="E1201" s="9" t="s">
        <v>33</v>
      </c>
      <c r="F1201" s="7" t="s">
        <v>34</v>
      </c>
      <c r="G1201" s="7" t="s">
        <v>51</v>
      </c>
      <c r="H1201" s="7" t="s">
        <v>51</v>
      </c>
      <c r="I1201" s="9">
        <v>164</v>
      </c>
      <c r="J1201" s="9" t="s">
        <v>61</v>
      </c>
      <c r="K1201" s="9" t="s">
        <v>38</v>
      </c>
      <c r="L1201" s="11">
        <v>1</v>
      </c>
      <c r="M1201" s="14">
        <v>8500.0</v>
      </c>
      <c r="N1201" s="14"/>
      <c r="O1201" s="16">
        <f>IF(M1201&gt;0, N1201/M1201, 0)</f>
        <v>0</v>
      </c>
      <c r="P1201" s="14">
        <f>M1201-N1201</f>
        <v>8500</v>
      </c>
      <c r="Q1201" s="14">
        <f>L1201*M1201</f>
        <v>8500</v>
      </c>
      <c r="R1201" s="14">
        <f>L1201*N1201</f>
        <v>0</v>
      </c>
      <c r="S1201" s="14">
        <f>L1201*P1201</f>
        <v>8500</v>
      </c>
      <c r="T1201" s="14"/>
      <c r="U1201" s="14">
        <f>L1201*T1201</f>
        <v>0</v>
      </c>
      <c r="V1201" s="14">
        <f>S1201-U1201</f>
        <v>8500</v>
      </c>
      <c r="W1201" s="16">
        <f>IF(S1201&gt;0, V1201/S1201, 0)</f>
        <v>1</v>
      </c>
      <c r="X1201" s="7" t="s">
        <v>39</v>
      </c>
      <c r="Y1201" s="9" t="s">
        <v>40</v>
      </c>
      <c r="Z1201" s="9" t="s">
        <v>41</v>
      </c>
      <c r="AA1201" s="9" t="s">
        <v>42</v>
      </c>
      <c r="AB1201" s="7" t="s">
        <v>42</v>
      </c>
    </row>
    <row r="1202" spans="1:28">
      <c r="A1202" s="8">
        <v>1195</v>
      </c>
      <c r="B1202" s="8" t="s">
        <v>1511</v>
      </c>
      <c r="C1202" s="8" t="s">
        <v>1450</v>
      </c>
      <c r="D1202" s="8" t="s">
        <v>652</v>
      </c>
      <c r="E1202" s="8" t="s">
        <v>33</v>
      </c>
      <c r="F1202" s="6" t="s">
        <v>50</v>
      </c>
      <c r="G1202" s="6" t="s">
        <v>51</v>
      </c>
      <c r="H1202" s="6" t="s">
        <v>51</v>
      </c>
      <c r="I1202" s="8">
        <v>140</v>
      </c>
      <c r="J1202" s="8" t="s">
        <v>279</v>
      </c>
      <c r="K1202" s="8" t="s">
        <v>53</v>
      </c>
      <c r="L1202" s="10">
        <v>1</v>
      </c>
      <c r="M1202" s="13">
        <v>8000.0</v>
      </c>
      <c r="N1202" s="13"/>
      <c r="O1202" s="15">
        <f>IF(M1202&gt;0, N1202/M1202, 0)</f>
        <v>0</v>
      </c>
      <c r="P1202" s="13">
        <f>M1202-N1202</f>
        <v>8000</v>
      </c>
      <c r="Q1202" s="13">
        <f>L1202*M1202</f>
        <v>8000</v>
      </c>
      <c r="R1202" s="13">
        <f>L1202*N1202</f>
        <v>0</v>
      </c>
      <c r="S1202" s="13">
        <f>L1202*P1202</f>
        <v>8000</v>
      </c>
      <c r="T1202" s="13"/>
      <c r="U1202" s="13">
        <f>L1202*T1202</f>
        <v>0</v>
      </c>
      <c r="V1202" s="13">
        <f>S1202-U1202</f>
        <v>8000</v>
      </c>
      <c r="W1202" s="15">
        <f>IF(S1202&gt;0, V1202/S1202, 0)</f>
        <v>1</v>
      </c>
      <c r="X1202" s="6" t="s">
        <v>39</v>
      </c>
      <c r="Y1202" s="8" t="s">
        <v>40</v>
      </c>
      <c r="Z1202" s="8" t="s">
        <v>41</v>
      </c>
      <c r="AA1202" s="8" t="s">
        <v>42</v>
      </c>
      <c r="AB1202" s="6" t="s">
        <v>42</v>
      </c>
    </row>
    <row r="1203" spans="1:28">
      <c r="A1203" s="9">
        <v>1196</v>
      </c>
      <c r="B1203" s="9" t="s">
        <v>1512</v>
      </c>
      <c r="C1203" s="9" t="s">
        <v>1450</v>
      </c>
      <c r="D1203" s="9" t="s">
        <v>652</v>
      </c>
      <c r="E1203" s="9" t="s">
        <v>33</v>
      </c>
      <c r="F1203" s="7" t="s">
        <v>34</v>
      </c>
      <c r="G1203" s="7" t="s">
        <v>35</v>
      </c>
      <c r="H1203" s="7" t="s">
        <v>36</v>
      </c>
      <c r="I1203" s="9">
        <v>164</v>
      </c>
      <c r="J1203" s="9" t="s">
        <v>77</v>
      </c>
      <c r="K1203" s="9" t="s">
        <v>38</v>
      </c>
      <c r="L1203" s="11">
        <v>2</v>
      </c>
      <c r="M1203" s="14">
        <v>8000.0</v>
      </c>
      <c r="N1203" s="14"/>
      <c r="O1203" s="16">
        <f>IF(M1203&gt;0, N1203/M1203, 0)</f>
        <v>0</v>
      </c>
      <c r="P1203" s="14">
        <f>M1203-N1203</f>
        <v>8000</v>
      </c>
      <c r="Q1203" s="14">
        <f>L1203*M1203</f>
        <v>16000</v>
      </c>
      <c r="R1203" s="14">
        <f>L1203*N1203</f>
        <v>0</v>
      </c>
      <c r="S1203" s="14">
        <f>L1203*P1203</f>
        <v>16000</v>
      </c>
      <c r="T1203" s="14"/>
      <c r="U1203" s="14">
        <f>L1203*T1203</f>
        <v>0</v>
      </c>
      <c r="V1203" s="14">
        <f>S1203-U1203</f>
        <v>16000</v>
      </c>
      <c r="W1203" s="16">
        <f>IF(S1203&gt;0, V1203/S1203, 0)</f>
        <v>1</v>
      </c>
      <c r="X1203" s="7" t="s">
        <v>39</v>
      </c>
      <c r="Y1203" s="9" t="s">
        <v>40</v>
      </c>
      <c r="Z1203" s="9" t="s">
        <v>41</v>
      </c>
      <c r="AA1203" s="9" t="s">
        <v>42</v>
      </c>
      <c r="AB1203" s="7" t="s">
        <v>42</v>
      </c>
    </row>
    <row r="1204" spans="1:28">
      <c r="A1204" s="8">
        <v>1197</v>
      </c>
      <c r="B1204" s="8" t="s">
        <v>1513</v>
      </c>
      <c r="C1204" s="8" t="s">
        <v>1450</v>
      </c>
      <c r="D1204" s="8" t="s">
        <v>652</v>
      </c>
      <c r="E1204" s="8" t="s">
        <v>33</v>
      </c>
      <c r="F1204" s="6" t="s">
        <v>50</v>
      </c>
      <c r="G1204" s="6" t="s">
        <v>35</v>
      </c>
      <c r="H1204" s="6" t="s">
        <v>36</v>
      </c>
      <c r="I1204" s="8">
        <v>152</v>
      </c>
      <c r="J1204" s="8" t="s">
        <v>151</v>
      </c>
      <c r="K1204" s="8" t="s">
        <v>53</v>
      </c>
      <c r="L1204" s="10">
        <v>1</v>
      </c>
      <c r="M1204" s="13">
        <v>7000.0</v>
      </c>
      <c r="N1204" s="13"/>
      <c r="O1204" s="15">
        <f>IF(M1204&gt;0, N1204/M1204, 0)</f>
        <v>0</v>
      </c>
      <c r="P1204" s="13">
        <f>M1204-N1204</f>
        <v>7000</v>
      </c>
      <c r="Q1204" s="13">
        <f>L1204*M1204</f>
        <v>7000</v>
      </c>
      <c r="R1204" s="13">
        <f>L1204*N1204</f>
        <v>0</v>
      </c>
      <c r="S1204" s="13">
        <f>L1204*P1204</f>
        <v>7000</v>
      </c>
      <c r="T1204" s="13"/>
      <c r="U1204" s="13">
        <f>L1204*T1204</f>
        <v>0</v>
      </c>
      <c r="V1204" s="13">
        <f>S1204-U1204</f>
        <v>7000</v>
      </c>
      <c r="W1204" s="15">
        <f>IF(S1204&gt;0, V1204/S1204, 0)</f>
        <v>1</v>
      </c>
      <c r="X1204" s="6" t="s">
        <v>39</v>
      </c>
      <c r="Y1204" s="8" t="s">
        <v>40</v>
      </c>
      <c r="Z1204" s="8" t="s">
        <v>41</v>
      </c>
      <c r="AA1204" s="8" t="s">
        <v>42</v>
      </c>
      <c r="AB1204" s="6" t="s">
        <v>42</v>
      </c>
    </row>
    <row r="1205" spans="1:28">
      <c r="A1205" s="9">
        <v>1198</v>
      </c>
      <c r="B1205" s="9" t="s">
        <v>1514</v>
      </c>
      <c r="C1205" s="9" t="s">
        <v>1450</v>
      </c>
      <c r="D1205" s="9" t="s">
        <v>652</v>
      </c>
      <c r="E1205" s="9" t="s">
        <v>33</v>
      </c>
      <c r="F1205" s="7" t="s">
        <v>34</v>
      </c>
      <c r="G1205" s="7" t="s">
        <v>35</v>
      </c>
      <c r="H1205" s="7" t="s">
        <v>36</v>
      </c>
      <c r="I1205" s="9">
        <v>146</v>
      </c>
      <c r="J1205" s="9" t="s">
        <v>528</v>
      </c>
      <c r="K1205" s="9" t="s">
        <v>38</v>
      </c>
      <c r="L1205" s="11">
        <v>1</v>
      </c>
      <c r="M1205" s="14">
        <v>7000.0</v>
      </c>
      <c r="N1205" s="14"/>
      <c r="O1205" s="16">
        <f>IF(M1205&gt;0, N1205/M1205, 0)</f>
        <v>0</v>
      </c>
      <c r="P1205" s="14">
        <f>M1205-N1205</f>
        <v>7000</v>
      </c>
      <c r="Q1205" s="14">
        <f>L1205*M1205</f>
        <v>7000</v>
      </c>
      <c r="R1205" s="14">
        <f>L1205*N1205</f>
        <v>0</v>
      </c>
      <c r="S1205" s="14">
        <f>L1205*P1205</f>
        <v>7000</v>
      </c>
      <c r="T1205" s="14"/>
      <c r="U1205" s="14">
        <f>L1205*T1205</f>
        <v>0</v>
      </c>
      <c r="V1205" s="14">
        <f>S1205-U1205</f>
        <v>7000</v>
      </c>
      <c r="W1205" s="16">
        <f>IF(S1205&gt;0, V1205/S1205, 0)</f>
        <v>1</v>
      </c>
      <c r="X1205" s="7" t="s">
        <v>39</v>
      </c>
      <c r="Y1205" s="9" t="s">
        <v>40</v>
      </c>
      <c r="Z1205" s="9" t="s">
        <v>41</v>
      </c>
      <c r="AA1205" s="9" t="s">
        <v>42</v>
      </c>
      <c r="AB1205" s="7" t="s">
        <v>42</v>
      </c>
    </row>
    <row r="1206" spans="1:28">
      <c r="A1206" s="8">
        <v>1199</v>
      </c>
      <c r="B1206" s="8" t="s">
        <v>1515</v>
      </c>
      <c r="C1206" s="8" t="s">
        <v>1516</v>
      </c>
      <c r="D1206" s="8" t="s">
        <v>652</v>
      </c>
      <c r="E1206" s="8" t="s">
        <v>33</v>
      </c>
      <c r="F1206" s="6" t="s">
        <v>34</v>
      </c>
      <c r="G1206" s="6" t="s">
        <v>69</v>
      </c>
      <c r="H1206" s="6" t="s">
        <v>69</v>
      </c>
      <c r="I1206" s="8">
        <v>164</v>
      </c>
      <c r="J1206" s="8" t="s">
        <v>70</v>
      </c>
      <c r="K1206" s="8" t="s">
        <v>38</v>
      </c>
      <c r="L1206" s="10">
        <v>1</v>
      </c>
      <c r="M1206" s="13">
        <v>18000.0</v>
      </c>
      <c r="N1206" s="13"/>
      <c r="O1206" s="15">
        <f>IF(M1206&gt;0, N1206/M1206, 0)</f>
        <v>0</v>
      </c>
      <c r="P1206" s="13">
        <f>M1206-N1206</f>
        <v>18000</v>
      </c>
      <c r="Q1206" s="13">
        <f>L1206*M1206</f>
        <v>18000</v>
      </c>
      <c r="R1206" s="13">
        <f>L1206*N1206</f>
        <v>0</v>
      </c>
      <c r="S1206" s="13">
        <f>L1206*P1206</f>
        <v>18000</v>
      </c>
      <c r="T1206" s="13"/>
      <c r="U1206" s="13">
        <f>L1206*T1206</f>
        <v>0</v>
      </c>
      <c r="V1206" s="13">
        <f>S1206-U1206</f>
        <v>18000</v>
      </c>
      <c r="W1206" s="15">
        <f>IF(S1206&gt;0, V1206/S1206, 0)</f>
        <v>1</v>
      </c>
      <c r="X1206" s="6" t="s">
        <v>39</v>
      </c>
      <c r="Y1206" s="8" t="s">
        <v>40</v>
      </c>
      <c r="Z1206" s="8" t="s">
        <v>41</v>
      </c>
      <c r="AA1206" s="8" t="s">
        <v>42</v>
      </c>
      <c r="AB1206" s="6" t="s">
        <v>42</v>
      </c>
    </row>
    <row r="1207" spans="1:28">
      <c r="A1207" s="9">
        <v>1200</v>
      </c>
      <c r="B1207" s="9" t="s">
        <v>1517</v>
      </c>
      <c r="C1207" s="9" t="s">
        <v>1516</v>
      </c>
      <c r="D1207" s="9" t="s">
        <v>652</v>
      </c>
      <c r="E1207" s="9" t="s">
        <v>68</v>
      </c>
      <c r="F1207" s="7" t="s">
        <v>34</v>
      </c>
      <c r="G1207" s="7" t="s">
        <v>63</v>
      </c>
      <c r="H1207" s="7" t="s">
        <v>148</v>
      </c>
      <c r="I1207" s="9">
        <v>170</v>
      </c>
      <c r="J1207" s="9" t="s">
        <v>149</v>
      </c>
      <c r="K1207" s="9" t="s">
        <v>38</v>
      </c>
      <c r="L1207" s="11">
        <v>1</v>
      </c>
      <c r="M1207" s="14">
        <v>11000.0</v>
      </c>
      <c r="N1207" s="14"/>
      <c r="O1207" s="16">
        <f>IF(M1207&gt;0, N1207/M1207, 0)</f>
        <v>0</v>
      </c>
      <c r="P1207" s="14">
        <f>M1207-N1207</f>
        <v>11000</v>
      </c>
      <c r="Q1207" s="14">
        <f>L1207*M1207</f>
        <v>11000</v>
      </c>
      <c r="R1207" s="14">
        <f>L1207*N1207</f>
        <v>0</v>
      </c>
      <c r="S1207" s="14">
        <f>L1207*P1207</f>
        <v>11000</v>
      </c>
      <c r="T1207" s="14"/>
      <c r="U1207" s="14">
        <f>L1207*T1207</f>
        <v>0</v>
      </c>
      <c r="V1207" s="14">
        <f>S1207-U1207</f>
        <v>11000</v>
      </c>
      <c r="W1207" s="16">
        <f>IF(S1207&gt;0, V1207/S1207, 0)</f>
        <v>1</v>
      </c>
      <c r="X1207" s="7" t="s">
        <v>39</v>
      </c>
      <c r="Y1207" s="9" t="s">
        <v>40</v>
      </c>
      <c r="Z1207" s="9" t="s">
        <v>71</v>
      </c>
      <c r="AA1207" s="9" t="s">
        <v>42</v>
      </c>
      <c r="AB1207" s="7" t="s">
        <v>42</v>
      </c>
    </row>
    <row r="1208" spans="1:28">
      <c r="A1208" s="8">
        <v>1201</v>
      </c>
      <c r="B1208" s="8" t="s">
        <v>1518</v>
      </c>
      <c r="C1208" s="8" t="s">
        <v>1516</v>
      </c>
      <c r="D1208" s="8" t="s">
        <v>652</v>
      </c>
      <c r="E1208" s="8" t="s">
        <v>33</v>
      </c>
      <c r="F1208" s="6" t="s">
        <v>34</v>
      </c>
      <c r="G1208" s="6" t="s">
        <v>51</v>
      </c>
      <c r="H1208" s="6" t="s">
        <v>51</v>
      </c>
      <c r="I1208" s="8">
        <v>164</v>
      </c>
      <c r="J1208" s="8" t="s">
        <v>61</v>
      </c>
      <c r="K1208" s="8" t="s">
        <v>38</v>
      </c>
      <c r="L1208" s="10">
        <v>1</v>
      </c>
      <c r="M1208" s="13">
        <v>8500.0</v>
      </c>
      <c r="N1208" s="13"/>
      <c r="O1208" s="15">
        <f>IF(M1208&gt;0, N1208/M1208, 0)</f>
        <v>0</v>
      </c>
      <c r="P1208" s="13">
        <f>M1208-N1208</f>
        <v>8500</v>
      </c>
      <c r="Q1208" s="13">
        <f>L1208*M1208</f>
        <v>8500</v>
      </c>
      <c r="R1208" s="13">
        <f>L1208*N1208</f>
        <v>0</v>
      </c>
      <c r="S1208" s="13">
        <f>L1208*P1208</f>
        <v>8500</v>
      </c>
      <c r="T1208" s="13"/>
      <c r="U1208" s="13">
        <f>L1208*T1208</f>
        <v>0</v>
      </c>
      <c r="V1208" s="13">
        <f>S1208-U1208</f>
        <v>8500</v>
      </c>
      <c r="W1208" s="15">
        <f>IF(S1208&gt;0, V1208/S1208, 0)</f>
        <v>1</v>
      </c>
      <c r="X1208" s="6" t="s">
        <v>39</v>
      </c>
      <c r="Y1208" s="8" t="s">
        <v>40</v>
      </c>
      <c r="Z1208" s="8" t="s">
        <v>41</v>
      </c>
      <c r="AA1208" s="8" t="s">
        <v>42</v>
      </c>
      <c r="AB1208" s="6" t="s">
        <v>42</v>
      </c>
    </row>
    <row r="1209" spans="1:28">
      <c r="A1209" s="9">
        <v>1202</v>
      </c>
      <c r="B1209" s="9" t="s">
        <v>1519</v>
      </c>
      <c r="C1209" s="9" t="s">
        <v>1516</v>
      </c>
      <c r="D1209" s="9" t="s">
        <v>652</v>
      </c>
      <c r="E1209" s="9" t="s">
        <v>33</v>
      </c>
      <c r="F1209" s="7" t="s">
        <v>34</v>
      </c>
      <c r="G1209" s="7" t="s">
        <v>56</v>
      </c>
      <c r="H1209" s="7" t="s">
        <v>56</v>
      </c>
      <c r="I1209" s="9">
        <v>164</v>
      </c>
      <c r="J1209" s="9" t="s">
        <v>57</v>
      </c>
      <c r="K1209" s="9" t="s">
        <v>38</v>
      </c>
      <c r="L1209" s="11">
        <v>1</v>
      </c>
      <c r="M1209" s="14">
        <v>7500.0</v>
      </c>
      <c r="N1209" s="14"/>
      <c r="O1209" s="16">
        <f>IF(M1209&gt;0, N1209/M1209, 0)</f>
        <v>0</v>
      </c>
      <c r="P1209" s="14">
        <f>M1209-N1209</f>
        <v>7500</v>
      </c>
      <c r="Q1209" s="14">
        <f>L1209*M1209</f>
        <v>7500</v>
      </c>
      <c r="R1209" s="14">
        <f>L1209*N1209</f>
        <v>0</v>
      </c>
      <c r="S1209" s="14">
        <f>L1209*P1209</f>
        <v>7500</v>
      </c>
      <c r="T1209" s="14"/>
      <c r="U1209" s="14">
        <f>L1209*T1209</f>
        <v>0</v>
      </c>
      <c r="V1209" s="14">
        <f>S1209-U1209</f>
        <v>7500</v>
      </c>
      <c r="W1209" s="16">
        <f>IF(S1209&gt;0, V1209/S1209, 0)</f>
        <v>1</v>
      </c>
      <c r="X1209" s="7" t="s">
        <v>39</v>
      </c>
      <c r="Y1209" s="9" t="s">
        <v>40</v>
      </c>
      <c r="Z1209" s="9" t="s">
        <v>41</v>
      </c>
      <c r="AA1209" s="9" t="s">
        <v>42</v>
      </c>
      <c r="AB1209" s="7" t="s">
        <v>42</v>
      </c>
    </row>
    <row r="1210" spans="1:28">
      <c r="A1210" s="8">
        <v>1203</v>
      </c>
      <c r="B1210" s="8" t="s">
        <v>1520</v>
      </c>
      <c r="C1210" s="8" t="s">
        <v>1516</v>
      </c>
      <c r="D1210" s="8" t="s">
        <v>652</v>
      </c>
      <c r="E1210" s="8" t="s">
        <v>33</v>
      </c>
      <c r="F1210" s="6" t="s">
        <v>34</v>
      </c>
      <c r="G1210" s="6" t="s">
        <v>35</v>
      </c>
      <c r="H1210" s="6" t="s">
        <v>36</v>
      </c>
      <c r="I1210" s="8">
        <v>170</v>
      </c>
      <c r="J1210" s="8" t="s">
        <v>142</v>
      </c>
      <c r="K1210" s="8" t="s">
        <v>38</v>
      </c>
      <c r="L1210" s="10">
        <v>2</v>
      </c>
      <c r="M1210" s="13">
        <v>8000.0</v>
      </c>
      <c r="N1210" s="13"/>
      <c r="O1210" s="15">
        <f>IF(M1210&gt;0, N1210/M1210, 0)</f>
        <v>0</v>
      </c>
      <c r="P1210" s="13">
        <f>M1210-N1210</f>
        <v>8000</v>
      </c>
      <c r="Q1210" s="13">
        <f>L1210*M1210</f>
        <v>16000</v>
      </c>
      <c r="R1210" s="13">
        <f>L1210*N1210</f>
        <v>0</v>
      </c>
      <c r="S1210" s="13">
        <f>L1210*P1210</f>
        <v>16000</v>
      </c>
      <c r="T1210" s="13"/>
      <c r="U1210" s="13">
        <f>L1210*T1210</f>
        <v>0</v>
      </c>
      <c r="V1210" s="13">
        <f>S1210-U1210</f>
        <v>16000</v>
      </c>
      <c r="W1210" s="15">
        <f>IF(S1210&gt;0, V1210/S1210, 0)</f>
        <v>1</v>
      </c>
      <c r="X1210" s="6" t="s">
        <v>39</v>
      </c>
      <c r="Y1210" s="8" t="s">
        <v>40</v>
      </c>
      <c r="Z1210" s="8" t="s">
        <v>41</v>
      </c>
      <c r="AA1210" s="8" t="s">
        <v>42</v>
      </c>
      <c r="AB1210" s="6" t="s">
        <v>42</v>
      </c>
    </row>
    <row r="1211" spans="1:28">
      <c r="A1211" s="9">
        <v>1204</v>
      </c>
      <c r="B1211" s="9" t="s">
        <v>1521</v>
      </c>
      <c r="C1211" s="9" t="s">
        <v>1516</v>
      </c>
      <c r="D1211" s="9" t="s">
        <v>652</v>
      </c>
      <c r="E1211" s="9" t="s">
        <v>33</v>
      </c>
      <c r="F1211" s="7" t="s">
        <v>34</v>
      </c>
      <c r="G1211" s="7" t="s">
        <v>35</v>
      </c>
      <c r="H1211" s="7" t="s">
        <v>36</v>
      </c>
      <c r="I1211" s="9">
        <v>182</v>
      </c>
      <c r="J1211" s="9" t="s">
        <v>335</v>
      </c>
      <c r="K1211" s="9" t="s">
        <v>38</v>
      </c>
      <c r="L1211" s="11">
        <v>1</v>
      </c>
      <c r="M1211" s="14">
        <v>9000.0</v>
      </c>
      <c r="N1211" s="14"/>
      <c r="O1211" s="16">
        <f>IF(M1211&gt;0, N1211/M1211, 0)</f>
        <v>0</v>
      </c>
      <c r="P1211" s="14">
        <f>M1211-N1211</f>
        <v>9000</v>
      </c>
      <c r="Q1211" s="14">
        <f>L1211*M1211</f>
        <v>9000</v>
      </c>
      <c r="R1211" s="14">
        <f>L1211*N1211</f>
        <v>0</v>
      </c>
      <c r="S1211" s="14">
        <f>L1211*P1211</f>
        <v>9000</v>
      </c>
      <c r="T1211" s="14"/>
      <c r="U1211" s="14">
        <f>L1211*T1211</f>
        <v>0</v>
      </c>
      <c r="V1211" s="14">
        <f>S1211-U1211</f>
        <v>9000</v>
      </c>
      <c r="W1211" s="16">
        <f>IF(S1211&gt;0, V1211/S1211, 0)</f>
        <v>1</v>
      </c>
      <c r="X1211" s="7" t="s">
        <v>39</v>
      </c>
      <c r="Y1211" s="9" t="s">
        <v>40</v>
      </c>
      <c r="Z1211" s="9" t="s">
        <v>41</v>
      </c>
      <c r="AA1211" s="9" t="s">
        <v>42</v>
      </c>
      <c r="AB1211" s="7" t="s">
        <v>42</v>
      </c>
    </row>
    <row r="1212" spans="1:28">
      <c r="A1212" s="8">
        <v>1205</v>
      </c>
      <c r="B1212" s="8" t="s">
        <v>1522</v>
      </c>
      <c r="C1212" s="8" t="s">
        <v>1516</v>
      </c>
      <c r="D1212" s="8" t="s">
        <v>652</v>
      </c>
      <c r="E1212" s="8" t="s">
        <v>33</v>
      </c>
      <c r="F1212" s="6" t="s">
        <v>34</v>
      </c>
      <c r="G1212" s="6" t="s">
        <v>69</v>
      </c>
      <c r="H1212" s="6" t="s">
        <v>69</v>
      </c>
      <c r="I1212" s="8">
        <v>176</v>
      </c>
      <c r="J1212" s="8" t="s">
        <v>203</v>
      </c>
      <c r="K1212" s="8" t="s">
        <v>38</v>
      </c>
      <c r="L1212" s="10">
        <v>1</v>
      </c>
      <c r="M1212" s="13">
        <v>16500.0</v>
      </c>
      <c r="N1212" s="13"/>
      <c r="O1212" s="15">
        <f>IF(M1212&gt;0, N1212/M1212, 0)</f>
        <v>0</v>
      </c>
      <c r="P1212" s="13">
        <f>M1212-N1212</f>
        <v>16500</v>
      </c>
      <c r="Q1212" s="13">
        <f>L1212*M1212</f>
        <v>16500</v>
      </c>
      <c r="R1212" s="13">
        <f>L1212*N1212</f>
        <v>0</v>
      </c>
      <c r="S1212" s="13">
        <f>L1212*P1212</f>
        <v>16500</v>
      </c>
      <c r="T1212" s="13"/>
      <c r="U1212" s="13">
        <f>L1212*T1212</f>
        <v>0</v>
      </c>
      <c r="V1212" s="13">
        <f>S1212-U1212</f>
        <v>16500</v>
      </c>
      <c r="W1212" s="15">
        <f>IF(S1212&gt;0, V1212/S1212, 0)</f>
        <v>1</v>
      </c>
      <c r="X1212" s="6" t="s">
        <v>39</v>
      </c>
      <c r="Y1212" s="8" t="s">
        <v>40</v>
      </c>
      <c r="Z1212" s="8" t="s">
        <v>41</v>
      </c>
      <c r="AA1212" s="8" t="s">
        <v>42</v>
      </c>
      <c r="AB1212" s="6" t="s">
        <v>42</v>
      </c>
    </row>
    <row r="1213" spans="1:28">
      <c r="A1213" s="9">
        <v>1206</v>
      </c>
      <c r="B1213" s="9" t="s">
        <v>1523</v>
      </c>
      <c r="C1213" s="9" t="s">
        <v>1516</v>
      </c>
      <c r="D1213" s="9" t="s">
        <v>652</v>
      </c>
      <c r="E1213" s="9" t="s">
        <v>33</v>
      </c>
      <c r="F1213" s="7" t="s">
        <v>34</v>
      </c>
      <c r="G1213" s="7" t="s">
        <v>35</v>
      </c>
      <c r="H1213" s="7" t="s">
        <v>73</v>
      </c>
      <c r="I1213" s="9">
        <v>170</v>
      </c>
      <c r="J1213" s="9" t="s">
        <v>648</v>
      </c>
      <c r="K1213" s="9" t="s">
        <v>38</v>
      </c>
      <c r="L1213" s="11">
        <v>1</v>
      </c>
      <c r="M1213" s="14">
        <v>9000.0</v>
      </c>
      <c r="N1213" s="14"/>
      <c r="O1213" s="16">
        <f>IF(M1213&gt;0, N1213/M1213, 0)</f>
        <v>0</v>
      </c>
      <c r="P1213" s="14">
        <f>M1213-N1213</f>
        <v>9000</v>
      </c>
      <c r="Q1213" s="14">
        <f>L1213*M1213</f>
        <v>9000</v>
      </c>
      <c r="R1213" s="14">
        <f>L1213*N1213</f>
        <v>0</v>
      </c>
      <c r="S1213" s="14">
        <f>L1213*P1213</f>
        <v>9000</v>
      </c>
      <c r="T1213" s="14"/>
      <c r="U1213" s="14">
        <f>L1213*T1213</f>
        <v>0</v>
      </c>
      <c r="V1213" s="14">
        <f>S1213-U1213</f>
        <v>9000</v>
      </c>
      <c r="W1213" s="16">
        <f>IF(S1213&gt;0, V1213/S1213, 0)</f>
        <v>1</v>
      </c>
      <c r="X1213" s="7" t="s">
        <v>39</v>
      </c>
      <c r="Y1213" s="9" t="s">
        <v>40</v>
      </c>
      <c r="Z1213" s="9" t="s">
        <v>41</v>
      </c>
      <c r="AA1213" s="9" t="s">
        <v>42</v>
      </c>
      <c r="AB1213" s="7" t="s">
        <v>42</v>
      </c>
    </row>
    <row r="1214" spans="1:28">
      <c r="A1214" s="8">
        <v>1207</v>
      </c>
      <c r="B1214" s="8" t="s">
        <v>1524</v>
      </c>
      <c r="C1214" s="8" t="s">
        <v>1516</v>
      </c>
      <c r="D1214" s="8" t="s">
        <v>652</v>
      </c>
      <c r="E1214" s="8" t="s">
        <v>33</v>
      </c>
      <c r="F1214" s="6" t="s">
        <v>34</v>
      </c>
      <c r="G1214" s="6" t="s">
        <v>35</v>
      </c>
      <c r="H1214" s="6" t="s">
        <v>36</v>
      </c>
      <c r="I1214" s="8">
        <v>164</v>
      </c>
      <c r="J1214" s="8" t="s">
        <v>77</v>
      </c>
      <c r="K1214" s="8" t="s">
        <v>38</v>
      </c>
      <c r="L1214" s="10">
        <v>1</v>
      </c>
      <c r="M1214" s="13">
        <v>8000.0</v>
      </c>
      <c r="N1214" s="13"/>
      <c r="O1214" s="15">
        <f>IF(M1214&gt;0, N1214/M1214, 0)</f>
        <v>0</v>
      </c>
      <c r="P1214" s="13">
        <f>M1214-N1214</f>
        <v>8000</v>
      </c>
      <c r="Q1214" s="13">
        <f>L1214*M1214</f>
        <v>8000</v>
      </c>
      <c r="R1214" s="13">
        <f>L1214*N1214</f>
        <v>0</v>
      </c>
      <c r="S1214" s="13">
        <f>L1214*P1214</f>
        <v>8000</v>
      </c>
      <c r="T1214" s="13"/>
      <c r="U1214" s="13">
        <f>L1214*T1214</f>
        <v>0</v>
      </c>
      <c r="V1214" s="13">
        <f>S1214-U1214</f>
        <v>8000</v>
      </c>
      <c r="W1214" s="15">
        <f>IF(S1214&gt;0, V1214/S1214, 0)</f>
        <v>1</v>
      </c>
      <c r="X1214" s="6" t="s">
        <v>39</v>
      </c>
      <c r="Y1214" s="8" t="s">
        <v>40</v>
      </c>
      <c r="Z1214" s="8" t="s">
        <v>41</v>
      </c>
      <c r="AA1214" s="8" t="s">
        <v>42</v>
      </c>
      <c r="AB1214" s="6" t="s">
        <v>42</v>
      </c>
    </row>
    <row r="1215" spans="1:28">
      <c r="A1215" s="9">
        <v>1208</v>
      </c>
      <c r="B1215" s="9" t="s">
        <v>1525</v>
      </c>
      <c r="C1215" s="9" t="s">
        <v>1516</v>
      </c>
      <c r="D1215" s="9" t="s">
        <v>652</v>
      </c>
      <c r="E1215" s="9" t="s">
        <v>33</v>
      </c>
      <c r="F1215" s="7" t="s">
        <v>50</v>
      </c>
      <c r="G1215" s="7" t="s">
        <v>35</v>
      </c>
      <c r="H1215" s="7" t="s">
        <v>36</v>
      </c>
      <c r="I1215" s="9">
        <v>170</v>
      </c>
      <c r="J1215" s="9" t="s">
        <v>642</v>
      </c>
      <c r="K1215" s="9" t="s">
        <v>53</v>
      </c>
      <c r="L1215" s="11">
        <v>1</v>
      </c>
      <c r="M1215" s="14">
        <v>8000.0</v>
      </c>
      <c r="N1215" s="14"/>
      <c r="O1215" s="16">
        <f>IF(M1215&gt;0, N1215/M1215, 0)</f>
        <v>0</v>
      </c>
      <c r="P1215" s="14">
        <f>M1215-N1215</f>
        <v>8000</v>
      </c>
      <c r="Q1215" s="14">
        <f>L1215*M1215</f>
        <v>8000</v>
      </c>
      <c r="R1215" s="14">
        <f>L1215*N1215</f>
        <v>0</v>
      </c>
      <c r="S1215" s="14">
        <f>L1215*P1215</f>
        <v>8000</v>
      </c>
      <c r="T1215" s="14"/>
      <c r="U1215" s="14">
        <f>L1215*T1215</f>
        <v>0</v>
      </c>
      <c r="V1215" s="14">
        <f>S1215-U1215</f>
        <v>8000</v>
      </c>
      <c r="W1215" s="16">
        <f>IF(S1215&gt;0, V1215/S1215, 0)</f>
        <v>1</v>
      </c>
      <c r="X1215" s="7" t="s">
        <v>39</v>
      </c>
      <c r="Y1215" s="9" t="s">
        <v>40</v>
      </c>
      <c r="Z1215" s="9" t="s">
        <v>41</v>
      </c>
      <c r="AA1215" s="9" t="s">
        <v>42</v>
      </c>
      <c r="AB1215" s="7" t="s">
        <v>42</v>
      </c>
    </row>
    <row r="1216" spans="1:28">
      <c r="A1216" s="8">
        <v>1209</v>
      </c>
      <c r="B1216" s="8" t="s">
        <v>1526</v>
      </c>
      <c r="C1216" s="8" t="s">
        <v>1516</v>
      </c>
      <c r="D1216" s="8" t="s">
        <v>652</v>
      </c>
      <c r="E1216" s="8" t="s">
        <v>68</v>
      </c>
      <c r="F1216" s="6" t="s">
        <v>50</v>
      </c>
      <c r="G1216" s="6" t="s">
        <v>56</v>
      </c>
      <c r="H1216" s="6" t="s">
        <v>56</v>
      </c>
      <c r="I1216" s="8">
        <v>134</v>
      </c>
      <c r="J1216" s="8" t="s">
        <v>281</v>
      </c>
      <c r="K1216" s="8" t="s">
        <v>38</v>
      </c>
      <c r="L1216" s="10">
        <v>1</v>
      </c>
      <c r="M1216" s="13">
        <v>8000.0</v>
      </c>
      <c r="N1216" s="13"/>
      <c r="O1216" s="15">
        <f>IF(M1216&gt;0, N1216/M1216, 0)</f>
        <v>0</v>
      </c>
      <c r="P1216" s="13">
        <f>M1216-N1216</f>
        <v>8000</v>
      </c>
      <c r="Q1216" s="13">
        <f>L1216*M1216</f>
        <v>8000</v>
      </c>
      <c r="R1216" s="13">
        <f>L1216*N1216</f>
        <v>0</v>
      </c>
      <c r="S1216" s="13">
        <f>L1216*P1216</f>
        <v>8000</v>
      </c>
      <c r="T1216" s="13"/>
      <c r="U1216" s="13">
        <f>L1216*T1216</f>
        <v>0</v>
      </c>
      <c r="V1216" s="13">
        <f>S1216-U1216</f>
        <v>8000</v>
      </c>
      <c r="W1216" s="15">
        <f>IF(S1216&gt;0, V1216/S1216, 0)</f>
        <v>1</v>
      </c>
      <c r="X1216" s="6" t="s">
        <v>39</v>
      </c>
      <c r="Y1216" s="8" t="s">
        <v>40</v>
      </c>
      <c r="Z1216" s="8" t="s">
        <v>71</v>
      </c>
      <c r="AA1216" s="8" t="s">
        <v>42</v>
      </c>
      <c r="AB1216" s="6" t="s">
        <v>42</v>
      </c>
    </row>
    <row r="1217" spans="1:28">
      <c r="A1217" s="9">
        <v>1210</v>
      </c>
      <c r="B1217" s="9" t="s">
        <v>1527</v>
      </c>
      <c r="C1217" s="9" t="s">
        <v>1516</v>
      </c>
      <c r="D1217" s="9" t="s">
        <v>652</v>
      </c>
      <c r="E1217" s="9" t="s">
        <v>33</v>
      </c>
      <c r="F1217" s="7" t="s">
        <v>50</v>
      </c>
      <c r="G1217" s="7" t="s">
        <v>69</v>
      </c>
      <c r="H1217" s="7" t="s">
        <v>69</v>
      </c>
      <c r="I1217" s="9">
        <v>134</v>
      </c>
      <c r="J1217" s="9" t="s">
        <v>209</v>
      </c>
      <c r="K1217" s="9" t="s">
        <v>38</v>
      </c>
      <c r="L1217" s="11">
        <v>1</v>
      </c>
      <c r="M1217" s="14">
        <v>17000.0</v>
      </c>
      <c r="N1217" s="14"/>
      <c r="O1217" s="16">
        <f>IF(M1217&gt;0, N1217/M1217, 0)</f>
        <v>0</v>
      </c>
      <c r="P1217" s="14">
        <f>M1217-N1217</f>
        <v>17000</v>
      </c>
      <c r="Q1217" s="14">
        <f>L1217*M1217</f>
        <v>17000</v>
      </c>
      <c r="R1217" s="14">
        <f>L1217*N1217</f>
        <v>0</v>
      </c>
      <c r="S1217" s="14">
        <f>L1217*P1217</f>
        <v>17000</v>
      </c>
      <c r="T1217" s="14"/>
      <c r="U1217" s="14">
        <f>L1217*T1217</f>
        <v>0</v>
      </c>
      <c r="V1217" s="14">
        <f>S1217-U1217</f>
        <v>17000</v>
      </c>
      <c r="W1217" s="16">
        <f>IF(S1217&gt;0, V1217/S1217, 0)</f>
        <v>1</v>
      </c>
      <c r="X1217" s="7" t="s">
        <v>39</v>
      </c>
      <c r="Y1217" s="9" t="s">
        <v>40</v>
      </c>
      <c r="Z1217" s="9" t="s">
        <v>41</v>
      </c>
      <c r="AA1217" s="9" t="s">
        <v>42</v>
      </c>
      <c r="AB1217" s="7" t="s">
        <v>42</v>
      </c>
    </row>
    <row r="1218" spans="1:28">
      <c r="A1218" s="8">
        <v>1211</v>
      </c>
      <c r="B1218" s="8" t="s">
        <v>1528</v>
      </c>
      <c r="C1218" s="8" t="s">
        <v>1516</v>
      </c>
      <c r="D1218" s="8" t="s">
        <v>652</v>
      </c>
      <c r="E1218" s="8" t="s">
        <v>68</v>
      </c>
      <c r="F1218" s="6" t="s">
        <v>50</v>
      </c>
      <c r="G1218" s="6" t="s">
        <v>63</v>
      </c>
      <c r="H1218" s="6" t="s">
        <v>148</v>
      </c>
      <c r="I1218" s="8">
        <v>134</v>
      </c>
      <c r="J1218" s="8" t="s">
        <v>246</v>
      </c>
      <c r="K1218" s="8" t="s">
        <v>38</v>
      </c>
      <c r="L1218" s="10">
        <v>1</v>
      </c>
      <c r="M1218" s="13">
        <v>10000.0</v>
      </c>
      <c r="N1218" s="13"/>
      <c r="O1218" s="15">
        <f>IF(M1218&gt;0, N1218/M1218, 0)</f>
        <v>0</v>
      </c>
      <c r="P1218" s="13">
        <f>M1218-N1218</f>
        <v>10000</v>
      </c>
      <c r="Q1218" s="13">
        <f>L1218*M1218</f>
        <v>10000</v>
      </c>
      <c r="R1218" s="13">
        <f>L1218*N1218</f>
        <v>0</v>
      </c>
      <c r="S1218" s="13">
        <f>L1218*P1218</f>
        <v>10000</v>
      </c>
      <c r="T1218" s="13"/>
      <c r="U1218" s="13">
        <f>L1218*T1218</f>
        <v>0</v>
      </c>
      <c r="V1218" s="13">
        <f>S1218-U1218</f>
        <v>10000</v>
      </c>
      <c r="W1218" s="15">
        <f>IF(S1218&gt;0, V1218/S1218, 0)</f>
        <v>1</v>
      </c>
      <c r="X1218" s="6" t="s">
        <v>39</v>
      </c>
      <c r="Y1218" s="8" t="s">
        <v>40</v>
      </c>
      <c r="Z1218" s="8" t="s">
        <v>71</v>
      </c>
      <c r="AA1218" s="8" t="s">
        <v>42</v>
      </c>
      <c r="AB1218" s="6" t="s">
        <v>42</v>
      </c>
    </row>
    <row r="1219" spans="1:28">
      <c r="A1219" s="9">
        <v>1212</v>
      </c>
      <c r="B1219" s="9" t="s">
        <v>1529</v>
      </c>
      <c r="C1219" s="9" t="s">
        <v>1516</v>
      </c>
      <c r="D1219" s="9" t="s">
        <v>652</v>
      </c>
      <c r="E1219" s="9" t="s">
        <v>33</v>
      </c>
      <c r="F1219" s="7" t="s">
        <v>50</v>
      </c>
      <c r="G1219" s="7" t="s">
        <v>51</v>
      </c>
      <c r="H1219" s="7" t="s">
        <v>51</v>
      </c>
      <c r="I1219" s="9">
        <v>134</v>
      </c>
      <c r="J1219" s="9" t="s">
        <v>175</v>
      </c>
      <c r="K1219" s="9" t="s">
        <v>53</v>
      </c>
      <c r="L1219" s="11">
        <v>1</v>
      </c>
      <c r="M1219" s="14">
        <v>8000.0</v>
      </c>
      <c r="N1219" s="14"/>
      <c r="O1219" s="16">
        <f>IF(M1219&gt;0, N1219/M1219, 0)</f>
        <v>0</v>
      </c>
      <c r="P1219" s="14">
        <f>M1219-N1219</f>
        <v>8000</v>
      </c>
      <c r="Q1219" s="14">
        <f>L1219*M1219</f>
        <v>8000</v>
      </c>
      <c r="R1219" s="14">
        <f>L1219*N1219</f>
        <v>0</v>
      </c>
      <c r="S1219" s="14">
        <f>L1219*P1219</f>
        <v>8000</v>
      </c>
      <c r="T1219" s="14"/>
      <c r="U1219" s="14">
        <f>L1219*T1219</f>
        <v>0</v>
      </c>
      <c r="V1219" s="14">
        <f>S1219-U1219</f>
        <v>8000</v>
      </c>
      <c r="W1219" s="16">
        <f>IF(S1219&gt;0, V1219/S1219, 0)</f>
        <v>1</v>
      </c>
      <c r="X1219" s="7" t="s">
        <v>39</v>
      </c>
      <c r="Y1219" s="9" t="s">
        <v>40</v>
      </c>
      <c r="Z1219" s="9" t="s">
        <v>41</v>
      </c>
      <c r="AA1219" s="9" t="s">
        <v>42</v>
      </c>
      <c r="AB1219" s="7" t="s">
        <v>42</v>
      </c>
    </row>
    <row r="1220" spans="1:28">
      <c r="A1220" s="8">
        <v>1213</v>
      </c>
      <c r="B1220" s="8" t="s">
        <v>1530</v>
      </c>
      <c r="C1220" s="8" t="s">
        <v>1516</v>
      </c>
      <c r="D1220" s="8" t="s">
        <v>652</v>
      </c>
      <c r="E1220" s="8" t="s">
        <v>33</v>
      </c>
      <c r="F1220" s="6" t="s">
        <v>50</v>
      </c>
      <c r="G1220" s="6" t="s">
        <v>35</v>
      </c>
      <c r="H1220" s="6" t="s">
        <v>73</v>
      </c>
      <c r="I1220" s="8">
        <v>134</v>
      </c>
      <c r="J1220" s="8" t="s">
        <v>146</v>
      </c>
      <c r="K1220" s="8" t="s">
        <v>53</v>
      </c>
      <c r="L1220" s="10">
        <v>1</v>
      </c>
      <c r="M1220" s="13">
        <v>8000.0</v>
      </c>
      <c r="N1220" s="13"/>
      <c r="O1220" s="15">
        <f>IF(M1220&gt;0, N1220/M1220, 0)</f>
        <v>0</v>
      </c>
      <c r="P1220" s="13">
        <f>M1220-N1220</f>
        <v>8000</v>
      </c>
      <c r="Q1220" s="13">
        <f>L1220*M1220</f>
        <v>8000</v>
      </c>
      <c r="R1220" s="13">
        <f>L1220*N1220</f>
        <v>0</v>
      </c>
      <c r="S1220" s="13">
        <f>L1220*P1220</f>
        <v>8000</v>
      </c>
      <c r="T1220" s="13"/>
      <c r="U1220" s="13">
        <f>L1220*T1220</f>
        <v>0</v>
      </c>
      <c r="V1220" s="13">
        <f>S1220-U1220</f>
        <v>8000</v>
      </c>
      <c r="W1220" s="15">
        <f>IF(S1220&gt;0, V1220/S1220, 0)</f>
        <v>1</v>
      </c>
      <c r="X1220" s="6" t="s">
        <v>39</v>
      </c>
      <c r="Y1220" s="8" t="s">
        <v>40</v>
      </c>
      <c r="Z1220" s="8" t="s">
        <v>41</v>
      </c>
      <c r="AA1220" s="8" t="s">
        <v>42</v>
      </c>
      <c r="AB1220" s="6" t="s">
        <v>42</v>
      </c>
    </row>
    <row r="1221" spans="1:28">
      <c r="A1221" s="9">
        <v>1214</v>
      </c>
      <c r="B1221" s="9" t="s">
        <v>1531</v>
      </c>
      <c r="C1221" s="9" t="s">
        <v>1516</v>
      </c>
      <c r="D1221" s="9" t="s">
        <v>652</v>
      </c>
      <c r="E1221" s="9" t="s">
        <v>33</v>
      </c>
      <c r="F1221" s="7" t="s">
        <v>50</v>
      </c>
      <c r="G1221" s="7" t="s">
        <v>35</v>
      </c>
      <c r="H1221" s="7" t="s">
        <v>36</v>
      </c>
      <c r="I1221" s="9">
        <v>134</v>
      </c>
      <c r="J1221" s="9" t="s">
        <v>177</v>
      </c>
      <c r="K1221" s="9" t="s">
        <v>53</v>
      </c>
      <c r="L1221" s="11">
        <v>2</v>
      </c>
      <c r="M1221" s="14">
        <v>7000.0</v>
      </c>
      <c r="N1221" s="14"/>
      <c r="O1221" s="16">
        <f>IF(M1221&gt;0, N1221/M1221, 0)</f>
        <v>0</v>
      </c>
      <c r="P1221" s="14">
        <f>M1221-N1221</f>
        <v>7000</v>
      </c>
      <c r="Q1221" s="14">
        <f>L1221*M1221</f>
        <v>14000</v>
      </c>
      <c r="R1221" s="14">
        <f>L1221*N1221</f>
        <v>0</v>
      </c>
      <c r="S1221" s="14">
        <f>L1221*P1221</f>
        <v>14000</v>
      </c>
      <c r="T1221" s="14"/>
      <c r="U1221" s="14">
        <f>L1221*T1221</f>
        <v>0</v>
      </c>
      <c r="V1221" s="14">
        <f>S1221-U1221</f>
        <v>14000</v>
      </c>
      <c r="W1221" s="16">
        <f>IF(S1221&gt;0, V1221/S1221, 0)</f>
        <v>1</v>
      </c>
      <c r="X1221" s="7" t="s">
        <v>39</v>
      </c>
      <c r="Y1221" s="9" t="s">
        <v>40</v>
      </c>
      <c r="Z1221" s="9" t="s">
        <v>41</v>
      </c>
      <c r="AA1221" s="9" t="s">
        <v>42</v>
      </c>
      <c r="AB1221" s="7" t="s">
        <v>42</v>
      </c>
    </row>
    <row r="1222" spans="1:28">
      <c r="A1222" s="8">
        <v>1215</v>
      </c>
      <c r="B1222" s="8" t="s">
        <v>1532</v>
      </c>
      <c r="C1222" s="8" t="s">
        <v>1533</v>
      </c>
      <c r="D1222" s="8" t="s">
        <v>652</v>
      </c>
      <c r="E1222" s="8" t="s">
        <v>33</v>
      </c>
      <c r="F1222" s="6" t="s">
        <v>34</v>
      </c>
      <c r="G1222" s="6" t="s">
        <v>69</v>
      </c>
      <c r="H1222" s="6" t="s">
        <v>69</v>
      </c>
      <c r="I1222" s="8">
        <v>182</v>
      </c>
      <c r="J1222" s="8" t="s">
        <v>422</v>
      </c>
      <c r="K1222" s="8" t="s">
        <v>38</v>
      </c>
      <c r="L1222" s="10">
        <v>1</v>
      </c>
      <c r="M1222" s="13">
        <v>18000.0</v>
      </c>
      <c r="N1222" s="13"/>
      <c r="O1222" s="15">
        <f>IF(M1222&gt;0, N1222/M1222, 0)</f>
        <v>0</v>
      </c>
      <c r="P1222" s="13">
        <f>M1222-N1222</f>
        <v>18000</v>
      </c>
      <c r="Q1222" s="13">
        <f>L1222*M1222</f>
        <v>18000</v>
      </c>
      <c r="R1222" s="13">
        <f>L1222*N1222</f>
        <v>0</v>
      </c>
      <c r="S1222" s="13">
        <f>L1222*P1222</f>
        <v>18000</v>
      </c>
      <c r="T1222" s="13"/>
      <c r="U1222" s="13">
        <f>L1222*T1222</f>
        <v>0</v>
      </c>
      <c r="V1222" s="13">
        <f>S1222-U1222</f>
        <v>18000</v>
      </c>
      <c r="W1222" s="15">
        <f>IF(S1222&gt;0, V1222/S1222, 0)</f>
        <v>1</v>
      </c>
      <c r="X1222" s="6" t="s">
        <v>39</v>
      </c>
      <c r="Y1222" s="8" t="s">
        <v>40</v>
      </c>
      <c r="Z1222" s="8" t="s">
        <v>41</v>
      </c>
      <c r="AA1222" s="8" t="s">
        <v>42</v>
      </c>
      <c r="AB1222" s="6" t="s">
        <v>42</v>
      </c>
    </row>
    <row r="1223" spans="1:28">
      <c r="A1223" s="9">
        <v>1216</v>
      </c>
      <c r="B1223" s="9" t="s">
        <v>1534</v>
      </c>
      <c r="C1223" s="9" t="s">
        <v>1533</v>
      </c>
      <c r="D1223" s="9" t="s">
        <v>652</v>
      </c>
      <c r="E1223" s="9" t="s">
        <v>33</v>
      </c>
      <c r="F1223" s="7" t="s">
        <v>34</v>
      </c>
      <c r="G1223" s="7" t="s">
        <v>63</v>
      </c>
      <c r="H1223" s="7" t="s">
        <v>148</v>
      </c>
      <c r="I1223" s="9">
        <v>182</v>
      </c>
      <c r="J1223" s="9" t="s">
        <v>739</v>
      </c>
      <c r="K1223" s="9" t="s">
        <v>38</v>
      </c>
      <c r="L1223" s="11">
        <v>1</v>
      </c>
      <c r="M1223" s="14">
        <v>9500.0</v>
      </c>
      <c r="N1223" s="14"/>
      <c r="O1223" s="16">
        <f>IF(M1223&gt;0, N1223/M1223, 0)</f>
        <v>0</v>
      </c>
      <c r="P1223" s="14">
        <f>M1223-N1223</f>
        <v>9500</v>
      </c>
      <c r="Q1223" s="14">
        <f>L1223*M1223</f>
        <v>9500</v>
      </c>
      <c r="R1223" s="14">
        <f>L1223*N1223</f>
        <v>0</v>
      </c>
      <c r="S1223" s="14">
        <f>L1223*P1223</f>
        <v>9500</v>
      </c>
      <c r="T1223" s="14"/>
      <c r="U1223" s="14">
        <f>L1223*T1223</f>
        <v>0</v>
      </c>
      <c r="V1223" s="14">
        <f>S1223-U1223</f>
        <v>9500</v>
      </c>
      <c r="W1223" s="16">
        <f>IF(S1223&gt;0, V1223/S1223, 0)</f>
        <v>1</v>
      </c>
      <c r="X1223" s="7" t="s">
        <v>39</v>
      </c>
      <c r="Y1223" s="9" t="s">
        <v>40</v>
      </c>
      <c r="Z1223" s="9" t="s">
        <v>41</v>
      </c>
      <c r="AA1223" s="9" t="s">
        <v>42</v>
      </c>
      <c r="AB1223" s="7" t="s">
        <v>42</v>
      </c>
    </row>
    <row r="1224" spans="1:28">
      <c r="A1224" s="8">
        <v>1217</v>
      </c>
      <c r="B1224" s="8" t="s">
        <v>1535</v>
      </c>
      <c r="C1224" s="8" t="s">
        <v>1533</v>
      </c>
      <c r="D1224" s="8" t="s">
        <v>652</v>
      </c>
      <c r="E1224" s="8" t="s">
        <v>33</v>
      </c>
      <c r="F1224" s="6" t="s">
        <v>34</v>
      </c>
      <c r="G1224" s="6" t="s">
        <v>35</v>
      </c>
      <c r="H1224" s="6" t="s">
        <v>36</v>
      </c>
      <c r="I1224" s="8">
        <v>194</v>
      </c>
      <c r="J1224" s="8" t="s">
        <v>1028</v>
      </c>
      <c r="K1224" s="8" t="s">
        <v>38</v>
      </c>
      <c r="L1224" s="10">
        <v>2</v>
      </c>
      <c r="M1224" s="13">
        <v>8000.0</v>
      </c>
      <c r="N1224" s="13"/>
      <c r="O1224" s="15">
        <f>IF(M1224&gt;0, N1224/M1224, 0)</f>
        <v>0</v>
      </c>
      <c r="P1224" s="13">
        <f>M1224-N1224</f>
        <v>8000</v>
      </c>
      <c r="Q1224" s="13">
        <f>L1224*M1224</f>
        <v>16000</v>
      </c>
      <c r="R1224" s="13">
        <f>L1224*N1224</f>
        <v>0</v>
      </c>
      <c r="S1224" s="13">
        <f>L1224*P1224</f>
        <v>16000</v>
      </c>
      <c r="T1224" s="13"/>
      <c r="U1224" s="13">
        <f>L1224*T1224</f>
        <v>0</v>
      </c>
      <c r="V1224" s="13">
        <f>S1224-U1224</f>
        <v>16000</v>
      </c>
      <c r="W1224" s="15">
        <f>IF(S1224&gt;0, V1224/S1224, 0)</f>
        <v>1</v>
      </c>
      <c r="X1224" s="6" t="s">
        <v>39</v>
      </c>
      <c r="Y1224" s="8" t="s">
        <v>40</v>
      </c>
      <c r="Z1224" s="8" t="s">
        <v>41</v>
      </c>
      <c r="AA1224" s="8" t="s">
        <v>42</v>
      </c>
      <c r="AB1224" s="6" t="s">
        <v>42</v>
      </c>
    </row>
    <row r="1225" spans="1:28">
      <c r="A1225" s="9">
        <v>1218</v>
      </c>
      <c r="B1225" s="9" t="s">
        <v>1536</v>
      </c>
      <c r="C1225" s="9" t="s">
        <v>1533</v>
      </c>
      <c r="D1225" s="9" t="s">
        <v>652</v>
      </c>
      <c r="E1225" s="9" t="s">
        <v>33</v>
      </c>
      <c r="F1225" s="7" t="s">
        <v>50</v>
      </c>
      <c r="G1225" s="7" t="s">
        <v>35</v>
      </c>
      <c r="H1225" s="7" t="s">
        <v>36</v>
      </c>
      <c r="I1225" s="9">
        <v>134</v>
      </c>
      <c r="J1225" s="9" t="s">
        <v>177</v>
      </c>
      <c r="K1225" s="9" t="s">
        <v>53</v>
      </c>
      <c r="L1225" s="11">
        <v>1</v>
      </c>
      <c r="M1225" s="14">
        <v>8000.0</v>
      </c>
      <c r="N1225" s="14"/>
      <c r="O1225" s="16">
        <f>IF(M1225&gt;0, N1225/M1225, 0)</f>
        <v>0</v>
      </c>
      <c r="P1225" s="14">
        <f>M1225-N1225</f>
        <v>8000</v>
      </c>
      <c r="Q1225" s="14">
        <f>L1225*M1225</f>
        <v>8000</v>
      </c>
      <c r="R1225" s="14">
        <f>L1225*N1225</f>
        <v>0</v>
      </c>
      <c r="S1225" s="14">
        <f>L1225*P1225</f>
        <v>8000</v>
      </c>
      <c r="T1225" s="14"/>
      <c r="U1225" s="14">
        <f>L1225*T1225</f>
        <v>0</v>
      </c>
      <c r="V1225" s="14">
        <f>S1225-U1225</f>
        <v>8000</v>
      </c>
      <c r="W1225" s="16">
        <f>IF(S1225&gt;0, V1225/S1225, 0)</f>
        <v>1</v>
      </c>
      <c r="X1225" s="7" t="s">
        <v>39</v>
      </c>
      <c r="Y1225" s="9" t="s">
        <v>40</v>
      </c>
      <c r="Z1225" s="9" t="s">
        <v>41</v>
      </c>
      <c r="AA1225" s="9" t="s">
        <v>42</v>
      </c>
      <c r="AB1225" s="7" t="s">
        <v>42</v>
      </c>
    </row>
    <row r="1226" spans="1:28">
      <c r="A1226" s="8">
        <v>1219</v>
      </c>
      <c r="B1226" s="8" t="s">
        <v>1537</v>
      </c>
      <c r="C1226" s="8" t="s">
        <v>1533</v>
      </c>
      <c r="D1226" s="8" t="s">
        <v>652</v>
      </c>
      <c r="E1226" s="8" t="s">
        <v>68</v>
      </c>
      <c r="F1226" s="6" t="s">
        <v>34</v>
      </c>
      <c r="G1226" s="6" t="s">
        <v>63</v>
      </c>
      <c r="H1226" s="6" t="s">
        <v>148</v>
      </c>
      <c r="I1226" s="8">
        <v>164</v>
      </c>
      <c r="J1226" s="8" t="s">
        <v>365</v>
      </c>
      <c r="K1226" s="8" t="s">
        <v>38</v>
      </c>
      <c r="L1226" s="10">
        <v>1</v>
      </c>
      <c r="M1226" s="13">
        <v>11000.0</v>
      </c>
      <c r="N1226" s="13"/>
      <c r="O1226" s="15">
        <f>IF(M1226&gt;0, N1226/M1226, 0)</f>
        <v>0</v>
      </c>
      <c r="P1226" s="13">
        <f>M1226-N1226</f>
        <v>11000</v>
      </c>
      <c r="Q1226" s="13">
        <f>L1226*M1226</f>
        <v>11000</v>
      </c>
      <c r="R1226" s="13">
        <f>L1226*N1226</f>
        <v>0</v>
      </c>
      <c r="S1226" s="13">
        <f>L1226*P1226</f>
        <v>11000</v>
      </c>
      <c r="T1226" s="13"/>
      <c r="U1226" s="13">
        <f>L1226*T1226</f>
        <v>0</v>
      </c>
      <c r="V1226" s="13">
        <f>S1226-U1226</f>
        <v>11000</v>
      </c>
      <c r="W1226" s="15">
        <f>IF(S1226&gt;0, V1226/S1226, 0)</f>
        <v>1</v>
      </c>
      <c r="X1226" s="6" t="s">
        <v>39</v>
      </c>
      <c r="Y1226" s="8" t="s">
        <v>40</v>
      </c>
      <c r="Z1226" s="8" t="s">
        <v>71</v>
      </c>
      <c r="AA1226" s="8" t="s">
        <v>42</v>
      </c>
      <c r="AB1226" s="6" t="s">
        <v>42</v>
      </c>
    </row>
    <row r="1227" spans="1:28">
      <c r="A1227" s="9">
        <v>1220</v>
      </c>
      <c r="B1227" s="9" t="s">
        <v>1538</v>
      </c>
      <c r="C1227" s="9" t="s">
        <v>1533</v>
      </c>
      <c r="D1227" s="9" t="s">
        <v>652</v>
      </c>
      <c r="E1227" s="9" t="s">
        <v>33</v>
      </c>
      <c r="F1227" s="7" t="s">
        <v>50</v>
      </c>
      <c r="G1227" s="7" t="s">
        <v>56</v>
      </c>
      <c r="H1227" s="7" t="s">
        <v>56</v>
      </c>
      <c r="I1227" s="9">
        <v>164</v>
      </c>
      <c r="J1227" s="9" t="s">
        <v>409</v>
      </c>
      <c r="K1227" s="9" t="s">
        <v>38</v>
      </c>
      <c r="L1227" s="11">
        <v>1</v>
      </c>
      <c r="M1227" s="14">
        <v>9000.0</v>
      </c>
      <c r="N1227" s="14"/>
      <c r="O1227" s="16">
        <f>IF(M1227&gt;0, N1227/M1227, 0)</f>
        <v>0</v>
      </c>
      <c r="P1227" s="14">
        <f>M1227-N1227</f>
        <v>9000</v>
      </c>
      <c r="Q1227" s="14">
        <f>L1227*M1227</f>
        <v>9000</v>
      </c>
      <c r="R1227" s="14">
        <f>L1227*N1227</f>
        <v>0</v>
      </c>
      <c r="S1227" s="14">
        <f>L1227*P1227</f>
        <v>9000</v>
      </c>
      <c r="T1227" s="14"/>
      <c r="U1227" s="14">
        <f>L1227*T1227</f>
        <v>0</v>
      </c>
      <c r="V1227" s="14">
        <f>S1227-U1227</f>
        <v>9000</v>
      </c>
      <c r="W1227" s="16">
        <f>IF(S1227&gt;0, V1227/S1227, 0)</f>
        <v>1</v>
      </c>
      <c r="X1227" s="7" t="s">
        <v>39</v>
      </c>
      <c r="Y1227" s="9" t="s">
        <v>40</v>
      </c>
      <c r="Z1227" s="9" t="s">
        <v>41</v>
      </c>
      <c r="AA1227" s="9" t="s">
        <v>42</v>
      </c>
      <c r="AB1227" s="7" t="s">
        <v>42</v>
      </c>
    </row>
    <row r="1228" spans="1:28">
      <c r="A1228" s="8">
        <v>1221</v>
      </c>
      <c r="B1228" s="8" t="s">
        <v>1539</v>
      </c>
      <c r="C1228" s="8" t="s">
        <v>1533</v>
      </c>
      <c r="D1228" s="8" t="s">
        <v>652</v>
      </c>
      <c r="E1228" s="8" t="s">
        <v>33</v>
      </c>
      <c r="F1228" s="6" t="s">
        <v>50</v>
      </c>
      <c r="G1228" s="6" t="s">
        <v>51</v>
      </c>
      <c r="H1228" s="6" t="s">
        <v>51</v>
      </c>
      <c r="I1228" s="8">
        <v>146</v>
      </c>
      <c r="J1228" s="8" t="s">
        <v>254</v>
      </c>
      <c r="K1228" s="8" t="s">
        <v>53</v>
      </c>
      <c r="L1228" s="10">
        <v>2</v>
      </c>
      <c r="M1228" s="13">
        <v>8000.0</v>
      </c>
      <c r="N1228" s="13"/>
      <c r="O1228" s="15">
        <f>IF(M1228&gt;0, N1228/M1228, 0)</f>
        <v>0</v>
      </c>
      <c r="P1228" s="13">
        <f>M1228-N1228</f>
        <v>8000</v>
      </c>
      <c r="Q1228" s="13">
        <f>L1228*M1228</f>
        <v>16000</v>
      </c>
      <c r="R1228" s="13">
        <f>L1228*N1228</f>
        <v>0</v>
      </c>
      <c r="S1228" s="13">
        <f>L1228*P1228</f>
        <v>16000</v>
      </c>
      <c r="T1228" s="13"/>
      <c r="U1228" s="13">
        <f>L1228*T1228</f>
        <v>0</v>
      </c>
      <c r="V1228" s="13">
        <f>S1228-U1228</f>
        <v>16000</v>
      </c>
      <c r="W1228" s="15">
        <f>IF(S1228&gt;0, V1228/S1228, 0)</f>
        <v>1</v>
      </c>
      <c r="X1228" s="6" t="s">
        <v>39</v>
      </c>
      <c r="Y1228" s="8" t="s">
        <v>40</v>
      </c>
      <c r="Z1228" s="8" t="s">
        <v>41</v>
      </c>
      <c r="AA1228" s="8" t="s">
        <v>42</v>
      </c>
      <c r="AB1228" s="6" t="s">
        <v>42</v>
      </c>
    </row>
    <row r="1229" spans="1:28">
      <c r="A1229" s="9">
        <v>1222</v>
      </c>
      <c r="B1229" s="9" t="s">
        <v>1540</v>
      </c>
      <c r="C1229" s="9" t="s">
        <v>1533</v>
      </c>
      <c r="D1229" s="9" t="s">
        <v>652</v>
      </c>
      <c r="E1229" s="9" t="s">
        <v>33</v>
      </c>
      <c r="F1229" s="7" t="s">
        <v>34</v>
      </c>
      <c r="G1229" s="7" t="s">
        <v>45</v>
      </c>
      <c r="H1229" s="7" t="s">
        <v>46</v>
      </c>
      <c r="I1229" s="9">
        <v>152</v>
      </c>
      <c r="J1229" s="9" t="s">
        <v>345</v>
      </c>
      <c r="K1229" s="9" t="s">
        <v>38</v>
      </c>
      <c r="L1229" s="11">
        <v>1</v>
      </c>
      <c r="M1229" s="14">
        <v>18000.0</v>
      </c>
      <c r="N1229" s="14"/>
      <c r="O1229" s="16">
        <f>IF(M1229&gt;0, N1229/M1229, 0)</f>
        <v>0</v>
      </c>
      <c r="P1229" s="14">
        <f>M1229-N1229</f>
        <v>18000</v>
      </c>
      <c r="Q1229" s="14">
        <f>L1229*M1229</f>
        <v>18000</v>
      </c>
      <c r="R1229" s="14">
        <f>L1229*N1229</f>
        <v>0</v>
      </c>
      <c r="S1229" s="14">
        <f>L1229*P1229</f>
        <v>18000</v>
      </c>
      <c r="T1229" s="14"/>
      <c r="U1229" s="14">
        <f>L1229*T1229</f>
        <v>0</v>
      </c>
      <c r="V1229" s="14">
        <f>S1229-U1229</f>
        <v>18000</v>
      </c>
      <c r="W1229" s="16">
        <f>IF(S1229&gt;0, V1229/S1229, 0)</f>
        <v>1</v>
      </c>
      <c r="X1229" s="7" t="s">
        <v>39</v>
      </c>
      <c r="Y1229" s="9" t="s">
        <v>40</v>
      </c>
      <c r="Z1229" s="9" t="s">
        <v>41</v>
      </c>
      <c r="AA1229" s="9" t="s">
        <v>42</v>
      </c>
      <c r="AB1229" s="7" t="s">
        <v>42</v>
      </c>
    </row>
    <row r="1230" spans="1:28">
      <c r="A1230" s="8">
        <v>1223</v>
      </c>
      <c r="B1230" s="8" t="s">
        <v>1541</v>
      </c>
      <c r="C1230" s="8" t="s">
        <v>1533</v>
      </c>
      <c r="D1230" s="8" t="s">
        <v>652</v>
      </c>
      <c r="E1230" s="8" t="s">
        <v>33</v>
      </c>
      <c r="F1230" s="6" t="s">
        <v>34</v>
      </c>
      <c r="G1230" s="6" t="s">
        <v>35</v>
      </c>
      <c r="H1230" s="6" t="s">
        <v>36</v>
      </c>
      <c r="I1230" s="8">
        <v>152</v>
      </c>
      <c r="J1230" s="8" t="s">
        <v>726</v>
      </c>
      <c r="K1230" s="8" t="s">
        <v>38</v>
      </c>
      <c r="L1230" s="10">
        <v>2</v>
      </c>
      <c r="M1230" s="13">
        <v>8000.0</v>
      </c>
      <c r="N1230" s="13"/>
      <c r="O1230" s="15">
        <f>IF(M1230&gt;0, N1230/M1230, 0)</f>
        <v>0</v>
      </c>
      <c r="P1230" s="13">
        <f>M1230-N1230</f>
        <v>8000</v>
      </c>
      <c r="Q1230" s="13">
        <f>L1230*M1230</f>
        <v>16000</v>
      </c>
      <c r="R1230" s="13">
        <f>L1230*N1230</f>
        <v>0</v>
      </c>
      <c r="S1230" s="13">
        <f>L1230*P1230</f>
        <v>16000</v>
      </c>
      <c r="T1230" s="13"/>
      <c r="U1230" s="13">
        <f>L1230*T1230</f>
        <v>0</v>
      </c>
      <c r="V1230" s="13">
        <f>S1230-U1230</f>
        <v>16000</v>
      </c>
      <c r="W1230" s="15">
        <f>IF(S1230&gt;0, V1230/S1230, 0)</f>
        <v>1</v>
      </c>
      <c r="X1230" s="6" t="s">
        <v>39</v>
      </c>
      <c r="Y1230" s="8" t="s">
        <v>40</v>
      </c>
      <c r="Z1230" s="8" t="s">
        <v>41</v>
      </c>
      <c r="AA1230" s="8" t="s">
        <v>42</v>
      </c>
      <c r="AB1230" s="6" t="s">
        <v>42</v>
      </c>
    </row>
    <row r="1231" spans="1:28">
      <c r="A1231" s="9">
        <v>1224</v>
      </c>
      <c r="B1231" s="9" t="s">
        <v>1542</v>
      </c>
      <c r="C1231" s="9" t="s">
        <v>1533</v>
      </c>
      <c r="D1231" s="9" t="s">
        <v>652</v>
      </c>
      <c r="E1231" s="9" t="s">
        <v>33</v>
      </c>
      <c r="F1231" s="7" t="s">
        <v>50</v>
      </c>
      <c r="G1231" s="7" t="s">
        <v>45</v>
      </c>
      <c r="H1231" s="7" t="s">
        <v>46</v>
      </c>
      <c r="I1231" s="9">
        <v>170</v>
      </c>
      <c r="J1231" s="9" t="s">
        <v>787</v>
      </c>
      <c r="K1231" s="9" t="s">
        <v>38</v>
      </c>
      <c r="L1231" s="11">
        <v>1</v>
      </c>
      <c r="M1231" s="14">
        <v>18000.0</v>
      </c>
      <c r="N1231" s="14"/>
      <c r="O1231" s="16">
        <f>IF(M1231&gt;0, N1231/M1231, 0)</f>
        <v>0</v>
      </c>
      <c r="P1231" s="14">
        <f>M1231-N1231</f>
        <v>18000</v>
      </c>
      <c r="Q1231" s="14">
        <f>L1231*M1231</f>
        <v>18000</v>
      </c>
      <c r="R1231" s="14">
        <f>L1231*N1231</f>
        <v>0</v>
      </c>
      <c r="S1231" s="14">
        <f>L1231*P1231</f>
        <v>18000</v>
      </c>
      <c r="T1231" s="14"/>
      <c r="U1231" s="14">
        <f>L1231*T1231</f>
        <v>0</v>
      </c>
      <c r="V1231" s="14">
        <f>S1231-U1231</f>
        <v>18000</v>
      </c>
      <c r="W1231" s="16">
        <f>IF(S1231&gt;0, V1231/S1231, 0)</f>
        <v>1</v>
      </c>
      <c r="X1231" s="7" t="s">
        <v>39</v>
      </c>
      <c r="Y1231" s="9" t="s">
        <v>40</v>
      </c>
      <c r="Z1231" s="9" t="s">
        <v>41</v>
      </c>
      <c r="AA1231" s="9" t="s">
        <v>42</v>
      </c>
      <c r="AB1231" s="7" t="s">
        <v>42</v>
      </c>
    </row>
    <row r="1232" spans="1:28">
      <c r="A1232" s="8">
        <v>1225</v>
      </c>
      <c r="B1232" s="8" t="s">
        <v>1543</v>
      </c>
      <c r="C1232" s="8" t="s">
        <v>1533</v>
      </c>
      <c r="D1232" s="8" t="s">
        <v>652</v>
      </c>
      <c r="E1232" s="8" t="s">
        <v>33</v>
      </c>
      <c r="F1232" s="6" t="s">
        <v>50</v>
      </c>
      <c r="G1232" s="6" t="s">
        <v>56</v>
      </c>
      <c r="H1232" s="6" t="s">
        <v>56</v>
      </c>
      <c r="I1232" s="8">
        <v>158</v>
      </c>
      <c r="J1232" s="8" t="s">
        <v>791</v>
      </c>
      <c r="K1232" s="8" t="s">
        <v>38</v>
      </c>
      <c r="L1232" s="10">
        <v>1</v>
      </c>
      <c r="M1232" s="13">
        <v>7000.0</v>
      </c>
      <c r="N1232" s="13"/>
      <c r="O1232" s="15">
        <f>IF(M1232&gt;0, N1232/M1232, 0)</f>
        <v>0</v>
      </c>
      <c r="P1232" s="13">
        <f>M1232-N1232</f>
        <v>7000</v>
      </c>
      <c r="Q1232" s="13">
        <f>L1232*M1232</f>
        <v>7000</v>
      </c>
      <c r="R1232" s="13">
        <f>L1232*N1232</f>
        <v>0</v>
      </c>
      <c r="S1232" s="13">
        <f>L1232*P1232</f>
        <v>7000</v>
      </c>
      <c r="T1232" s="13"/>
      <c r="U1232" s="13">
        <f>L1232*T1232</f>
        <v>0</v>
      </c>
      <c r="V1232" s="13">
        <f>S1232-U1232</f>
        <v>7000</v>
      </c>
      <c r="W1232" s="15">
        <f>IF(S1232&gt;0, V1232/S1232, 0)</f>
        <v>1</v>
      </c>
      <c r="X1232" s="6" t="s">
        <v>39</v>
      </c>
      <c r="Y1232" s="8" t="s">
        <v>40</v>
      </c>
      <c r="Z1232" s="8" t="s">
        <v>41</v>
      </c>
      <c r="AA1232" s="8" t="s">
        <v>42</v>
      </c>
      <c r="AB1232" s="6" t="s">
        <v>42</v>
      </c>
    </row>
    <row r="1233" spans="1:28">
      <c r="A1233" s="9">
        <v>1226</v>
      </c>
      <c r="B1233" s="9" t="s">
        <v>1544</v>
      </c>
      <c r="C1233" s="9" t="s">
        <v>1533</v>
      </c>
      <c r="D1233" s="9" t="s">
        <v>652</v>
      </c>
      <c r="E1233" s="9" t="s">
        <v>33</v>
      </c>
      <c r="F1233" s="7" t="s">
        <v>50</v>
      </c>
      <c r="G1233" s="7" t="s">
        <v>63</v>
      </c>
      <c r="H1233" s="7" t="s">
        <v>148</v>
      </c>
      <c r="I1233" s="9">
        <v>164</v>
      </c>
      <c r="J1233" s="9" t="s">
        <v>1545</v>
      </c>
      <c r="K1233" s="9" t="s">
        <v>38</v>
      </c>
      <c r="L1233" s="11">
        <v>1</v>
      </c>
      <c r="M1233" s="14">
        <v>9000.0</v>
      </c>
      <c r="N1233" s="14"/>
      <c r="O1233" s="16">
        <f>IF(M1233&gt;0, N1233/M1233, 0)</f>
        <v>0</v>
      </c>
      <c r="P1233" s="14">
        <f>M1233-N1233</f>
        <v>9000</v>
      </c>
      <c r="Q1233" s="14">
        <f>L1233*M1233</f>
        <v>9000</v>
      </c>
      <c r="R1233" s="14">
        <f>L1233*N1233</f>
        <v>0</v>
      </c>
      <c r="S1233" s="14">
        <f>L1233*P1233</f>
        <v>9000</v>
      </c>
      <c r="T1233" s="14"/>
      <c r="U1233" s="14">
        <f>L1233*T1233</f>
        <v>0</v>
      </c>
      <c r="V1233" s="14">
        <f>S1233-U1233</f>
        <v>9000</v>
      </c>
      <c r="W1233" s="16">
        <f>IF(S1233&gt;0, V1233/S1233, 0)</f>
        <v>1</v>
      </c>
      <c r="X1233" s="7" t="s">
        <v>39</v>
      </c>
      <c r="Y1233" s="9" t="s">
        <v>40</v>
      </c>
      <c r="Z1233" s="9" t="s">
        <v>41</v>
      </c>
      <c r="AA1233" s="9" t="s">
        <v>42</v>
      </c>
      <c r="AB1233" s="7" t="s">
        <v>42</v>
      </c>
    </row>
    <row r="1234" spans="1:28">
      <c r="A1234" s="8">
        <v>1227</v>
      </c>
      <c r="B1234" s="8" t="s">
        <v>1546</v>
      </c>
      <c r="C1234" s="8" t="s">
        <v>1533</v>
      </c>
      <c r="D1234" s="8" t="s">
        <v>652</v>
      </c>
      <c r="E1234" s="8" t="s">
        <v>33</v>
      </c>
      <c r="F1234" s="6" t="s">
        <v>50</v>
      </c>
      <c r="G1234" s="6" t="s">
        <v>35</v>
      </c>
      <c r="H1234" s="6" t="s">
        <v>36</v>
      </c>
      <c r="I1234" s="8">
        <v>170</v>
      </c>
      <c r="J1234" s="8" t="s">
        <v>642</v>
      </c>
      <c r="K1234" s="8" t="s">
        <v>53</v>
      </c>
      <c r="L1234" s="10">
        <v>4</v>
      </c>
      <c r="M1234" s="13">
        <v>7000.0</v>
      </c>
      <c r="N1234" s="13"/>
      <c r="O1234" s="15">
        <f>IF(M1234&gt;0, N1234/M1234, 0)</f>
        <v>0</v>
      </c>
      <c r="P1234" s="13">
        <f>M1234-N1234</f>
        <v>7000</v>
      </c>
      <c r="Q1234" s="13">
        <f>L1234*M1234</f>
        <v>28000</v>
      </c>
      <c r="R1234" s="13">
        <f>L1234*N1234</f>
        <v>0</v>
      </c>
      <c r="S1234" s="13">
        <f>L1234*P1234</f>
        <v>28000</v>
      </c>
      <c r="T1234" s="13"/>
      <c r="U1234" s="13">
        <f>L1234*T1234</f>
        <v>0</v>
      </c>
      <c r="V1234" s="13">
        <f>S1234-U1234</f>
        <v>28000</v>
      </c>
      <c r="W1234" s="15">
        <f>IF(S1234&gt;0, V1234/S1234, 0)</f>
        <v>1</v>
      </c>
      <c r="X1234" s="6" t="s">
        <v>39</v>
      </c>
      <c r="Y1234" s="8" t="s">
        <v>40</v>
      </c>
      <c r="Z1234" s="8" t="s">
        <v>41</v>
      </c>
      <c r="AA1234" s="8" t="s">
        <v>42</v>
      </c>
      <c r="AB1234" s="6" t="s">
        <v>42</v>
      </c>
    </row>
    <row r="1235" spans="1:28">
      <c r="A1235" s="9">
        <v>1228</v>
      </c>
      <c r="B1235" s="9" t="s">
        <v>1547</v>
      </c>
      <c r="C1235" s="9" t="s">
        <v>1533</v>
      </c>
      <c r="D1235" s="9" t="s">
        <v>652</v>
      </c>
      <c r="E1235" s="9" t="s">
        <v>68</v>
      </c>
      <c r="F1235" s="7" t="s">
        <v>34</v>
      </c>
      <c r="G1235" s="7" t="s">
        <v>69</v>
      </c>
      <c r="H1235" s="7" t="s">
        <v>69</v>
      </c>
      <c r="I1235" s="9">
        <v>158</v>
      </c>
      <c r="J1235" s="9" t="s">
        <v>260</v>
      </c>
      <c r="K1235" s="9" t="s">
        <v>38</v>
      </c>
      <c r="L1235" s="11">
        <v>1</v>
      </c>
      <c r="M1235" s="14">
        <v>18000.0</v>
      </c>
      <c r="N1235" s="14"/>
      <c r="O1235" s="16">
        <f>IF(M1235&gt;0, N1235/M1235, 0)</f>
        <v>0</v>
      </c>
      <c r="P1235" s="14">
        <f>M1235-N1235</f>
        <v>18000</v>
      </c>
      <c r="Q1235" s="14">
        <f>L1235*M1235</f>
        <v>18000</v>
      </c>
      <c r="R1235" s="14">
        <f>L1235*N1235</f>
        <v>0</v>
      </c>
      <c r="S1235" s="14">
        <f>L1235*P1235</f>
        <v>18000</v>
      </c>
      <c r="T1235" s="14"/>
      <c r="U1235" s="14">
        <f>L1235*T1235</f>
        <v>0</v>
      </c>
      <c r="V1235" s="14">
        <f>S1235-U1235</f>
        <v>18000</v>
      </c>
      <c r="W1235" s="16">
        <f>IF(S1235&gt;0, V1235/S1235, 0)</f>
        <v>1</v>
      </c>
      <c r="X1235" s="7" t="s">
        <v>39</v>
      </c>
      <c r="Y1235" s="9" t="s">
        <v>40</v>
      </c>
      <c r="Z1235" s="9" t="s">
        <v>71</v>
      </c>
      <c r="AA1235" s="9" t="s">
        <v>42</v>
      </c>
      <c r="AB1235" s="7" t="s">
        <v>42</v>
      </c>
    </row>
    <row r="1236" spans="1:28">
      <c r="A1236" s="8">
        <v>1229</v>
      </c>
      <c r="B1236" s="8" t="s">
        <v>1548</v>
      </c>
      <c r="C1236" s="8" t="s">
        <v>1533</v>
      </c>
      <c r="D1236" s="8" t="s">
        <v>652</v>
      </c>
      <c r="E1236" s="8" t="s">
        <v>33</v>
      </c>
      <c r="F1236" s="6" t="s">
        <v>34</v>
      </c>
      <c r="G1236" s="6" t="s">
        <v>35</v>
      </c>
      <c r="H1236" s="6" t="s">
        <v>36</v>
      </c>
      <c r="I1236" s="8">
        <v>116</v>
      </c>
      <c r="J1236" s="8" t="s">
        <v>1549</v>
      </c>
      <c r="K1236" s="8" t="s">
        <v>38</v>
      </c>
      <c r="L1236" s="10">
        <v>1</v>
      </c>
      <c r="M1236" s="13">
        <v>7000.0</v>
      </c>
      <c r="N1236" s="13"/>
      <c r="O1236" s="15">
        <f>IF(M1236&gt;0, N1236/M1236, 0)</f>
        <v>0</v>
      </c>
      <c r="P1236" s="13">
        <f>M1236-N1236</f>
        <v>7000</v>
      </c>
      <c r="Q1236" s="13">
        <f>L1236*M1236</f>
        <v>7000</v>
      </c>
      <c r="R1236" s="13">
        <f>L1236*N1236</f>
        <v>0</v>
      </c>
      <c r="S1236" s="13">
        <f>L1236*P1236</f>
        <v>7000</v>
      </c>
      <c r="T1236" s="13"/>
      <c r="U1236" s="13">
        <f>L1236*T1236</f>
        <v>0</v>
      </c>
      <c r="V1236" s="13">
        <f>S1236-U1236</f>
        <v>7000</v>
      </c>
      <c r="W1236" s="15">
        <f>IF(S1236&gt;0, V1236/S1236, 0)</f>
        <v>1</v>
      </c>
      <c r="X1236" s="6" t="s">
        <v>39</v>
      </c>
      <c r="Y1236" s="8" t="s">
        <v>40</v>
      </c>
      <c r="Z1236" s="8" t="s">
        <v>41</v>
      </c>
      <c r="AA1236" s="8" t="s">
        <v>42</v>
      </c>
      <c r="AB1236" s="6" t="s">
        <v>42</v>
      </c>
    </row>
    <row r="1237" spans="1:28">
      <c r="A1237" s="9">
        <v>1230</v>
      </c>
      <c r="B1237" s="9" t="s">
        <v>1550</v>
      </c>
      <c r="C1237" s="9" t="s">
        <v>1533</v>
      </c>
      <c r="D1237" s="9" t="s">
        <v>652</v>
      </c>
      <c r="E1237" s="9" t="s">
        <v>33</v>
      </c>
      <c r="F1237" s="7" t="s">
        <v>34</v>
      </c>
      <c r="G1237" s="7" t="s">
        <v>56</v>
      </c>
      <c r="H1237" s="7" t="s">
        <v>56</v>
      </c>
      <c r="I1237" s="9">
        <v>158</v>
      </c>
      <c r="J1237" s="9" t="s">
        <v>128</v>
      </c>
      <c r="K1237" s="9" t="s">
        <v>38</v>
      </c>
      <c r="L1237" s="11">
        <v>1</v>
      </c>
      <c r="M1237" s="14">
        <v>7000.0</v>
      </c>
      <c r="N1237" s="14"/>
      <c r="O1237" s="16">
        <f>IF(M1237&gt;0, N1237/M1237, 0)</f>
        <v>0</v>
      </c>
      <c r="P1237" s="14">
        <f>M1237-N1237</f>
        <v>7000</v>
      </c>
      <c r="Q1237" s="14">
        <f>L1237*M1237</f>
        <v>7000</v>
      </c>
      <c r="R1237" s="14">
        <f>L1237*N1237</f>
        <v>0</v>
      </c>
      <c r="S1237" s="14">
        <f>L1237*P1237</f>
        <v>7000</v>
      </c>
      <c r="T1237" s="14"/>
      <c r="U1237" s="14">
        <f>L1237*T1237</f>
        <v>0</v>
      </c>
      <c r="V1237" s="14">
        <f>S1237-U1237</f>
        <v>7000</v>
      </c>
      <c r="W1237" s="16">
        <f>IF(S1237&gt;0, V1237/S1237, 0)</f>
        <v>1</v>
      </c>
      <c r="X1237" s="7" t="s">
        <v>39</v>
      </c>
      <c r="Y1237" s="9" t="s">
        <v>40</v>
      </c>
      <c r="Z1237" s="9" t="s">
        <v>41</v>
      </c>
      <c r="AA1237" s="9" t="s">
        <v>42</v>
      </c>
      <c r="AB1237" s="7" t="s">
        <v>42</v>
      </c>
    </row>
    <row r="1238" spans="1:28">
      <c r="A1238" s="8">
        <v>1231</v>
      </c>
      <c r="B1238" s="8" t="s">
        <v>1551</v>
      </c>
      <c r="C1238" s="8" t="s">
        <v>1533</v>
      </c>
      <c r="D1238" s="8" t="s">
        <v>652</v>
      </c>
      <c r="E1238" s="8" t="s">
        <v>33</v>
      </c>
      <c r="F1238" s="6" t="s">
        <v>34</v>
      </c>
      <c r="G1238" s="6" t="s">
        <v>51</v>
      </c>
      <c r="H1238" s="6" t="s">
        <v>51</v>
      </c>
      <c r="I1238" s="8">
        <v>158</v>
      </c>
      <c r="J1238" s="8" t="s">
        <v>122</v>
      </c>
      <c r="K1238" s="8" t="s">
        <v>38</v>
      </c>
      <c r="L1238" s="10">
        <v>1</v>
      </c>
      <c r="M1238" s="13">
        <v>8000.0</v>
      </c>
      <c r="N1238" s="13"/>
      <c r="O1238" s="15">
        <f>IF(M1238&gt;0, N1238/M1238, 0)</f>
        <v>0</v>
      </c>
      <c r="P1238" s="13">
        <f>M1238-N1238</f>
        <v>8000</v>
      </c>
      <c r="Q1238" s="13">
        <f>L1238*M1238</f>
        <v>8000</v>
      </c>
      <c r="R1238" s="13">
        <f>L1238*N1238</f>
        <v>0</v>
      </c>
      <c r="S1238" s="13">
        <f>L1238*P1238</f>
        <v>8000</v>
      </c>
      <c r="T1238" s="13"/>
      <c r="U1238" s="13">
        <f>L1238*T1238</f>
        <v>0</v>
      </c>
      <c r="V1238" s="13">
        <f>S1238-U1238</f>
        <v>8000</v>
      </c>
      <c r="W1238" s="15">
        <f>IF(S1238&gt;0, V1238/S1238, 0)</f>
        <v>1</v>
      </c>
      <c r="X1238" s="6" t="s">
        <v>39</v>
      </c>
      <c r="Y1238" s="8" t="s">
        <v>40</v>
      </c>
      <c r="Z1238" s="8" t="s">
        <v>41</v>
      </c>
      <c r="AA1238" s="8" t="s">
        <v>42</v>
      </c>
      <c r="AB1238" s="6" t="s">
        <v>42</v>
      </c>
    </row>
    <row r="1239" spans="1:28">
      <c r="A1239" s="9">
        <v>1232</v>
      </c>
      <c r="B1239" s="9" t="s">
        <v>1552</v>
      </c>
      <c r="C1239" s="9" t="s">
        <v>1533</v>
      </c>
      <c r="D1239" s="9" t="s">
        <v>652</v>
      </c>
      <c r="E1239" s="9" t="s">
        <v>33</v>
      </c>
      <c r="F1239" s="7" t="s">
        <v>34</v>
      </c>
      <c r="G1239" s="7" t="s">
        <v>35</v>
      </c>
      <c r="H1239" s="7" t="s">
        <v>36</v>
      </c>
      <c r="I1239" s="9">
        <v>158</v>
      </c>
      <c r="J1239" s="9" t="s">
        <v>37</v>
      </c>
      <c r="K1239" s="9" t="s">
        <v>38</v>
      </c>
      <c r="L1239" s="11">
        <v>1</v>
      </c>
      <c r="M1239" s="14">
        <v>8000.0</v>
      </c>
      <c r="N1239" s="14"/>
      <c r="O1239" s="16">
        <f>IF(M1239&gt;0, N1239/M1239, 0)</f>
        <v>0</v>
      </c>
      <c r="P1239" s="14">
        <f>M1239-N1239</f>
        <v>8000</v>
      </c>
      <c r="Q1239" s="14">
        <f>L1239*M1239</f>
        <v>8000</v>
      </c>
      <c r="R1239" s="14">
        <f>L1239*N1239</f>
        <v>0</v>
      </c>
      <c r="S1239" s="14">
        <f>L1239*P1239</f>
        <v>8000</v>
      </c>
      <c r="T1239" s="14"/>
      <c r="U1239" s="14">
        <f>L1239*T1239</f>
        <v>0</v>
      </c>
      <c r="V1239" s="14">
        <f>S1239-U1239</f>
        <v>8000</v>
      </c>
      <c r="W1239" s="16">
        <f>IF(S1239&gt;0, V1239/S1239, 0)</f>
        <v>1</v>
      </c>
      <c r="X1239" s="7" t="s">
        <v>39</v>
      </c>
      <c r="Y1239" s="9" t="s">
        <v>40</v>
      </c>
      <c r="Z1239" s="9" t="s">
        <v>41</v>
      </c>
      <c r="AA1239" s="9" t="s">
        <v>42</v>
      </c>
      <c r="AB1239" s="7" t="s">
        <v>42</v>
      </c>
    </row>
    <row r="1240" spans="1:28">
      <c r="A1240" s="8">
        <v>1233</v>
      </c>
      <c r="B1240" s="8" t="s">
        <v>1553</v>
      </c>
      <c r="C1240" s="8" t="s">
        <v>1533</v>
      </c>
      <c r="D1240" s="8" t="s">
        <v>652</v>
      </c>
      <c r="E1240" s="8" t="s">
        <v>33</v>
      </c>
      <c r="F1240" s="6" t="s">
        <v>34</v>
      </c>
      <c r="G1240" s="6" t="s">
        <v>35</v>
      </c>
      <c r="H1240" s="6" t="s">
        <v>36</v>
      </c>
      <c r="I1240" s="8">
        <v>152</v>
      </c>
      <c r="J1240" s="8" t="s">
        <v>726</v>
      </c>
      <c r="K1240" s="8" t="s">
        <v>38</v>
      </c>
      <c r="L1240" s="10">
        <v>1</v>
      </c>
      <c r="M1240" s="13">
        <v>8000.0</v>
      </c>
      <c r="N1240" s="13"/>
      <c r="O1240" s="15">
        <f>IF(M1240&gt;0, N1240/M1240, 0)</f>
        <v>0</v>
      </c>
      <c r="P1240" s="13">
        <f>M1240-N1240</f>
        <v>8000</v>
      </c>
      <c r="Q1240" s="13">
        <f>L1240*M1240</f>
        <v>8000</v>
      </c>
      <c r="R1240" s="13">
        <f>L1240*N1240</f>
        <v>0</v>
      </c>
      <c r="S1240" s="13">
        <f>L1240*P1240</f>
        <v>8000</v>
      </c>
      <c r="T1240" s="13"/>
      <c r="U1240" s="13">
        <f>L1240*T1240</f>
        <v>0</v>
      </c>
      <c r="V1240" s="13">
        <f>S1240-U1240</f>
        <v>8000</v>
      </c>
      <c r="W1240" s="15">
        <f>IF(S1240&gt;0, V1240/S1240, 0)</f>
        <v>1</v>
      </c>
      <c r="X1240" s="6" t="s">
        <v>39</v>
      </c>
      <c r="Y1240" s="8" t="s">
        <v>40</v>
      </c>
      <c r="Z1240" s="8" t="s">
        <v>41</v>
      </c>
      <c r="AA1240" s="8" t="s">
        <v>42</v>
      </c>
      <c r="AB1240" s="6" t="s">
        <v>42</v>
      </c>
    </row>
    <row r="1241" spans="1:28">
      <c r="A1241" s="9">
        <v>1234</v>
      </c>
      <c r="B1241" s="9" t="s">
        <v>1554</v>
      </c>
      <c r="C1241" s="9" t="s">
        <v>1533</v>
      </c>
      <c r="D1241" s="9" t="s">
        <v>652</v>
      </c>
      <c r="E1241" s="9" t="s">
        <v>33</v>
      </c>
      <c r="F1241" s="7" t="s">
        <v>50</v>
      </c>
      <c r="G1241" s="7" t="s">
        <v>69</v>
      </c>
      <c r="H1241" s="7" t="s">
        <v>69</v>
      </c>
      <c r="I1241" s="9">
        <v>140</v>
      </c>
      <c r="J1241" s="9" t="s">
        <v>225</v>
      </c>
      <c r="K1241" s="9" t="s">
        <v>38</v>
      </c>
      <c r="L1241" s="11">
        <v>1</v>
      </c>
      <c r="M1241" s="14">
        <v>17000.0</v>
      </c>
      <c r="N1241" s="14"/>
      <c r="O1241" s="16">
        <f>IF(M1241&gt;0, N1241/M1241, 0)</f>
        <v>0</v>
      </c>
      <c r="P1241" s="14">
        <f>M1241-N1241</f>
        <v>17000</v>
      </c>
      <c r="Q1241" s="14">
        <f>L1241*M1241</f>
        <v>17000</v>
      </c>
      <c r="R1241" s="14">
        <f>L1241*N1241</f>
        <v>0</v>
      </c>
      <c r="S1241" s="14">
        <f>L1241*P1241</f>
        <v>17000</v>
      </c>
      <c r="T1241" s="14"/>
      <c r="U1241" s="14">
        <f>L1241*T1241</f>
        <v>0</v>
      </c>
      <c r="V1241" s="14">
        <f>S1241-U1241</f>
        <v>17000</v>
      </c>
      <c r="W1241" s="16">
        <f>IF(S1241&gt;0, V1241/S1241, 0)</f>
        <v>1</v>
      </c>
      <c r="X1241" s="7" t="s">
        <v>39</v>
      </c>
      <c r="Y1241" s="9" t="s">
        <v>40</v>
      </c>
      <c r="Z1241" s="9" t="s">
        <v>41</v>
      </c>
      <c r="AA1241" s="9" t="s">
        <v>42</v>
      </c>
      <c r="AB1241" s="7" t="s">
        <v>42</v>
      </c>
    </row>
    <row r="1242" spans="1:28">
      <c r="A1242" s="8">
        <v>1235</v>
      </c>
      <c r="B1242" s="8" t="s">
        <v>1555</v>
      </c>
      <c r="C1242" s="8" t="s">
        <v>1533</v>
      </c>
      <c r="D1242" s="8" t="s">
        <v>652</v>
      </c>
      <c r="E1242" s="8" t="s">
        <v>68</v>
      </c>
      <c r="F1242" s="6" t="s">
        <v>50</v>
      </c>
      <c r="G1242" s="6" t="s">
        <v>63</v>
      </c>
      <c r="H1242" s="6" t="s">
        <v>148</v>
      </c>
      <c r="I1242" s="8">
        <v>140</v>
      </c>
      <c r="J1242" s="8" t="s">
        <v>221</v>
      </c>
      <c r="K1242" s="8" t="s">
        <v>38</v>
      </c>
      <c r="L1242" s="10">
        <v>1</v>
      </c>
      <c r="M1242" s="13">
        <v>10000.0</v>
      </c>
      <c r="N1242" s="13"/>
      <c r="O1242" s="15">
        <f>IF(M1242&gt;0, N1242/M1242, 0)</f>
        <v>0</v>
      </c>
      <c r="P1242" s="13">
        <f>M1242-N1242</f>
        <v>10000</v>
      </c>
      <c r="Q1242" s="13">
        <f>L1242*M1242</f>
        <v>10000</v>
      </c>
      <c r="R1242" s="13">
        <f>L1242*N1242</f>
        <v>0</v>
      </c>
      <c r="S1242" s="13">
        <f>L1242*P1242</f>
        <v>10000</v>
      </c>
      <c r="T1242" s="13"/>
      <c r="U1242" s="13">
        <f>L1242*T1242</f>
        <v>0</v>
      </c>
      <c r="V1242" s="13">
        <f>S1242-U1242</f>
        <v>10000</v>
      </c>
      <c r="W1242" s="15">
        <f>IF(S1242&gt;0, V1242/S1242, 0)</f>
        <v>1</v>
      </c>
      <c r="X1242" s="6" t="s">
        <v>39</v>
      </c>
      <c r="Y1242" s="8" t="s">
        <v>40</v>
      </c>
      <c r="Z1242" s="8" t="s">
        <v>71</v>
      </c>
      <c r="AA1242" s="8" t="s">
        <v>42</v>
      </c>
      <c r="AB1242" s="6" t="s">
        <v>42</v>
      </c>
    </row>
    <row r="1243" spans="1:28">
      <c r="A1243" s="9">
        <v>1236</v>
      </c>
      <c r="B1243" s="9" t="s">
        <v>1556</v>
      </c>
      <c r="C1243" s="9" t="s">
        <v>1533</v>
      </c>
      <c r="D1243" s="9" t="s">
        <v>652</v>
      </c>
      <c r="E1243" s="9" t="s">
        <v>33</v>
      </c>
      <c r="F1243" s="7" t="s">
        <v>50</v>
      </c>
      <c r="G1243" s="7" t="s">
        <v>35</v>
      </c>
      <c r="H1243" s="7" t="s">
        <v>36</v>
      </c>
      <c r="I1243" s="9">
        <v>140</v>
      </c>
      <c r="J1243" s="9" t="s">
        <v>223</v>
      </c>
      <c r="K1243" s="9" t="s">
        <v>53</v>
      </c>
      <c r="L1243" s="11">
        <v>2</v>
      </c>
      <c r="M1243" s="14">
        <v>7000.0</v>
      </c>
      <c r="N1243" s="14"/>
      <c r="O1243" s="16">
        <f>IF(M1243&gt;0, N1243/M1243, 0)</f>
        <v>0</v>
      </c>
      <c r="P1243" s="14">
        <f>M1243-N1243</f>
        <v>7000</v>
      </c>
      <c r="Q1243" s="14">
        <f>L1243*M1243</f>
        <v>14000</v>
      </c>
      <c r="R1243" s="14">
        <f>L1243*N1243</f>
        <v>0</v>
      </c>
      <c r="S1243" s="14">
        <f>L1243*P1243</f>
        <v>14000</v>
      </c>
      <c r="T1243" s="14"/>
      <c r="U1243" s="14">
        <f>L1243*T1243</f>
        <v>0</v>
      </c>
      <c r="V1243" s="14">
        <f>S1243-U1243</f>
        <v>14000</v>
      </c>
      <c r="W1243" s="16">
        <f>IF(S1243&gt;0, V1243/S1243, 0)</f>
        <v>1</v>
      </c>
      <c r="X1243" s="7" t="s">
        <v>39</v>
      </c>
      <c r="Y1243" s="9" t="s">
        <v>40</v>
      </c>
      <c r="Z1243" s="9" t="s">
        <v>41</v>
      </c>
      <c r="AA1243" s="9" t="s">
        <v>42</v>
      </c>
      <c r="AB1243" s="7" t="s">
        <v>42</v>
      </c>
    </row>
    <row r="1244" spans="1:28">
      <c r="A1244" s="8">
        <v>1237</v>
      </c>
      <c r="B1244" s="8" t="s">
        <v>1557</v>
      </c>
      <c r="C1244" s="8" t="s">
        <v>1533</v>
      </c>
      <c r="D1244" s="8" t="s">
        <v>652</v>
      </c>
      <c r="E1244" s="8" t="s">
        <v>33</v>
      </c>
      <c r="F1244" s="6" t="s">
        <v>50</v>
      </c>
      <c r="G1244" s="6" t="s">
        <v>51</v>
      </c>
      <c r="H1244" s="6" t="s">
        <v>51</v>
      </c>
      <c r="I1244" s="8">
        <v>140</v>
      </c>
      <c r="J1244" s="8" t="s">
        <v>279</v>
      </c>
      <c r="K1244" s="8" t="s">
        <v>53</v>
      </c>
      <c r="L1244" s="10">
        <v>1</v>
      </c>
      <c r="M1244" s="13">
        <v>8000.0</v>
      </c>
      <c r="N1244" s="13"/>
      <c r="O1244" s="15">
        <f>IF(M1244&gt;0, N1244/M1244, 0)</f>
        <v>0</v>
      </c>
      <c r="P1244" s="13">
        <f>M1244-N1244</f>
        <v>8000</v>
      </c>
      <c r="Q1244" s="13">
        <f>L1244*M1244</f>
        <v>8000</v>
      </c>
      <c r="R1244" s="13">
        <f>L1244*N1244</f>
        <v>0</v>
      </c>
      <c r="S1244" s="13">
        <f>L1244*P1244</f>
        <v>8000</v>
      </c>
      <c r="T1244" s="13"/>
      <c r="U1244" s="13">
        <f>L1244*T1244</f>
        <v>0</v>
      </c>
      <c r="V1244" s="13">
        <f>S1244-U1244</f>
        <v>8000</v>
      </c>
      <c r="W1244" s="15">
        <f>IF(S1244&gt;0, V1244/S1244, 0)</f>
        <v>1</v>
      </c>
      <c r="X1244" s="6" t="s">
        <v>39</v>
      </c>
      <c r="Y1244" s="8" t="s">
        <v>40</v>
      </c>
      <c r="Z1244" s="8" t="s">
        <v>41</v>
      </c>
      <c r="AA1244" s="8" t="s">
        <v>42</v>
      </c>
      <c r="AB1244" s="6" t="s">
        <v>42</v>
      </c>
    </row>
    <row r="1245" spans="1:28">
      <c r="A1245" s="9">
        <v>1238</v>
      </c>
      <c r="B1245" s="9" t="s">
        <v>1558</v>
      </c>
      <c r="C1245" s="9" t="s">
        <v>1533</v>
      </c>
      <c r="D1245" s="9" t="s">
        <v>652</v>
      </c>
      <c r="E1245" s="9" t="s">
        <v>33</v>
      </c>
      <c r="F1245" s="7" t="s">
        <v>50</v>
      </c>
      <c r="G1245" s="7" t="s">
        <v>45</v>
      </c>
      <c r="H1245" s="7" t="s">
        <v>46</v>
      </c>
      <c r="I1245" s="9">
        <v>140</v>
      </c>
      <c r="J1245" s="9" t="s">
        <v>414</v>
      </c>
      <c r="K1245" s="9" t="s">
        <v>38</v>
      </c>
      <c r="L1245" s="11">
        <v>1</v>
      </c>
      <c r="M1245" s="14">
        <v>18000.0</v>
      </c>
      <c r="N1245" s="14"/>
      <c r="O1245" s="16">
        <f>IF(M1245&gt;0, N1245/M1245, 0)</f>
        <v>0</v>
      </c>
      <c r="P1245" s="14">
        <f>M1245-N1245</f>
        <v>18000</v>
      </c>
      <c r="Q1245" s="14">
        <f>L1245*M1245</f>
        <v>18000</v>
      </c>
      <c r="R1245" s="14">
        <f>L1245*N1245</f>
        <v>0</v>
      </c>
      <c r="S1245" s="14">
        <f>L1245*P1245</f>
        <v>18000</v>
      </c>
      <c r="T1245" s="14"/>
      <c r="U1245" s="14">
        <f>L1245*T1245</f>
        <v>0</v>
      </c>
      <c r="V1245" s="14">
        <f>S1245-U1245</f>
        <v>18000</v>
      </c>
      <c r="W1245" s="16">
        <f>IF(S1245&gt;0, V1245/S1245, 0)</f>
        <v>1</v>
      </c>
      <c r="X1245" s="7" t="s">
        <v>39</v>
      </c>
      <c r="Y1245" s="9" t="s">
        <v>40</v>
      </c>
      <c r="Z1245" s="9" t="s">
        <v>41</v>
      </c>
      <c r="AA1245" s="9" t="s">
        <v>42</v>
      </c>
      <c r="AB1245" s="7" t="s">
        <v>42</v>
      </c>
    </row>
    <row r="1246" spans="1:28">
      <c r="A1246" s="8">
        <v>1239</v>
      </c>
      <c r="B1246" s="8" t="s">
        <v>1559</v>
      </c>
      <c r="C1246" s="8" t="s">
        <v>1533</v>
      </c>
      <c r="D1246" s="8" t="s">
        <v>652</v>
      </c>
      <c r="E1246" s="8" t="s">
        <v>68</v>
      </c>
      <c r="F1246" s="6" t="s">
        <v>50</v>
      </c>
      <c r="G1246" s="6" t="s">
        <v>35</v>
      </c>
      <c r="H1246" s="6" t="s">
        <v>36</v>
      </c>
      <c r="I1246" s="8">
        <v>140</v>
      </c>
      <c r="J1246" s="8" t="s">
        <v>223</v>
      </c>
      <c r="K1246" s="8" t="s">
        <v>53</v>
      </c>
      <c r="L1246" s="10">
        <v>1</v>
      </c>
      <c r="M1246" s="13">
        <v>9000.0</v>
      </c>
      <c r="N1246" s="13"/>
      <c r="O1246" s="15">
        <f>IF(M1246&gt;0, N1246/M1246, 0)</f>
        <v>0</v>
      </c>
      <c r="P1246" s="13">
        <f>M1246-N1246</f>
        <v>9000</v>
      </c>
      <c r="Q1246" s="13">
        <f>L1246*M1246</f>
        <v>9000</v>
      </c>
      <c r="R1246" s="13">
        <f>L1246*N1246</f>
        <v>0</v>
      </c>
      <c r="S1246" s="13">
        <f>L1246*P1246</f>
        <v>9000</v>
      </c>
      <c r="T1246" s="13"/>
      <c r="U1246" s="13">
        <f>L1246*T1246</f>
        <v>0</v>
      </c>
      <c r="V1246" s="13">
        <f>S1246-U1246</f>
        <v>9000</v>
      </c>
      <c r="W1246" s="15">
        <f>IF(S1246&gt;0, V1246/S1246, 0)</f>
        <v>1</v>
      </c>
      <c r="X1246" s="6" t="s">
        <v>39</v>
      </c>
      <c r="Y1246" s="8" t="s">
        <v>40</v>
      </c>
      <c r="Z1246" s="8" t="s">
        <v>71</v>
      </c>
      <c r="AA1246" s="8" t="s">
        <v>42</v>
      </c>
      <c r="AB1246" s="6" t="s">
        <v>42</v>
      </c>
    </row>
    <row r="1247" spans="1:28">
      <c r="A1247" s="9">
        <v>1240</v>
      </c>
      <c r="B1247" s="9" t="s">
        <v>1560</v>
      </c>
      <c r="C1247" s="9" t="s">
        <v>1533</v>
      </c>
      <c r="D1247" s="9" t="s">
        <v>652</v>
      </c>
      <c r="E1247" s="9" t="s">
        <v>33</v>
      </c>
      <c r="F1247" s="7" t="s">
        <v>50</v>
      </c>
      <c r="G1247" s="7" t="s">
        <v>69</v>
      </c>
      <c r="H1247" s="7" t="s">
        <v>69</v>
      </c>
      <c r="I1247" s="9">
        <v>134</v>
      </c>
      <c r="J1247" s="9" t="s">
        <v>209</v>
      </c>
      <c r="K1247" s="9" t="s">
        <v>38</v>
      </c>
      <c r="L1247" s="11">
        <v>1</v>
      </c>
      <c r="M1247" s="14">
        <v>17000.0</v>
      </c>
      <c r="N1247" s="14"/>
      <c r="O1247" s="16">
        <f>IF(M1247&gt;0, N1247/M1247, 0)</f>
        <v>0</v>
      </c>
      <c r="P1247" s="14">
        <f>M1247-N1247</f>
        <v>17000</v>
      </c>
      <c r="Q1247" s="14">
        <f>L1247*M1247</f>
        <v>17000</v>
      </c>
      <c r="R1247" s="14">
        <f>L1247*N1247</f>
        <v>0</v>
      </c>
      <c r="S1247" s="14">
        <f>L1247*P1247</f>
        <v>17000</v>
      </c>
      <c r="T1247" s="14"/>
      <c r="U1247" s="14">
        <f>L1247*T1247</f>
        <v>0</v>
      </c>
      <c r="V1247" s="14">
        <f>S1247-U1247</f>
        <v>17000</v>
      </c>
      <c r="W1247" s="16">
        <f>IF(S1247&gt;0, V1247/S1247, 0)</f>
        <v>1</v>
      </c>
      <c r="X1247" s="7" t="s">
        <v>39</v>
      </c>
      <c r="Y1247" s="9" t="s">
        <v>40</v>
      </c>
      <c r="Z1247" s="9" t="s">
        <v>41</v>
      </c>
      <c r="AA1247" s="9" t="s">
        <v>42</v>
      </c>
      <c r="AB1247" s="7" t="s">
        <v>42</v>
      </c>
    </row>
    <row r="1248" spans="1:28">
      <c r="A1248" s="8">
        <v>1241</v>
      </c>
      <c r="B1248" s="8" t="s">
        <v>1561</v>
      </c>
      <c r="C1248" s="8" t="s">
        <v>1533</v>
      </c>
      <c r="D1248" s="8" t="s">
        <v>652</v>
      </c>
      <c r="E1248" s="8" t="s">
        <v>33</v>
      </c>
      <c r="F1248" s="6" t="s">
        <v>50</v>
      </c>
      <c r="G1248" s="6" t="s">
        <v>35</v>
      </c>
      <c r="H1248" s="6" t="s">
        <v>36</v>
      </c>
      <c r="I1248" s="8">
        <v>140</v>
      </c>
      <c r="J1248" s="8" t="s">
        <v>223</v>
      </c>
      <c r="K1248" s="8" t="s">
        <v>53</v>
      </c>
      <c r="L1248" s="10">
        <v>1</v>
      </c>
      <c r="M1248" s="13">
        <v>7000.0</v>
      </c>
      <c r="N1248" s="13"/>
      <c r="O1248" s="15">
        <f>IF(M1248&gt;0, N1248/M1248, 0)</f>
        <v>0</v>
      </c>
      <c r="P1248" s="13">
        <f>M1248-N1248</f>
        <v>7000</v>
      </c>
      <c r="Q1248" s="13">
        <f>L1248*M1248</f>
        <v>7000</v>
      </c>
      <c r="R1248" s="13">
        <f>L1248*N1248</f>
        <v>0</v>
      </c>
      <c r="S1248" s="13">
        <f>L1248*P1248</f>
        <v>7000</v>
      </c>
      <c r="T1248" s="13"/>
      <c r="U1248" s="13">
        <f>L1248*T1248</f>
        <v>0</v>
      </c>
      <c r="V1248" s="13">
        <f>S1248-U1248</f>
        <v>7000</v>
      </c>
      <c r="W1248" s="15">
        <f>IF(S1248&gt;0, V1248/S1248, 0)</f>
        <v>1</v>
      </c>
      <c r="X1248" s="6" t="s">
        <v>39</v>
      </c>
      <c r="Y1248" s="8" t="s">
        <v>40</v>
      </c>
      <c r="Z1248" s="8" t="s">
        <v>41</v>
      </c>
      <c r="AA1248" s="8" t="s">
        <v>42</v>
      </c>
      <c r="AB1248" s="6" t="s">
        <v>42</v>
      </c>
    </row>
    <row r="1249" spans="1:28">
      <c r="A1249" s="9">
        <v>1242</v>
      </c>
      <c r="B1249" s="9" t="s">
        <v>1562</v>
      </c>
      <c r="C1249" s="9" t="s">
        <v>1533</v>
      </c>
      <c r="D1249" s="9" t="s">
        <v>652</v>
      </c>
      <c r="E1249" s="9" t="s">
        <v>33</v>
      </c>
      <c r="F1249" s="7" t="s">
        <v>50</v>
      </c>
      <c r="G1249" s="7" t="s">
        <v>51</v>
      </c>
      <c r="H1249" s="7" t="s">
        <v>51</v>
      </c>
      <c r="I1249" s="9">
        <v>134</v>
      </c>
      <c r="J1249" s="9" t="s">
        <v>175</v>
      </c>
      <c r="K1249" s="9" t="s">
        <v>53</v>
      </c>
      <c r="L1249" s="11">
        <v>1</v>
      </c>
      <c r="M1249" s="14">
        <v>8000.0</v>
      </c>
      <c r="N1249" s="14"/>
      <c r="O1249" s="16">
        <f>IF(M1249&gt;0, N1249/M1249, 0)</f>
        <v>0</v>
      </c>
      <c r="P1249" s="14">
        <f>M1249-N1249</f>
        <v>8000</v>
      </c>
      <c r="Q1249" s="14">
        <f>L1249*M1249</f>
        <v>8000</v>
      </c>
      <c r="R1249" s="14">
        <f>L1249*N1249</f>
        <v>0</v>
      </c>
      <c r="S1249" s="14">
        <f>L1249*P1249</f>
        <v>8000</v>
      </c>
      <c r="T1249" s="14"/>
      <c r="U1249" s="14">
        <f>L1249*T1249</f>
        <v>0</v>
      </c>
      <c r="V1249" s="14">
        <f>S1249-U1249</f>
        <v>8000</v>
      </c>
      <c r="W1249" s="16">
        <f>IF(S1249&gt;0, V1249/S1249, 0)</f>
        <v>1</v>
      </c>
      <c r="X1249" s="7" t="s">
        <v>39</v>
      </c>
      <c r="Y1249" s="9" t="s">
        <v>40</v>
      </c>
      <c r="Z1249" s="9" t="s">
        <v>41</v>
      </c>
      <c r="AA1249" s="9" t="s">
        <v>42</v>
      </c>
      <c r="AB1249" s="7" t="s">
        <v>42</v>
      </c>
    </row>
    <row r="1250" spans="1:28">
      <c r="A1250" s="8">
        <v>1243</v>
      </c>
      <c r="B1250" s="8" t="s">
        <v>1563</v>
      </c>
      <c r="C1250" s="8" t="s">
        <v>1533</v>
      </c>
      <c r="D1250" s="8" t="s">
        <v>652</v>
      </c>
      <c r="E1250" s="8" t="s">
        <v>68</v>
      </c>
      <c r="F1250" s="6" t="s">
        <v>50</v>
      </c>
      <c r="G1250" s="6" t="s">
        <v>63</v>
      </c>
      <c r="H1250" s="6" t="s">
        <v>148</v>
      </c>
      <c r="I1250" s="8">
        <v>122</v>
      </c>
      <c r="J1250" s="8" t="s">
        <v>241</v>
      </c>
      <c r="K1250" s="8" t="s">
        <v>38</v>
      </c>
      <c r="L1250" s="10">
        <v>1</v>
      </c>
      <c r="M1250" s="13">
        <v>10000.0</v>
      </c>
      <c r="N1250" s="13"/>
      <c r="O1250" s="15">
        <f>IF(M1250&gt;0, N1250/M1250, 0)</f>
        <v>0</v>
      </c>
      <c r="P1250" s="13">
        <f>M1250-N1250</f>
        <v>10000</v>
      </c>
      <c r="Q1250" s="13">
        <f>L1250*M1250</f>
        <v>10000</v>
      </c>
      <c r="R1250" s="13">
        <f>L1250*N1250</f>
        <v>0</v>
      </c>
      <c r="S1250" s="13">
        <f>L1250*P1250</f>
        <v>10000</v>
      </c>
      <c r="T1250" s="13"/>
      <c r="U1250" s="13">
        <f>L1250*T1250</f>
        <v>0</v>
      </c>
      <c r="V1250" s="13">
        <f>S1250-U1250</f>
        <v>10000</v>
      </c>
      <c r="W1250" s="15">
        <f>IF(S1250&gt;0, V1250/S1250, 0)</f>
        <v>1</v>
      </c>
      <c r="X1250" s="6" t="s">
        <v>39</v>
      </c>
      <c r="Y1250" s="8" t="s">
        <v>40</v>
      </c>
      <c r="Z1250" s="8" t="s">
        <v>71</v>
      </c>
      <c r="AA1250" s="8" t="s">
        <v>42</v>
      </c>
      <c r="AB1250" s="6" t="s">
        <v>42</v>
      </c>
    </row>
    <row r="1251" spans="1:28">
      <c r="A1251" s="9">
        <v>1244</v>
      </c>
      <c r="B1251" s="9" t="s">
        <v>1564</v>
      </c>
      <c r="C1251" s="9" t="s">
        <v>1533</v>
      </c>
      <c r="D1251" s="9" t="s">
        <v>652</v>
      </c>
      <c r="E1251" s="9" t="s">
        <v>33</v>
      </c>
      <c r="F1251" s="7" t="s">
        <v>50</v>
      </c>
      <c r="G1251" s="7" t="s">
        <v>51</v>
      </c>
      <c r="H1251" s="7" t="s">
        <v>51</v>
      </c>
      <c r="I1251" s="9">
        <v>122</v>
      </c>
      <c r="J1251" s="9" t="s">
        <v>82</v>
      </c>
      <c r="K1251" s="9" t="s">
        <v>53</v>
      </c>
      <c r="L1251" s="11">
        <v>1</v>
      </c>
      <c r="M1251" s="14">
        <v>9000.0</v>
      </c>
      <c r="N1251" s="14"/>
      <c r="O1251" s="16">
        <f>IF(M1251&gt;0, N1251/M1251, 0)</f>
        <v>0</v>
      </c>
      <c r="P1251" s="14">
        <f>M1251-N1251</f>
        <v>9000</v>
      </c>
      <c r="Q1251" s="14">
        <f>L1251*M1251</f>
        <v>9000</v>
      </c>
      <c r="R1251" s="14">
        <f>L1251*N1251</f>
        <v>0</v>
      </c>
      <c r="S1251" s="14">
        <f>L1251*P1251</f>
        <v>9000</v>
      </c>
      <c r="T1251" s="14"/>
      <c r="U1251" s="14">
        <f>L1251*T1251</f>
        <v>0</v>
      </c>
      <c r="V1251" s="14">
        <f>S1251-U1251</f>
        <v>9000</v>
      </c>
      <c r="W1251" s="16">
        <f>IF(S1251&gt;0, V1251/S1251, 0)</f>
        <v>1</v>
      </c>
      <c r="X1251" s="7" t="s">
        <v>39</v>
      </c>
      <c r="Y1251" s="9" t="s">
        <v>40</v>
      </c>
      <c r="Z1251" s="9" t="s">
        <v>41</v>
      </c>
      <c r="AA1251" s="9" t="s">
        <v>42</v>
      </c>
      <c r="AB1251" s="7" t="s">
        <v>42</v>
      </c>
    </row>
    <row r="1252" spans="1:28">
      <c r="A1252" s="8">
        <v>1245</v>
      </c>
      <c r="B1252" s="8" t="s">
        <v>1565</v>
      </c>
      <c r="C1252" s="8" t="s">
        <v>1533</v>
      </c>
      <c r="D1252" s="8" t="s">
        <v>652</v>
      </c>
      <c r="E1252" s="8" t="s">
        <v>68</v>
      </c>
      <c r="F1252" s="6" t="s">
        <v>50</v>
      </c>
      <c r="G1252" s="6" t="s">
        <v>35</v>
      </c>
      <c r="H1252" s="6" t="s">
        <v>36</v>
      </c>
      <c r="I1252" s="8">
        <v>122</v>
      </c>
      <c r="J1252" s="8" t="s">
        <v>105</v>
      </c>
      <c r="K1252" s="8" t="s">
        <v>53</v>
      </c>
      <c r="L1252" s="10">
        <v>1</v>
      </c>
      <c r="M1252" s="13">
        <v>9000.0</v>
      </c>
      <c r="N1252" s="13"/>
      <c r="O1252" s="15">
        <f>IF(M1252&gt;0, N1252/M1252, 0)</f>
        <v>0</v>
      </c>
      <c r="P1252" s="13">
        <f>M1252-N1252</f>
        <v>9000</v>
      </c>
      <c r="Q1252" s="13">
        <f>L1252*M1252</f>
        <v>9000</v>
      </c>
      <c r="R1252" s="13">
        <f>L1252*N1252</f>
        <v>0</v>
      </c>
      <c r="S1252" s="13">
        <f>L1252*P1252</f>
        <v>9000</v>
      </c>
      <c r="T1252" s="13"/>
      <c r="U1252" s="13">
        <f>L1252*T1252</f>
        <v>0</v>
      </c>
      <c r="V1252" s="13">
        <f>S1252-U1252</f>
        <v>9000</v>
      </c>
      <c r="W1252" s="15">
        <f>IF(S1252&gt;0, V1252/S1252, 0)</f>
        <v>1</v>
      </c>
      <c r="X1252" s="6" t="s">
        <v>39</v>
      </c>
      <c r="Y1252" s="8" t="s">
        <v>40</v>
      </c>
      <c r="Z1252" s="8" t="s">
        <v>71</v>
      </c>
      <c r="AA1252" s="8" t="s">
        <v>42</v>
      </c>
      <c r="AB1252" s="6" t="s">
        <v>42</v>
      </c>
    </row>
    <row r="1253" spans="1:28">
      <c r="A1253" s="9">
        <v>1246</v>
      </c>
      <c r="B1253" s="9" t="s">
        <v>1566</v>
      </c>
      <c r="C1253" s="9" t="s">
        <v>1533</v>
      </c>
      <c r="D1253" s="9" t="s">
        <v>652</v>
      </c>
      <c r="E1253" s="9" t="s">
        <v>33</v>
      </c>
      <c r="F1253" s="7" t="s">
        <v>50</v>
      </c>
      <c r="G1253" s="7" t="s">
        <v>63</v>
      </c>
      <c r="H1253" s="7" t="s">
        <v>148</v>
      </c>
      <c r="I1253" s="9">
        <v>122</v>
      </c>
      <c r="J1253" s="9" t="s">
        <v>241</v>
      </c>
      <c r="K1253" s="9" t="s">
        <v>38</v>
      </c>
      <c r="L1253" s="11">
        <v>1</v>
      </c>
      <c r="M1253" s="14">
        <v>9000.0</v>
      </c>
      <c r="N1253" s="14"/>
      <c r="O1253" s="16">
        <f>IF(M1253&gt;0, N1253/M1253, 0)</f>
        <v>0</v>
      </c>
      <c r="P1253" s="14">
        <f>M1253-N1253</f>
        <v>9000</v>
      </c>
      <c r="Q1253" s="14">
        <f>L1253*M1253</f>
        <v>9000</v>
      </c>
      <c r="R1253" s="14">
        <f>L1253*N1253</f>
        <v>0</v>
      </c>
      <c r="S1253" s="14">
        <f>L1253*P1253</f>
        <v>9000</v>
      </c>
      <c r="T1253" s="14"/>
      <c r="U1253" s="14">
        <f>L1253*T1253</f>
        <v>0</v>
      </c>
      <c r="V1253" s="14">
        <f>S1253-U1253</f>
        <v>9000</v>
      </c>
      <c r="W1253" s="16">
        <f>IF(S1253&gt;0, V1253/S1253, 0)</f>
        <v>1</v>
      </c>
      <c r="X1253" s="7" t="s">
        <v>39</v>
      </c>
      <c r="Y1253" s="9" t="s">
        <v>40</v>
      </c>
      <c r="Z1253" s="9" t="s">
        <v>41</v>
      </c>
      <c r="AA1253" s="9" t="s">
        <v>42</v>
      </c>
      <c r="AB1253" s="7" t="s">
        <v>42</v>
      </c>
    </row>
    <row r="1254" spans="1:28">
      <c r="A1254" s="8">
        <v>1247</v>
      </c>
      <c r="B1254" s="8" t="s">
        <v>1567</v>
      </c>
      <c r="C1254" s="8" t="s">
        <v>1533</v>
      </c>
      <c r="D1254" s="8" t="s">
        <v>652</v>
      </c>
      <c r="E1254" s="8" t="s">
        <v>33</v>
      </c>
      <c r="F1254" s="6" t="s">
        <v>50</v>
      </c>
      <c r="G1254" s="6" t="s">
        <v>35</v>
      </c>
      <c r="H1254" s="6" t="s">
        <v>36</v>
      </c>
      <c r="I1254" s="8">
        <v>134</v>
      </c>
      <c r="J1254" s="8" t="s">
        <v>177</v>
      </c>
      <c r="K1254" s="8" t="s">
        <v>53</v>
      </c>
      <c r="L1254" s="10">
        <v>1</v>
      </c>
      <c r="M1254" s="13">
        <v>7000.0</v>
      </c>
      <c r="N1254" s="13"/>
      <c r="O1254" s="15">
        <f>IF(M1254&gt;0, N1254/M1254, 0)</f>
        <v>0</v>
      </c>
      <c r="P1254" s="13">
        <f>M1254-N1254</f>
        <v>7000</v>
      </c>
      <c r="Q1254" s="13">
        <f>L1254*M1254</f>
        <v>7000</v>
      </c>
      <c r="R1254" s="13">
        <f>L1254*N1254</f>
        <v>0</v>
      </c>
      <c r="S1254" s="13">
        <f>L1254*P1254</f>
        <v>7000</v>
      </c>
      <c r="T1254" s="13"/>
      <c r="U1254" s="13">
        <f>L1254*T1254</f>
        <v>0</v>
      </c>
      <c r="V1254" s="13">
        <f>S1254-U1254</f>
        <v>7000</v>
      </c>
      <c r="W1254" s="15">
        <f>IF(S1254&gt;0, V1254/S1254, 0)</f>
        <v>1</v>
      </c>
      <c r="X1254" s="6" t="s">
        <v>39</v>
      </c>
      <c r="Y1254" s="8" t="s">
        <v>40</v>
      </c>
      <c r="Z1254" s="8" t="s">
        <v>41</v>
      </c>
      <c r="AA1254" s="8" t="s">
        <v>42</v>
      </c>
      <c r="AB1254" s="6" t="s">
        <v>42</v>
      </c>
    </row>
    <row r="1255" spans="1:28">
      <c r="A1255" s="9">
        <v>1248</v>
      </c>
      <c r="B1255" s="9" t="s">
        <v>1568</v>
      </c>
      <c r="C1255" s="9" t="s">
        <v>1533</v>
      </c>
      <c r="D1255" s="9" t="s">
        <v>652</v>
      </c>
      <c r="E1255" s="9" t="s">
        <v>33</v>
      </c>
      <c r="F1255" s="7" t="s">
        <v>50</v>
      </c>
      <c r="G1255" s="7" t="s">
        <v>51</v>
      </c>
      <c r="H1255" s="7" t="s">
        <v>51</v>
      </c>
      <c r="I1255" s="9">
        <v>134</v>
      </c>
      <c r="J1255" s="9" t="s">
        <v>175</v>
      </c>
      <c r="K1255" s="9" t="s">
        <v>53</v>
      </c>
      <c r="L1255" s="11">
        <v>1</v>
      </c>
      <c r="M1255" s="14">
        <v>8000.0</v>
      </c>
      <c r="N1255" s="14"/>
      <c r="O1255" s="16">
        <f>IF(M1255&gt;0, N1255/M1255, 0)</f>
        <v>0</v>
      </c>
      <c r="P1255" s="14">
        <f>M1255-N1255</f>
        <v>8000</v>
      </c>
      <c r="Q1255" s="14">
        <f>L1255*M1255</f>
        <v>8000</v>
      </c>
      <c r="R1255" s="14">
        <f>L1255*N1255</f>
        <v>0</v>
      </c>
      <c r="S1255" s="14">
        <f>L1255*P1255</f>
        <v>8000</v>
      </c>
      <c r="T1255" s="14"/>
      <c r="U1255" s="14">
        <f>L1255*T1255</f>
        <v>0</v>
      </c>
      <c r="V1255" s="14">
        <f>S1255-U1255</f>
        <v>8000</v>
      </c>
      <c r="W1255" s="16">
        <f>IF(S1255&gt;0, V1255/S1255, 0)</f>
        <v>1</v>
      </c>
      <c r="X1255" s="7" t="s">
        <v>39</v>
      </c>
      <c r="Y1255" s="9" t="s">
        <v>40</v>
      </c>
      <c r="Z1255" s="9" t="s">
        <v>41</v>
      </c>
      <c r="AA1255" s="9" t="s">
        <v>42</v>
      </c>
      <c r="AB1255" s="7" t="s">
        <v>42</v>
      </c>
    </row>
    <row r="1256" spans="1:28">
      <c r="A1256" s="8">
        <v>1249</v>
      </c>
      <c r="B1256" s="8" t="s">
        <v>1569</v>
      </c>
      <c r="C1256" s="8" t="s">
        <v>1533</v>
      </c>
      <c r="D1256" s="8" t="s">
        <v>652</v>
      </c>
      <c r="E1256" s="8" t="s">
        <v>33</v>
      </c>
      <c r="F1256" s="6" t="s">
        <v>50</v>
      </c>
      <c r="G1256" s="6" t="s">
        <v>35</v>
      </c>
      <c r="H1256" s="6" t="s">
        <v>36</v>
      </c>
      <c r="I1256" s="8">
        <v>140</v>
      </c>
      <c r="J1256" s="8" t="s">
        <v>223</v>
      </c>
      <c r="K1256" s="8" t="s">
        <v>53</v>
      </c>
      <c r="L1256" s="10">
        <v>2</v>
      </c>
      <c r="M1256" s="13">
        <v>7000.0</v>
      </c>
      <c r="N1256" s="13"/>
      <c r="O1256" s="15">
        <f>IF(M1256&gt;0, N1256/M1256, 0)</f>
        <v>0</v>
      </c>
      <c r="P1256" s="13">
        <f>M1256-N1256</f>
        <v>7000</v>
      </c>
      <c r="Q1256" s="13">
        <f>L1256*M1256</f>
        <v>14000</v>
      </c>
      <c r="R1256" s="13">
        <f>L1256*N1256</f>
        <v>0</v>
      </c>
      <c r="S1256" s="13">
        <f>L1256*P1256</f>
        <v>14000</v>
      </c>
      <c r="T1256" s="13"/>
      <c r="U1256" s="13">
        <f>L1256*T1256</f>
        <v>0</v>
      </c>
      <c r="V1256" s="13">
        <f>S1256-U1256</f>
        <v>14000</v>
      </c>
      <c r="W1256" s="15">
        <f>IF(S1256&gt;0, V1256/S1256, 0)</f>
        <v>1</v>
      </c>
      <c r="X1256" s="6" t="s">
        <v>39</v>
      </c>
      <c r="Y1256" s="8" t="s">
        <v>40</v>
      </c>
      <c r="Z1256" s="8" t="s">
        <v>41</v>
      </c>
      <c r="AA1256" s="8" t="s">
        <v>42</v>
      </c>
      <c r="AB1256" s="6" t="s">
        <v>42</v>
      </c>
    </row>
    <row r="1257" spans="1:28">
      <c r="A1257" s="9">
        <v>1250</v>
      </c>
      <c r="B1257" s="9" t="s">
        <v>1570</v>
      </c>
      <c r="C1257" s="9" t="s">
        <v>1533</v>
      </c>
      <c r="D1257" s="9" t="s">
        <v>652</v>
      </c>
      <c r="E1257" s="9" t="s">
        <v>33</v>
      </c>
      <c r="F1257" s="7" t="s">
        <v>50</v>
      </c>
      <c r="G1257" s="7" t="s">
        <v>45</v>
      </c>
      <c r="H1257" s="7" t="s">
        <v>46</v>
      </c>
      <c r="I1257" s="9">
        <v>140</v>
      </c>
      <c r="J1257" s="9" t="s">
        <v>414</v>
      </c>
      <c r="K1257" s="9" t="s">
        <v>38</v>
      </c>
      <c r="L1257" s="11">
        <v>1</v>
      </c>
      <c r="M1257" s="14">
        <v>18000.0</v>
      </c>
      <c r="N1257" s="14"/>
      <c r="O1257" s="16">
        <f>IF(M1257&gt;0, N1257/M1257, 0)</f>
        <v>0</v>
      </c>
      <c r="P1257" s="14">
        <f>M1257-N1257</f>
        <v>18000</v>
      </c>
      <c r="Q1257" s="14">
        <f>L1257*M1257</f>
        <v>18000</v>
      </c>
      <c r="R1257" s="14">
        <f>L1257*N1257</f>
        <v>0</v>
      </c>
      <c r="S1257" s="14">
        <f>L1257*P1257</f>
        <v>18000</v>
      </c>
      <c r="T1257" s="14"/>
      <c r="U1257" s="14">
        <f>L1257*T1257</f>
        <v>0</v>
      </c>
      <c r="V1257" s="14">
        <f>S1257-U1257</f>
        <v>18000</v>
      </c>
      <c r="W1257" s="16">
        <f>IF(S1257&gt;0, V1257/S1257, 0)</f>
        <v>1</v>
      </c>
      <c r="X1257" s="7" t="s">
        <v>39</v>
      </c>
      <c r="Y1257" s="9" t="s">
        <v>40</v>
      </c>
      <c r="Z1257" s="9" t="s">
        <v>41</v>
      </c>
      <c r="AA1257" s="9" t="s">
        <v>42</v>
      </c>
      <c r="AB1257" s="7" t="s">
        <v>42</v>
      </c>
    </row>
    <row r="1258" spans="1:28">
      <c r="A1258" s="8">
        <v>1251</v>
      </c>
      <c r="B1258" s="8" t="s">
        <v>1571</v>
      </c>
      <c r="C1258" s="8" t="s">
        <v>1533</v>
      </c>
      <c r="D1258" s="8" t="s">
        <v>652</v>
      </c>
      <c r="E1258" s="8" t="s">
        <v>33</v>
      </c>
      <c r="F1258" s="6" t="s">
        <v>50</v>
      </c>
      <c r="G1258" s="6" t="s">
        <v>45</v>
      </c>
      <c r="H1258" s="6" t="s">
        <v>46</v>
      </c>
      <c r="I1258" s="8">
        <v>122</v>
      </c>
      <c r="J1258" s="8" t="s">
        <v>476</v>
      </c>
      <c r="K1258" s="8" t="s">
        <v>38</v>
      </c>
      <c r="L1258" s="10">
        <v>1</v>
      </c>
      <c r="M1258" s="13">
        <v>18000.0</v>
      </c>
      <c r="N1258" s="13"/>
      <c r="O1258" s="15">
        <f>IF(M1258&gt;0, N1258/M1258, 0)</f>
        <v>0</v>
      </c>
      <c r="P1258" s="13">
        <f>M1258-N1258</f>
        <v>18000</v>
      </c>
      <c r="Q1258" s="13">
        <f>L1258*M1258</f>
        <v>18000</v>
      </c>
      <c r="R1258" s="13">
        <f>L1258*N1258</f>
        <v>0</v>
      </c>
      <c r="S1258" s="13">
        <f>L1258*P1258</f>
        <v>18000</v>
      </c>
      <c r="T1258" s="13"/>
      <c r="U1258" s="13">
        <f>L1258*T1258</f>
        <v>0</v>
      </c>
      <c r="V1258" s="13">
        <f>S1258-U1258</f>
        <v>18000</v>
      </c>
      <c r="W1258" s="15">
        <f>IF(S1258&gt;0, V1258/S1258, 0)</f>
        <v>1</v>
      </c>
      <c r="X1258" s="6" t="s">
        <v>39</v>
      </c>
      <c r="Y1258" s="8" t="s">
        <v>40</v>
      </c>
      <c r="Z1258" s="8" t="s">
        <v>41</v>
      </c>
      <c r="AA1258" s="8" t="s">
        <v>42</v>
      </c>
      <c r="AB1258" s="6" t="s">
        <v>42</v>
      </c>
    </row>
    <row r="1259" spans="1:28">
      <c r="A1259" s="9">
        <v>1252</v>
      </c>
      <c r="B1259" s="9" t="s">
        <v>1572</v>
      </c>
      <c r="C1259" s="9" t="s">
        <v>1533</v>
      </c>
      <c r="D1259" s="9" t="s">
        <v>652</v>
      </c>
      <c r="E1259" s="9" t="s">
        <v>33</v>
      </c>
      <c r="F1259" s="7" t="s">
        <v>50</v>
      </c>
      <c r="G1259" s="7" t="s">
        <v>45</v>
      </c>
      <c r="H1259" s="7" t="s">
        <v>46</v>
      </c>
      <c r="I1259" s="9">
        <v>146</v>
      </c>
      <c r="J1259" s="9" t="s">
        <v>140</v>
      </c>
      <c r="K1259" s="9" t="s">
        <v>38</v>
      </c>
      <c r="L1259" s="11">
        <v>1</v>
      </c>
      <c r="M1259" s="14">
        <v>18000.0</v>
      </c>
      <c r="N1259" s="14"/>
      <c r="O1259" s="16">
        <f>IF(M1259&gt;0, N1259/M1259, 0)</f>
        <v>0</v>
      </c>
      <c r="P1259" s="14">
        <f>M1259-N1259</f>
        <v>18000</v>
      </c>
      <c r="Q1259" s="14">
        <f>L1259*M1259</f>
        <v>18000</v>
      </c>
      <c r="R1259" s="14">
        <f>L1259*N1259</f>
        <v>0</v>
      </c>
      <c r="S1259" s="14">
        <f>L1259*P1259</f>
        <v>18000</v>
      </c>
      <c r="T1259" s="14"/>
      <c r="U1259" s="14">
        <f>L1259*T1259</f>
        <v>0</v>
      </c>
      <c r="V1259" s="14">
        <f>S1259-U1259</f>
        <v>18000</v>
      </c>
      <c r="W1259" s="16">
        <f>IF(S1259&gt;0, V1259/S1259, 0)</f>
        <v>1</v>
      </c>
      <c r="X1259" s="7" t="s">
        <v>39</v>
      </c>
      <c r="Y1259" s="9" t="s">
        <v>40</v>
      </c>
      <c r="Z1259" s="9" t="s">
        <v>41</v>
      </c>
      <c r="AA1259" s="9" t="s">
        <v>42</v>
      </c>
      <c r="AB1259" s="7" t="s">
        <v>42</v>
      </c>
    </row>
    <row r="1260" spans="1:28">
      <c r="A1260" s="8">
        <v>1253</v>
      </c>
      <c r="B1260" s="8" t="s">
        <v>1573</v>
      </c>
      <c r="C1260" s="8" t="s">
        <v>1533</v>
      </c>
      <c r="D1260" s="8" t="s">
        <v>652</v>
      </c>
      <c r="E1260" s="8" t="s">
        <v>33</v>
      </c>
      <c r="F1260" s="6" t="s">
        <v>50</v>
      </c>
      <c r="G1260" s="6" t="s">
        <v>51</v>
      </c>
      <c r="H1260" s="6" t="s">
        <v>51</v>
      </c>
      <c r="I1260" s="8">
        <v>146</v>
      </c>
      <c r="J1260" s="8" t="s">
        <v>254</v>
      </c>
      <c r="K1260" s="8" t="s">
        <v>53</v>
      </c>
      <c r="L1260" s="10">
        <v>1</v>
      </c>
      <c r="M1260" s="13">
        <v>8000.0</v>
      </c>
      <c r="N1260" s="13"/>
      <c r="O1260" s="15">
        <f>IF(M1260&gt;0, N1260/M1260, 0)</f>
        <v>0</v>
      </c>
      <c r="P1260" s="13">
        <f>M1260-N1260</f>
        <v>8000</v>
      </c>
      <c r="Q1260" s="13">
        <f>L1260*M1260</f>
        <v>8000</v>
      </c>
      <c r="R1260" s="13">
        <f>L1260*N1260</f>
        <v>0</v>
      </c>
      <c r="S1260" s="13">
        <f>L1260*P1260</f>
        <v>8000</v>
      </c>
      <c r="T1260" s="13"/>
      <c r="U1260" s="13">
        <f>L1260*T1260</f>
        <v>0</v>
      </c>
      <c r="V1260" s="13">
        <f>S1260-U1260</f>
        <v>8000</v>
      </c>
      <c r="W1260" s="15">
        <f>IF(S1260&gt;0, V1260/S1260, 0)</f>
        <v>1</v>
      </c>
      <c r="X1260" s="6" t="s">
        <v>39</v>
      </c>
      <c r="Y1260" s="8" t="s">
        <v>40</v>
      </c>
      <c r="Z1260" s="8" t="s">
        <v>41</v>
      </c>
      <c r="AA1260" s="8" t="s">
        <v>42</v>
      </c>
      <c r="AB1260" s="6" t="s">
        <v>42</v>
      </c>
    </row>
    <row r="1261" spans="1:28">
      <c r="A1261" s="9">
        <v>1254</v>
      </c>
      <c r="B1261" s="9" t="s">
        <v>1574</v>
      </c>
      <c r="C1261" s="9" t="s">
        <v>1533</v>
      </c>
      <c r="D1261" s="9" t="s">
        <v>652</v>
      </c>
      <c r="E1261" s="9" t="s">
        <v>33</v>
      </c>
      <c r="F1261" s="7" t="s">
        <v>50</v>
      </c>
      <c r="G1261" s="7" t="s">
        <v>35</v>
      </c>
      <c r="H1261" s="7" t="s">
        <v>36</v>
      </c>
      <c r="I1261" s="9">
        <v>146</v>
      </c>
      <c r="J1261" s="9" t="s">
        <v>257</v>
      </c>
      <c r="K1261" s="9" t="s">
        <v>53</v>
      </c>
      <c r="L1261" s="11">
        <v>2</v>
      </c>
      <c r="M1261" s="14">
        <v>7000.0</v>
      </c>
      <c r="N1261" s="14"/>
      <c r="O1261" s="16">
        <f>IF(M1261&gt;0, N1261/M1261, 0)</f>
        <v>0</v>
      </c>
      <c r="P1261" s="14">
        <f>M1261-N1261</f>
        <v>7000</v>
      </c>
      <c r="Q1261" s="14">
        <f>L1261*M1261</f>
        <v>14000</v>
      </c>
      <c r="R1261" s="14">
        <f>L1261*N1261</f>
        <v>0</v>
      </c>
      <c r="S1261" s="14">
        <f>L1261*P1261</f>
        <v>14000</v>
      </c>
      <c r="T1261" s="14"/>
      <c r="U1261" s="14">
        <f>L1261*T1261</f>
        <v>0</v>
      </c>
      <c r="V1261" s="14">
        <f>S1261-U1261</f>
        <v>14000</v>
      </c>
      <c r="W1261" s="16">
        <f>IF(S1261&gt;0, V1261/S1261, 0)</f>
        <v>1</v>
      </c>
      <c r="X1261" s="7" t="s">
        <v>39</v>
      </c>
      <c r="Y1261" s="9" t="s">
        <v>40</v>
      </c>
      <c r="Z1261" s="9" t="s">
        <v>41</v>
      </c>
      <c r="AA1261" s="9" t="s">
        <v>42</v>
      </c>
      <c r="AB1261" s="7" t="s">
        <v>42</v>
      </c>
    </row>
    <row r="1262" spans="1:28">
      <c r="A1262" s="8">
        <v>1255</v>
      </c>
      <c r="B1262" s="8" t="s">
        <v>1575</v>
      </c>
      <c r="C1262" s="8" t="s">
        <v>1576</v>
      </c>
      <c r="D1262" s="8" t="s">
        <v>652</v>
      </c>
      <c r="E1262" s="8" t="s">
        <v>33</v>
      </c>
      <c r="F1262" s="6" t="s">
        <v>50</v>
      </c>
      <c r="G1262" s="6" t="s">
        <v>56</v>
      </c>
      <c r="H1262" s="6" t="s">
        <v>56</v>
      </c>
      <c r="I1262" s="8">
        <v>122</v>
      </c>
      <c r="J1262" s="8" t="s">
        <v>113</v>
      </c>
      <c r="K1262" s="8" t="s">
        <v>38</v>
      </c>
      <c r="L1262" s="10">
        <v>2</v>
      </c>
      <c r="M1262" s="13">
        <v>8000.0</v>
      </c>
      <c r="N1262" s="13"/>
      <c r="O1262" s="15">
        <f>IF(M1262&gt;0, N1262/M1262, 0)</f>
        <v>0</v>
      </c>
      <c r="P1262" s="13">
        <f>M1262-N1262</f>
        <v>8000</v>
      </c>
      <c r="Q1262" s="13">
        <f>L1262*M1262</f>
        <v>16000</v>
      </c>
      <c r="R1262" s="13">
        <f>L1262*N1262</f>
        <v>0</v>
      </c>
      <c r="S1262" s="13">
        <f>L1262*P1262</f>
        <v>16000</v>
      </c>
      <c r="T1262" s="13"/>
      <c r="U1262" s="13">
        <f>L1262*T1262</f>
        <v>0</v>
      </c>
      <c r="V1262" s="13">
        <f>S1262-U1262</f>
        <v>16000</v>
      </c>
      <c r="W1262" s="15">
        <f>IF(S1262&gt;0, V1262/S1262, 0)</f>
        <v>1</v>
      </c>
      <c r="X1262" s="6" t="s">
        <v>39</v>
      </c>
      <c r="Y1262" s="8" t="s">
        <v>40</v>
      </c>
      <c r="Z1262" s="8" t="s">
        <v>41</v>
      </c>
      <c r="AA1262" s="8" t="s">
        <v>42</v>
      </c>
      <c r="AB1262" s="6" t="s">
        <v>42</v>
      </c>
    </row>
    <row r="1263" spans="1:28">
      <c r="A1263" s="9">
        <v>1256</v>
      </c>
      <c r="B1263" s="9" t="s">
        <v>1577</v>
      </c>
      <c r="C1263" s="9" t="s">
        <v>1576</v>
      </c>
      <c r="D1263" s="9" t="s">
        <v>652</v>
      </c>
      <c r="E1263" s="9" t="s">
        <v>68</v>
      </c>
      <c r="F1263" s="7" t="s">
        <v>50</v>
      </c>
      <c r="G1263" s="7" t="s">
        <v>51</v>
      </c>
      <c r="H1263" s="7" t="s">
        <v>51</v>
      </c>
      <c r="I1263" s="9">
        <v>116</v>
      </c>
      <c r="J1263" s="9" t="s">
        <v>464</v>
      </c>
      <c r="K1263" s="9" t="s">
        <v>53</v>
      </c>
      <c r="L1263" s="11">
        <v>1</v>
      </c>
      <c r="M1263" s="14">
        <v>9000.0</v>
      </c>
      <c r="N1263" s="14"/>
      <c r="O1263" s="16">
        <f>IF(M1263&gt;0, N1263/M1263, 0)</f>
        <v>0</v>
      </c>
      <c r="P1263" s="14">
        <f>M1263-N1263</f>
        <v>9000</v>
      </c>
      <c r="Q1263" s="14">
        <f>L1263*M1263</f>
        <v>9000</v>
      </c>
      <c r="R1263" s="14">
        <f>L1263*N1263</f>
        <v>0</v>
      </c>
      <c r="S1263" s="14">
        <f>L1263*P1263</f>
        <v>9000</v>
      </c>
      <c r="T1263" s="14"/>
      <c r="U1263" s="14">
        <f>L1263*T1263</f>
        <v>0</v>
      </c>
      <c r="V1263" s="14">
        <f>S1263-U1263</f>
        <v>9000</v>
      </c>
      <c r="W1263" s="16">
        <f>IF(S1263&gt;0, V1263/S1263, 0)</f>
        <v>1</v>
      </c>
      <c r="X1263" s="7" t="s">
        <v>39</v>
      </c>
      <c r="Y1263" s="9" t="s">
        <v>40</v>
      </c>
      <c r="Z1263" s="9" t="s">
        <v>71</v>
      </c>
      <c r="AA1263" s="9" t="s">
        <v>42</v>
      </c>
      <c r="AB1263" s="7" t="s">
        <v>42</v>
      </c>
    </row>
    <row r="1264" spans="1:28">
      <c r="A1264" s="8">
        <v>1257</v>
      </c>
      <c r="B1264" s="8" t="s">
        <v>1578</v>
      </c>
      <c r="C1264" s="8" t="s">
        <v>1576</v>
      </c>
      <c r="D1264" s="8" t="s">
        <v>652</v>
      </c>
      <c r="E1264" s="8" t="s">
        <v>33</v>
      </c>
      <c r="F1264" s="6" t="s">
        <v>50</v>
      </c>
      <c r="G1264" s="6" t="s">
        <v>45</v>
      </c>
      <c r="H1264" s="6" t="s">
        <v>46</v>
      </c>
      <c r="I1264" s="8">
        <v>140</v>
      </c>
      <c r="J1264" s="8" t="s">
        <v>414</v>
      </c>
      <c r="K1264" s="8" t="s">
        <v>38</v>
      </c>
      <c r="L1264" s="10">
        <v>1</v>
      </c>
      <c r="M1264" s="13">
        <v>18000.0</v>
      </c>
      <c r="N1264" s="13"/>
      <c r="O1264" s="15">
        <f>IF(M1264&gt;0, N1264/M1264, 0)</f>
        <v>0</v>
      </c>
      <c r="P1264" s="13">
        <f>M1264-N1264</f>
        <v>18000</v>
      </c>
      <c r="Q1264" s="13">
        <f>L1264*M1264</f>
        <v>18000</v>
      </c>
      <c r="R1264" s="13">
        <f>L1264*N1264</f>
        <v>0</v>
      </c>
      <c r="S1264" s="13">
        <f>L1264*P1264</f>
        <v>18000</v>
      </c>
      <c r="T1264" s="13"/>
      <c r="U1264" s="13">
        <f>L1264*T1264</f>
        <v>0</v>
      </c>
      <c r="V1264" s="13">
        <f>S1264-U1264</f>
        <v>18000</v>
      </c>
      <c r="W1264" s="15">
        <f>IF(S1264&gt;0, V1264/S1264, 0)</f>
        <v>1</v>
      </c>
      <c r="X1264" s="6" t="s">
        <v>39</v>
      </c>
      <c r="Y1264" s="8" t="s">
        <v>40</v>
      </c>
      <c r="Z1264" s="8" t="s">
        <v>41</v>
      </c>
      <c r="AA1264" s="8" t="s">
        <v>42</v>
      </c>
      <c r="AB1264" s="6" t="s">
        <v>42</v>
      </c>
    </row>
    <row r="1265" spans="1:28">
      <c r="A1265" s="9">
        <v>1258</v>
      </c>
      <c r="B1265" s="9" t="s">
        <v>1579</v>
      </c>
      <c r="C1265" s="9" t="s">
        <v>1576</v>
      </c>
      <c r="D1265" s="9" t="s">
        <v>652</v>
      </c>
      <c r="E1265" s="9" t="s">
        <v>33</v>
      </c>
      <c r="F1265" s="7" t="s">
        <v>50</v>
      </c>
      <c r="G1265" s="7" t="s">
        <v>51</v>
      </c>
      <c r="H1265" s="7" t="s">
        <v>51</v>
      </c>
      <c r="I1265" s="9">
        <v>134</v>
      </c>
      <c r="J1265" s="9" t="s">
        <v>175</v>
      </c>
      <c r="K1265" s="9" t="s">
        <v>53</v>
      </c>
      <c r="L1265" s="11">
        <v>2</v>
      </c>
      <c r="M1265" s="14">
        <v>8000.0</v>
      </c>
      <c r="N1265" s="14"/>
      <c r="O1265" s="16">
        <f>IF(M1265&gt;0, N1265/M1265, 0)</f>
        <v>0</v>
      </c>
      <c r="P1265" s="14">
        <f>M1265-N1265</f>
        <v>8000</v>
      </c>
      <c r="Q1265" s="14">
        <f>L1265*M1265</f>
        <v>16000</v>
      </c>
      <c r="R1265" s="14">
        <f>L1265*N1265</f>
        <v>0</v>
      </c>
      <c r="S1265" s="14">
        <f>L1265*P1265</f>
        <v>16000</v>
      </c>
      <c r="T1265" s="14"/>
      <c r="U1265" s="14">
        <f>L1265*T1265</f>
        <v>0</v>
      </c>
      <c r="V1265" s="14">
        <f>S1265-U1265</f>
        <v>16000</v>
      </c>
      <c r="W1265" s="16">
        <f>IF(S1265&gt;0, V1265/S1265, 0)</f>
        <v>1</v>
      </c>
      <c r="X1265" s="7" t="s">
        <v>39</v>
      </c>
      <c r="Y1265" s="9" t="s">
        <v>40</v>
      </c>
      <c r="Z1265" s="9" t="s">
        <v>41</v>
      </c>
      <c r="AA1265" s="9" t="s">
        <v>42</v>
      </c>
      <c r="AB1265" s="7" t="s">
        <v>42</v>
      </c>
    </row>
    <row r="1266" spans="1:28">
      <c r="A1266" s="8">
        <v>1259</v>
      </c>
      <c r="B1266" s="8" t="s">
        <v>1580</v>
      </c>
      <c r="C1266" s="8" t="s">
        <v>1576</v>
      </c>
      <c r="D1266" s="8" t="s">
        <v>652</v>
      </c>
      <c r="E1266" s="8" t="s">
        <v>33</v>
      </c>
      <c r="F1266" s="6" t="s">
        <v>50</v>
      </c>
      <c r="G1266" s="6" t="s">
        <v>63</v>
      </c>
      <c r="H1266" s="6" t="s">
        <v>148</v>
      </c>
      <c r="I1266" s="8">
        <v>122</v>
      </c>
      <c r="J1266" s="8" t="s">
        <v>241</v>
      </c>
      <c r="K1266" s="8" t="s">
        <v>38</v>
      </c>
      <c r="L1266" s="10">
        <v>2</v>
      </c>
      <c r="M1266" s="13">
        <v>9000.0</v>
      </c>
      <c r="N1266" s="13"/>
      <c r="O1266" s="15">
        <f>IF(M1266&gt;0, N1266/M1266, 0)</f>
        <v>0</v>
      </c>
      <c r="P1266" s="13">
        <f>M1266-N1266</f>
        <v>9000</v>
      </c>
      <c r="Q1266" s="13">
        <f>L1266*M1266</f>
        <v>18000</v>
      </c>
      <c r="R1266" s="13">
        <f>L1266*N1266</f>
        <v>0</v>
      </c>
      <c r="S1266" s="13">
        <f>L1266*P1266</f>
        <v>18000</v>
      </c>
      <c r="T1266" s="13"/>
      <c r="U1266" s="13">
        <f>L1266*T1266</f>
        <v>0</v>
      </c>
      <c r="V1266" s="13">
        <f>S1266-U1266</f>
        <v>18000</v>
      </c>
      <c r="W1266" s="15">
        <f>IF(S1266&gt;0, V1266/S1266, 0)</f>
        <v>1</v>
      </c>
      <c r="X1266" s="6" t="s">
        <v>39</v>
      </c>
      <c r="Y1266" s="8" t="s">
        <v>40</v>
      </c>
      <c r="Z1266" s="8" t="s">
        <v>41</v>
      </c>
      <c r="AA1266" s="8" t="s">
        <v>42</v>
      </c>
      <c r="AB1266" s="6" t="s">
        <v>42</v>
      </c>
    </row>
    <row r="1267" spans="1:28">
      <c r="A1267" s="9">
        <v>1260</v>
      </c>
      <c r="B1267" s="9" t="s">
        <v>1581</v>
      </c>
      <c r="C1267" s="9" t="s">
        <v>1576</v>
      </c>
      <c r="D1267" s="9" t="s">
        <v>652</v>
      </c>
      <c r="E1267" s="9" t="s">
        <v>33</v>
      </c>
      <c r="F1267" s="7" t="s">
        <v>50</v>
      </c>
      <c r="G1267" s="7" t="s">
        <v>35</v>
      </c>
      <c r="H1267" s="7" t="s">
        <v>73</v>
      </c>
      <c r="I1267" s="9">
        <v>128</v>
      </c>
      <c r="J1267" s="9" t="s">
        <v>185</v>
      </c>
      <c r="K1267" s="9" t="s">
        <v>53</v>
      </c>
      <c r="L1267" s="11">
        <v>3</v>
      </c>
      <c r="M1267" s="14">
        <v>8000.0</v>
      </c>
      <c r="N1267" s="14"/>
      <c r="O1267" s="16">
        <f>IF(M1267&gt;0, N1267/M1267, 0)</f>
        <v>0</v>
      </c>
      <c r="P1267" s="14">
        <f>M1267-N1267</f>
        <v>8000</v>
      </c>
      <c r="Q1267" s="14">
        <f>L1267*M1267</f>
        <v>24000</v>
      </c>
      <c r="R1267" s="14">
        <f>L1267*N1267</f>
        <v>0</v>
      </c>
      <c r="S1267" s="14">
        <f>L1267*P1267</f>
        <v>24000</v>
      </c>
      <c r="T1267" s="14"/>
      <c r="U1267" s="14">
        <f>L1267*T1267</f>
        <v>0</v>
      </c>
      <c r="V1267" s="14">
        <f>S1267-U1267</f>
        <v>24000</v>
      </c>
      <c r="W1267" s="16">
        <f>IF(S1267&gt;0, V1267/S1267, 0)</f>
        <v>1</v>
      </c>
      <c r="X1267" s="7" t="s">
        <v>39</v>
      </c>
      <c r="Y1267" s="9" t="s">
        <v>40</v>
      </c>
      <c r="Z1267" s="9" t="s">
        <v>41</v>
      </c>
      <c r="AA1267" s="9" t="s">
        <v>42</v>
      </c>
      <c r="AB1267" s="7" t="s">
        <v>42</v>
      </c>
    </row>
    <row r="1268" spans="1:28">
      <c r="A1268" s="8">
        <v>1261</v>
      </c>
      <c r="B1268" s="8" t="s">
        <v>1582</v>
      </c>
      <c r="C1268" s="8" t="s">
        <v>1576</v>
      </c>
      <c r="D1268" s="8" t="s">
        <v>652</v>
      </c>
      <c r="E1268" s="8" t="s">
        <v>33</v>
      </c>
      <c r="F1268" s="6" t="s">
        <v>50</v>
      </c>
      <c r="G1268" s="6" t="s">
        <v>35</v>
      </c>
      <c r="H1268" s="6" t="s">
        <v>36</v>
      </c>
      <c r="I1268" s="8">
        <v>134</v>
      </c>
      <c r="J1268" s="8" t="s">
        <v>177</v>
      </c>
      <c r="K1268" s="8" t="s">
        <v>53</v>
      </c>
      <c r="L1268" s="10">
        <v>4</v>
      </c>
      <c r="M1268" s="13">
        <v>7000.0</v>
      </c>
      <c r="N1268" s="13"/>
      <c r="O1268" s="15">
        <f>IF(M1268&gt;0, N1268/M1268, 0)</f>
        <v>0</v>
      </c>
      <c r="P1268" s="13">
        <f>M1268-N1268</f>
        <v>7000</v>
      </c>
      <c r="Q1268" s="13">
        <f>L1268*M1268</f>
        <v>28000</v>
      </c>
      <c r="R1268" s="13">
        <f>L1268*N1268</f>
        <v>0</v>
      </c>
      <c r="S1268" s="13">
        <f>L1268*P1268</f>
        <v>28000</v>
      </c>
      <c r="T1268" s="13"/>
      <c r="U1268" s="13">
        <f>L1268*T1268</f>
        <v>0</v>
      </c>
      <c r="V1268" s="13">
        <f>S1268-U1268</f>
        <v>28000</v>
      </c>
      <c r="W1268" s="15">
        <f>IF(S1268&gt;0, V1268/S1268, 0)</f>
        <v>1</v>
      </c>
      <c r="X1268" s="6" t="s">
        <v>39</v>
      </c>
      <c r="Y1268" s="8" t="s">
        <v>40</v>
      </c>
      <c r="Z1268" s="8" t="s">
        <v>41</v>
      </c>
      <c r="AA1268" s="8" t="s">
        <v>42</v>
      </c>
      <c r="AB1268" s="6" t="s">
        <v>42</v>
      </c>
    </row>
    <row r="1269" spans="1:28">
      <c r="A1269" s="9">
        <v>1262</v>
      </c>
      <c r="B1269" s="9" t="s">
        <v>1583</v>
      </c>
      <c r="C1269" s="9" t="s">
        <v>1576</v>
      </c>
      <c r="D1269" s="9" t="s">
        <v>652</v>
      </c>
      <c r="E1269" s="9" t="s">
        <v>33</v>
      </c>
      <c r="F1269" s="7" t="s">
        <v>50</v>
      </c>
      <c r="G1269" s="7" t="s">
        <v>45</v>
      </c>
      <c r="H1269" s="7" t="s">
        <v>46</v>
      </c>
      <c r="I1269" s="9">
        <v>116</v>
      </c>
      <c r="J1269" s="9" t="s">
        <v>594</v>
      </c>
      <c r="K1269" s="9" t="s">
        <v>38</v>
      </c>
      <c r="L1269" s="11">
        <v>1</v>
      </c>
      <c r="M1269" s="14">
        <v>18000.0</v>
      </c>
      <c r="N1269" s="14"/>
      <c r="O1269" s="16">
        <f>IF(M1269&gt;0, N1269/M1269, 0)</f>
        <v>0</v>
      </c>
      <c r="P1269" s="14">
        <f>M1269-N1269</f>
        <v>18000</v>
      </c>
      <c r="Q1269" s="14">
        <f>L1269*M1269</f>
        <v>18000</v>
      </c>
      <c r="R1269" s="14">
        <f>L1269*N1269</f>
        <v>0</v>
      </c>
      <c r="S1269" s="14">
        <f>L1269*P1269</f>
        <v>18000</v>
      </c>
      <c r="T1269" s="14"/>
      <c r="U1269" s="14">
        <f>L1269*T1269</f>
        <v>0</v>
      </c>
      <c r="V1269" s="14">
        <f>S1269-U1269</f>
        <v>18000</v>
      </c>
      <c r="W1269" s="16">
        <f>IF(S1269&gt;0, V1269/S1269, 0)</f>
        <v>1</v>
      </c>
      <c r="X1269" s="7" t="s">
        <v>39</v>
      </c>
      <c r="Y1269" s="9" t="s">
        <v>40</v>
      </c>
      <c r="Z1269" s="9" t="s">
        <v>41</v>
      </c>
      <c r="AA1269" s="9" t="s">
        <v>42</v>
      </c>
      <c r="AB1269" s="7" t="s">
        <v>42</v>
      </c>
    </row>
    <row r="1270" spans="1:28">
      <c r="A1270" s="8">
        <v>1263</v>
      </c>
      <c r="B1270" s="8" t="s">
        <v>1584</v>
      </c>
      <c r="C1270" s="8" t="s">
        <v>1576</v>
      </c>
      <c r="D1270" s="8" t="s">
        <v>652</v>
      </c>
      <c r="E1270" s="8" t="s">
        <v>33</v>
      </c>
      <c r="F1270" s="6" t="s">
        <v>50</v>
      </c>
      <c r="G1270" s="6" t="s">
        <v>51</v>
      </c>
      <c r="H1270" s="6" t="s">
        <v>51</v>
      </c>
      <c r="I1270" s="8">
        <v>116</v>
      </c>
      <c r="J1270" s="8" t="s">
        <v>464</v>
      </c>
      <c r="K1270" s="8" t="s">
        <v>53</v>
      </c>
      <c r="L1270" s="10">
        <v>1</v>
      </c>
      <c r="M1270" s="13">
        <v>8000.0</v>
      </c>
      <c r="N1270" s="13"/>
      <c r="O1270" s="15">
        <f>IF(M1270&gt;0, N1270/M1270, 0)</f>
        <v>0</v>
      </c>
      <c r="P1270" s="13">
        <f>M1270-N1270</f>
        <v>8000</v>
      </c>
      <c r="Q1270" s="13">
        <f>L1270*M1270</f>
        <v>8000</v>
      </c>
      <c r="R1270" s="13">
        <f>L1270*N1270</f>
        <v>0</v>
      </c>
      <c r="S1270" s="13">
        <f>L1270*P1270</f>
        <v>8000</v>
      </c>
      <c r="T1270" s="13"/>
      <c r="U1270" s="13">
        <f>L1270*T1270</f>
        <v>0</v>
      </c>
      <c r="V1270" s="13">
        <f>S1270-U1270</f>
        <v>8000</v>
      </c>
      <c r="W1270" s="15">
        <f>IF(S1270&gt;0, V1270/S1270, 0)</f>
        <v>1</v>
      </c>
      <c r="X1270" s="6" t="s">
        <v>39</v>
      </c>
      <c r="Y1270" s="8" t="s">
        <v>40</v>
      </c>
      <c r="Z1270" s="8" t="s">
        <v>41</v>
      </c>
      <c r="AA1270" s="8" t="s">
        <v>42</v>
      </c>
      <c r="AB1270" s="6" t="s">
        <v>42</v>
      </c>
    </row>
    <row r="1271" spans="1:28">
      <c r="A1271" s="9">
        <v>1264</v>
      </c>
      <c r="B1271" s="9" t="s">
        <v>1585</v>
      </c>
      <c r="C1271" s="9" t="s">
        <v>1576</v>
      </c>
      <c r="D1271" s="9" t="s">
        <v>652</v>
      </c>
      <c r="E1271" s="9" t="s">
        <v>33</v>
      </c>
      <c r="F1271" s="7" t="s">
        <v>50</v>
      </c>
      <c r="G1271" s="7" t="s">
        <v>56</v>
      </c>
      <c r="H1271" s="7" t="s">
        <v>56</v>
      </c>
      <c r="I1271" s="9">
        <v>110</v>
      </c>
      <c r="J1271" s="9" t="s">
        <v>957</v>
      </c>
      <c r="K1271" s="9" t="s">
        <v>38</v>
      </c>
      <c r="L1271" s="11">
        <v>1</v>
      </c>
      <c r="M1271" s="14">
        <v>7000.0</v>
      </c>
      <c r="N1271" s="14"/>
      <c r="O1271" s="16">
        <f>IF(M1271&gt;0, N1271/M1271, 0)</f>
        <v>0</v>
      </c>
      <c r="P1271" s="14">
        <f>M1271-N1271</f>
        <v>7000</v>
      </c>
      <c r="Q1271" s="14">
        <f>L1271*M1271</f>
        <v>7000</v>
      </c>
      <c r="R1271" s="14">
        <f>L1271*N1271</f>
        <v>0</v>
      </c>
      <c r="S1271" s="14">
        <f>L1271*P1271</f>
        <v>7000</v>
      </c>
      <c r="T1271" s="14"/>
      <c r="U1271" s="14">
        <f>L1271*T1271</f>
        <v>0</v>
      </c>
      <c r="V1271" s="14">
        <f>S1271-U1271</f>
        <v>7000</v>
      </c>
      <c r="W1271" s="16">
        <f>IF(S1271&gt;0, V1271/S1271, 0)</f>
        <v>1</v>
      </c>
      <c r="X1271" s="7" t="s">
        <v>39</v>
      </c>
      <c r="Y1271" s="9" t="s">
        <v>40</v>
      </c>
      <c r="Z1271" s="9" t="s">
        <v>41</v>
      </c>
      <c r="AA1271" s="9" t="s">
        <v>42</v>
      </c>
      <c r="AB1271" s="7" t="s">
        <v>42</v>
      </c>
    </row>
    <row r="1272" spans="1:28">
      <c r="A1272" s="8">
        <v>1265</v>
      </c>
      <c r="B1272" s="8" t="s">
        <v>1586</v>
      </c>
      <c r="C1272" s="8" t="s">
        <v>1576</v>
      </c>
      <c r="D1272" s="8" t="s">
        <v>652</v>
      </c>
      <c r="E1272" s="8" t="s">
        <v>33</v>
      </c>
      <c r="F1272" s="6" t="s">
        <v>50</v>
      </c>
      <c r="G1272" s="6" t="s">
        <v>69</v>
      </c>
      <c r="H1272" s="6" t="s">
        <v>69</v>
      </c>
      <c r="I1272" s="8">
        <v>116</v>
      </c>
      <c r="J1272" s="8" t="s">
        <v>87</v>
      </c>
      <c r="K1272" s="8" t="s">
        <v>38</v>
      </c>
      <c r="L1272" s="10">
        <v>1</v>
      </c>
      <c r="M1272" s="13">
        <v>16000.0</v>
      </c>
      <c r="N1272" s="13"/>
      <c r="O1272" s="15">
        <f>IF(M1272&gt;0, N1272/M1272, 0)</f>
        <v>0</v>
      </c>
      <c r="P1272" s="13">
        <f>M1272-N1272</f>
        <v>16000</v>
      </c>
      <c r="Q1272" s="13">
        <f>L1272*M1272</f>
        <v>16000</v>
      </c>
      <c r="R1272" s="13">
        <f>L1272*N1272</f>
        <v>0</v>
      </c>
      <c r="S1272" s="13">
        <f>L1272*P1272</f>
        <v>16000</v>
      </c>
      <c r="T1272" s="13"/>
      <c r="U1272" s="13">
        <f>L1272*T1272</f>
        <v>0</v>
      </c>
      <c r="V1272" s="13">
        <f>S1272-U1272</f>
        <v>16000</v>
      </c>
      <c r="W1272" s="15">
        <f>IF(S1272&gt;0, V1272/S1272, 0)</f>
        <v>1</v>
      </c>
      <c r="X1272" s="6" t="s">
        <v>39</v>
      </c>
      <c r="Y1272" s="8" t="s">
        <v>40</v>
      </c>
      <c r="Z1272" s="8" t="s">
        <v>41</v>
      </c>
      <c r="AA1272" s="8" t="s">
        <v>42</v>
      </c>
      <c r="AB1272" s="6" t="s">
        <v>42</v>
      </c>
    </row>
    <row r="1273" spans="1:28">
      <c r="A1273" s="9">
        <v>1266</v>
      </c>
      <c r="B1273" s="9" t="s">
        <v>1587</v>
      </c>
      <c r="C1273" s="9" t="s">
        <v>1576</v>
      </c>
      <c r="D1273" s="9" t="s">
        <v>652</v>
      </c>
      <c r="E1273" s="9" t="s">
        <v>33</v>
      </c>
      <c r="F1273" s="7" t="s">
        <v>50</v>
      </c>
      <c r="G1273" s="7" t="s">
        <v>63</v>
      </c>
      <c r="H1273" s="7" t="s">
        <v>148</v>
      </c>
      <c r="I1273" s="9">
        <v>116</v>
      </c>
      <c r="J1273" s="9" t="s">
        <v>1253</v>
      </c>
      <c r="K1273" s="9" t="s">
        <v>38</v>
      </c>
      <c r="L1273" s="11">
        <v>1</v>
      </c>
      <c r="M1273" s="14">
        <v>9000.0</v>
      </c>
      <c r="N1273" s="14"/>
      <c r="O1273" s="16">
        <f>IF(M1273&gt;0, N1273/M1273, 0)</f>
        <v>0</v>
      </c>
      <c r="P1273" s="14">
        <f>M1273-N1273</f>
        <v>9000</v>
      </c>
      <c r="Q1273" s="14">
        <f>L1273*M1273</f>
        <v>9000</v>
      </c>
      <c r="R1273" s="14">
        <f>L1273*N1273</f>
        <v>0</v>
      </c>
      <c r="S1273" s="14">
        <f>L1273*P1273</f>
        <v>9000</v>
      </c>
      <c r="T1273" s="14"/>
      <c r="U1273" s="14">
        <f>L1273*T1273</f>
        <v>0</v>
      </c>
      <c r="V1273" s="14">
        <f>S1273-U1273</f>
        <v>9000</v>
      </c>
      <c r="W1273" s="16">
        <f>IF(S1273&gt;0, V1273/S1273, 0)</f>
        <v>1</v>
      </c>
      <c r="X1273" s="7" t="s">
        <v>39</v>
      </c>
      <c r="Y1273" s="9" t="s">
        <v>40</v>
      </c>
      <c r="Z1273" s="9" t="s">
        <v>41</v>
      </c>
      <c r="AA1273" s="9" t="s">
        <v>42</v>
      </c>
      <c r="AB1273" s="7" t="s">
        <v>42</v>
      </c>
    </row>
    <row r="1274" spans="1:28">
      <c r="A1274" s="8">
        <v>1267</v>
      </c>
      <c r="B1274" s="8" t="s">
        <v>1588</v>
      </c>
      <c r="C1274" s="8" t="s">
        <v>1576</v>
      </c>
      <c r="D1274" s="8" t="s">
        <v>652</v>
      </c>
      <c r="E1274" s="8" t="s">
        <v>33</v>
      </c>
      <c r="F1274" s="6" t="s">
        <v>50</v>
      </c>
      <c r="G1274" s="6" t="s">
        <v>35</v>
      </c>
      <c r="H1274" s="6" t="s">
        <v>73</v>
      </c>
      <c r="I1274" s="8">
        <v>116</v>
      </c>
      <c r="J1274" s="8" t="s">
        <v>89</v>
      </c>
      <c r="K1274" s="8" t="s">
        <v>53</v>
      </c>
      <c r="L1274" s="10">
        <v>4</v>
      </c>
      <c r="M1274" s="13">
        <v>8000.0</v>
      </c>
      <c r="N1274" s="13"/>
      <c r="O1274" s="15">
        <f>IF(M1274&gt;0, N1274/M1274, 0)</f>
        <v>0</v>
      </c>
      <c r="P1274" s="13">
        <f>M1274-N1274</f>
        <v>8000</v>
      </c>
      <c r="Q1274" s="13">
        <f>L1274*M1274</f>
        <v>32000</v>
      </c>
      <c r="R1274" s="13">
        <f>L1274*N1274</f>
        <v>0</v>
      </c>
      <c r="S1274" s="13">
        <f>L1274*P1274</f>
        <v>32000</v>
      </c>
      <c r="T1274" s="13"/>
      <c r="U1274" s="13">
        <f>L1274*T1274</f>
        <v>0</v>
      </c>
      <c r="V1274" s="13">
        <f>S1274-U1274</f>
        <v>32000</v>
      </c>
      <c r="W1274" s="15">
        <f>IF(S1274&gt;0, V1274/S1274, 0)</f>
        <v>1</v>
      </c>
      <c r="X1274" s="6" t="s">
        <v>39</v>
      </c>
      <c r="Y1274" s="8" t="s">
        <v>40</v>
      </c>
      <c r="Z1274" s="8" t="s">
        <v>41</v>
      </c>
      <c r="AA1274" s="8" t="s">
        <v>42</v>
      </c>
      <c r="AB1274" s="6" t="s">
        <v>42</v>
      </c>
    </row>
    <row r="1275" spans="1:28">
      <c r="A1275" s="9">
        <v>1268</v>
      </c>
      <c r="B1275" s="9" t="s">
        <v>1589</v>
      </c>
      <c r="C1275" s="9" t="s">
        <v>1576</v>
      </c>
      <c r="D1275" s="9" t="s">
        <v>652</v>
      </c>
      <c r="E1275" s="9" t="s">
        <v>33</v>
      </c>
      <c r="F1275" s="7" t="s">
        <v>50</v>
      </c>
      <c r="G1275" s="7" t="s">
        <v>35</v>
      </c>
      <c r="H1275" s="7" t="s">
        <v>36</v>
      </c>
      <c r="I1275" s="9">
        <v>116</v>
      </c>
      <c r="J1275" s="9" t="s">
        <v>92</v>
      </c>
      <c r="K1275" s="9" t="s">
        <v>53</v>
      </c>
      <c r="L1275" s="11">
        <v>2</v>
      </c>
      <c r="M1275" s="14">
        <v>7000.0</v>
      </c>
      <c r="N1275" s="14"/>
      <c r="O1275" s="16">
        <f>IF(M1275&gt;0, N1275/M1275, 0)</f>
        <v>0</v>
      </c>
      <c r="P1275" s="14">
        <f>M1275-N1275</f>
        <v>7000</v>
      </c>
      <c r="Q1275" s="14">
        <f>L1275*M1275</f>
        <v>14000</v>
      </c>
      <c r="R1275" s="14">
        <f>L1275*N1275</f>
        <v>0</v>
      </c>
      <c r="S1275" s="14">
        <f>L1275*P1275</f>
        <v>14000</v>
      </c>
      <c r="T1275" s="14"/>
      <c r="U1275" s="14">
        <f>L1275*T1275</f>
        <v>0</v>
      </c>
      <c r="V1275" s="14">
        <f>S1275-U1275</f>
        <v>14000</v>
      </c>
      <c r="W1275" s="16">
        <f>IF(S1275&gt;0, V1275/S1275, 0)</f>
        <v>1</v>
      </c>
      <c r="X1275" s="7" t="s">
        <v>39</v>
      </c>
      <c r="Y1275" s="9" t="s">
        <v>40</v>
      </c>
      <c r="Z1275" s="9" t="s">
        <v>41</v>
      </c>
      <c r="AA1275" s="9" t="s">
        <v>42</v>
      </c>
      <c r="AB1275" s="7" t="s">
        <v>42</v>
      </c>
    </row>
    <row r="1276" spans="1:28">
      <c r="A1276" s="8">
        <v>1269</v>
      </c>
      <c r="B1276" s="8" t="s">
        <v>1590</v>
      </c>
      <c r="C1276" s="8" t="s">
        <v>1576</v>
      </c>
      <c r="D1276" s="8" t="s">
        <v>652</v>
      </c>
      <c r="E1276" s="8" t="s">
        <v>68</v>
      </c>
      <c r="F1276" s="6" t="s">
        <v>50</v>
      </c>
      <c r="G1276" s="6" t="s">
        <v>63</v>
      </c>
      <c r="H1276" s="6" t="s">
        <v>148</v>
      </c>
      <c r="I1276" s="8">
        <v>146</v>
      </c>
      <c r="J1276" s="8" t="s">
        <v>167</v>
      </c>
      <c r="K1276" s="8" t="s">
        <v>38</v>
      </c>
      <c r="L1276" s="10">
        <v>1</v>
      </c>
      <c r="M1276" s="13">
        <v>10000.0</v>
      </c>
      <c r="N1276" s="13"/>
      <c r="O1276" s="15">
        <f>IF(M1276&gt;0, N1276/M1276, 0)</f>
        <v>0</v>
      </c>
      <c r="P1276" s="13">
        <f>M1276-N1276</f>
        <v>10000</v>
      </c>
      <c r="Q1276" s="13">
        <f>L1276*M1276</f>
        <v>10000</v>
      </c>
      <c r="R1276" s="13">
        <f>L1276*N1276</f>
        <v>0</v>
      </c>
      <c r="S1276" s="13">
        <f>L1276*P1276</f>
        <v>10000</v>
      </c>
      <c r="T1276" s="13"/>
      <c r="U1276" s="13">
        <f>L1276*T1276</f>
        <v>0</v>
      </c>
      <c r="V1276" s="13">
        <f>S1276-U1276</f>
        <v>10000</v>
      </c>
      <c r="W1276" s="15">
        <f>IF(S1276&gt;0, V1276/S1276, 0)</f>
        <v>1</v>
      </c>
      <c r="X1276" s="6" t="s">
        <v>39</v>
      </c>
      <c r="Y1276" s="8" t="s">
        <v>40</v>
      </c>
      <c r="Z1276" s="8" t="s">
        <v>71</v>
      </c>
      <c r="AA1276" s="8" t="s">
        <v>42</v>
      </c>
      <c r="AB1276" s="6" t="s">
        <v>42</v>
      </c>
    </row>
    <row r="1277" spans="1:28">
      <c r="A1277" s="9">
        <v>1270</v>
      </c>
      <c r="B1277" s="9" t="s">
        <v>1591</v>
      </c>
      <c r="C1277" s="9" t="s">
        <v>1576</v>
      </c>
      <c r="D1277" s="9" t="s">
        <v>652</v>
      </c>
      <c r="E1277" s="9" t="s">
        <v>33</v>
      </c>
      <c r="F1277" s="7" t="s">
        <v>34</v>
      </c>
      <c r="G1277" s="7" t="s">
        <v>45</v>
      </c>
      <c r="H1277" s="7" t="s">
        <v>46</v>
      </c>
      <c r="I1277" s="9">
        <v>176</v>
      </c>
      <c r="J1277" s="9" t="s">
        <v>424</v>
      </c>
      <c r="K1277" s="9" t="s">
        <v>38</v>
      </c>
      <c r="L1277" s="11">
        <v>1</v>
      </c>
      <c r="M1277" s="14">
        <v>18000.0</v>
      </c>
      <c r="N1277" s="14"/>
      <c r="O1277" s="16">
        <f>IF(M1277&gt;0, N1277/M1277, 0)</f>
        <v>0</v>
      </c>
      <c r="P1277" s="14">
        <f>M1277-N1277</f>
        <v>18000</v>
      </c>
      <c r="Q1277" s="14">
        <f>L1277*M1277</f>
        <v>18000</v>
      </c>
      <c r="R1277" s="14">
        <f>L1277*N1277</f>
        <v>0</v>
      </c>
      <c r="S1277" s="14">
        <f>L1277*P1277</f>
        <v>18000</v>
      </c>
      <c r="T1277" s="14"/>
      <c r="U1277" s="14">
        <f>L1277*T1277</f>
        <v>0</v>
      </c>
      <c r="V1277" s="14">
        <f>S1277-U1277</f>
        <v>18000</v>
      </c>
      <c r="W1277" s="16">
        <f>IF(S1277&gt;0, V1277/S1277, 0)</f>
        <v>1</v>
      </c>
      <c r="X1277" s="7" t="s">
        <v>39</v>
      </c>
      <c r="Y1277" s="9" t="s">
        <v>40</v>
      </c>
      <c r="Z1277" s="9" t="s">
        <v>41</v>
      </c>
      <c r="AA1277" s="9" t="s">
        <v>42</v>
      </c>
      <c r="AB1277" s="7" t="s">
        <v>42</v>
      </c>
    </row>
    <row r="1278" spans="1:28">
      <c r="A1278" s="8">
        <v>1271</v>
      </c>
      <c r="B1278" s="8" t="s">
        <v>1592</v>
      </c>
      <c r="C1278" s="8" t="s">
        <v>1576</v>
      </c>
      <c r="D1278" s="8" t="s">
        <v>652</v>
      </c>
      <c r="E1278" s="8" t="s">
        <v>33</v>
      </c>
      <c r="F1278" s="6" t="s">
        <v>34</v>
      </c>
      <c r="G1278" s="6" t="s">
        <v>56</v>
      </c>
      <c r="H1278" s="6" t="s">
        <v>56</v>
      </c>
      <c r="I1278" s="8">
        <v>170</v>
      </c>
      <c r="J1278" s="8" t="s">
        <v>212</v>
      </c>
      <c r="K1278" s="8" t="s">
        <v>38</v>
      </c>
      <c r="L1278" s="10">
        <v>1</v>
      </c>
      <c r="M1278" s="13">
        <v>7500.0</v>
      </c>
      <c r="N1278" s="13"/>
      <c r="O1278" s="15">
        <f>IF(M1278&gt;0, N1278/M1278, 0)</f>
        <v>0</v>
      </c>
      <c r="P1278" s="13">
        <f>M1278-N1278</f>
        <v>7500</v>
      </c>
      <c r="Q1278" s="13">
        <f>L1278*M1278</f>
        <v>7500</v>
      </c>
      <c r="R1278" s="13">
        <f>L1278*N1278</f>
        <v>0</v>
      </c>
      <c r="S1278" s="13">
        <f>L1278*P1278</f>
        <v>7500</v>
      </c>
      <c r="T1278" s="13"/>
      <c r="U1278" s="13">
        <f>L1278*T1278</f>
        <v>0</v>
      </c>
      <c r="V1278" s="13">
        <f>S1278-U1278</f>
        <v>7500</v>
      </c>
      <c r="W1278" s="15">
        <f>IF(S1278&gt;0, V1278/S1278, 0)</f>
        <v>1</v>
      </c>
      <c r="X1278" s="6" t="s">
        <v>39</v>
      </c>
      <c r="Y1278" s="8" t="s">
        <v>40</v>
      </c>
      <c r="Z1278" s="8" t="s">
        <v>41</v>
      </c>
      <c r="AA1278" s="8" t="s">
        <v>42</v>
      </c>
      <c r="AB1278" s="6" t="s">
        <v>42</v>
      </c>
    </row>
    <row r="1279" spans="1:28">
      <c r="A1279" s="9">
        <v>1272</v>
      </c>
      <c r="B1279" s="9" t="s">
        <v>1593</v>
      </c>
      <c r="C1279" s="9" t="s">
        <v>1576</v>
      </c>
      <c r="D1279" s="9" t="s">
        <v>652</v>
      </c>
      <c r="E1279" s="9" t="s">
        <v>33</v>
      </c>
      <c r="F1279" s="7" t="s">
        <v>34</v>
      </c>
      <c r="G1279" s="7" t="s">
        <v>51</v>
      </c>
      <c r="H1279" s="7" t="s">
        <v>51</v>
      </c>
      <c r="I1279" s="9">
        <v>176</v>
      </c>
      <c r="J1279" s="9" t="s">
        <v>418</v>
      </c>
      <c r="K1279" s="9" t="s">
        <v>38</v>
      </c>
      <c r="L1279" s="11">
        <v>1</v>
      </c>
      <c r="M1279" s="14">
        <v>8500.0</v>
      </c>
      <c r="N1279" s="14"/>
      <c r="O1279" s="16">
        <f>IF(M1279&gt;0, N1279/M1279, 0)</f>
        <v>0</v>
      </c>
      <c r="P1279" s="14">
        <f>M1279-N1279</f>
        <v>8500</v>
      </c>
      <c r="Q1279" s="14">
        <f>L1279*M1279</f>
        <v>8500</v>
      </c>
      <c r="R1279" s="14">
        <f>L1279*N1279</f>
        <v>0</v>
      </c>
      <c r="S1279" s="14">
        <f>L1279*P1279</f>
        <v>8500</v>
      </c>
      <c r="T1279" s="14"/>
      <c r="U1279" s="14">
        <f>L1279*T1279</f>
        <v>0</v>
      </c>
      <c r="V1279" s="14">
        <f>S1279-U1279</f>
        <v>8500</v>
      </c>
      <c r="W1279" s="16">
        <f>IF(S1279&gt;0, V1279/S1279, 0)</f>
        <v>1</v>
      </c>
      <c r="X1279" s="7" t="s">
        <v>39</v>
      </c>
      <c r="Y1279" s="9" t="s">
        <v>40</v>
      </c>
      <c r="Z1279" s="9" t="s">
        <v>41</v>
      </c>
      <c r="AA1279" s="9" t="s">
        <v>42</v>
      </c>
      <c r="AB1279" s="7" t="s">
        <v>42</v>
      </c>
    </row>
    <row r="1280" spans="1:28">
      <c r="A1280" s="8">
        <v>1273</v>
      </c>
      <c r="B1280" s="8" t="s">
        <v>1594</v>
      </c>
      <c r="C1280" s="8" t="s">
        <v>1576</v>
      </c>
      <c r="D1280" s="8" t="s">
        <v>652</v>
      </c>
      <c r="E1280" s="8" t="s">
        <v>33</v>
      </c>
      <c r="F1280" s="6" t="s">
        <v>34</v>
      </c>
      <c r="G1280" s="6" t="s">
        <v>35</v>
      </c>
      <c r="H1280" s="6" t="s">
        <v>36</v>
      </c>
      <c r="I1280" s="8">
        <v>176</v>
      </c>
      <c r="J1280" s="8" t="s">
        <v>352</v>
      </c>
      <c r="K1280" s="8" t="s">
        <v>38</v>
      </c>
      <c r="L1280" s="10">
        <v>1</v>
      </c>
      <c r="M1280" s="13">
        <v>8000.0</v>
      </c>
      <c r="N1280" s="13"/>
      <c r="O1280" s="15">
        <f>IF(M1280&gt;0, N1280/M1280, 0)</f>
        <v>0</v>
      </c>
      <c r="P1280" s="13">
        <f>M1280-N1280</f>
        <v>8000</v>
      </c>
      <c r="Q1280" s="13">
        <f>L1280*M1280</f>
        <v>8000</v>
      </c>
      <c r="R1280" s="13">
        <f>L1280*N1280</f>
        <v>0</v>
      </c>
      <c r="S1280" s="13">
        <f>L1280*P1280</f>
        <v>8000</v>
      </c>
      <c r="T1280" s="13"/>
      <c r="U1280" s="13">
        <f>L1280*T1280</f>
        <v>0</v>
      </c>
      <c r="V1280" s="13">
        <f>S1280-U1280</f>
        <v>8000</v>
      </c>
      <c r="W1280" s="15">
        <f>IF(S1280&gt;0, V1280/S1280, 0)</f>
        <v>1</v>
      </c>
      <c r="X1280" s="6" t="s">
        <v>39</v>
      </c>
      <c r="Y1280" s="8" t="s">
        <v>40</v>
      </c>
      <c r="Z1280" s="8" t="s">
        <v>41</v>
      </c>
      <c r="AA1280" s="8" t="s">
        <v>42</v>
      </c>
      <c r="AB1280" s="6" t="s">
        <v>42</v>
      </c>
    </row>
    <row r="1281" spans="1:28">
      <c r="A1281" s="9">
        <v>1274</v>
      </c>
      <c r="B1281" s="9" t="s">
        <v>1595</v>
      </c>
      <c r="C1281" s="9" t="s">
        <v>1576</v>
      </c>
      <c r="D1281" s="9" t="s">
        <v>652</v>
      </c>
      <c r="E1281" s="9" t="s">
        <v>33</v>
      </c>
      <c r="F1281" s="7" t="s">
        <v>34</v>
      </c>
      <c r="G1281" s="7" t="s">
        <v>35</v>
      </c>
      <c r="H1281" s="7" t="s">
        <v>73</v>
      </c>
      <c r="I1281" s="9">
        <v>176</v>
      </c>
      <c r="J1281" s="9" t="s">
        <v>420</v>
      </c>
      <c r="K1281" s="9" t="s">
        <v>38</v>
      </c>
      <c r="L1281" s="11">
        <v>1</v>
      </c>
      <c r="M1281" s="14">
        <v>9000.0</v>
      </c>
      <c r="N1281" s="14"/>
      <c r="O1281" s="16">
        <f>IF(M1281&gt;0, N1281/M1281, 0)</f>
        <v>0</v>
      </c>
      <c r="P1281" s="14">
        <f>M1281-N1281</f>
        <v>9000</v>
      </c>
      <c r="Q1281" s="14">
        <f>L1281*M1281</f>
        <v>9000</v>
      </c>
      <c r="R1281" s="14">
        <f>L1281*N1281</f>
        <v>0</v>
      </c>
      <c r="S1281" s="14">
        <f>L1281*P1281</f>
        <v>9000</v>
      </c>
      <c r="T1281" s="14"/>
      <c r="U1281" s="14">
        <f>L1281*T1281</f>
        <v>0</v>
      </c>
      <c r="V1281" s="14">
        <f>S1281-U1281</f>
        <v>9000</v>
      </c>
      <c r="W1281" s="16">
        <f>IF(S1281&gt;0, V1281/S1281, 0)</f>
        <v>1</v>
      </c>
      <c r="X1281" s="7" t="s">
        <v>39</v>
      </c>
      <c r="Y1281" s="9" t="s">
        <v>40</v>
      </c>
      <c r="Z1281" s="9" t="s">
        <v>41</v>
      </c>
      <c r="AA1281" s="9" t="s">
        <v>42</v>
      </c>
      <c r="AB1281" s="7" t="s">
        <v>42</v>
      </c>
    </row>
    <row r="1282" spans="1:28">
      <c r="A1282" s="8">
        <v>1275</v>
      </c>
      <c r="B1282" s="8" t="s">
        <v>1596</v>
      </c>
      <c r="C1282" s="8" t="s">
        <v>1576</v>
      </c>
      <c r="D1282" s="8" t="s">
        <v>652</v>
      </c>
      <c r="E1282" s="8" t="s">
        <v>33</v>
      </c>
      <c r="F1282" s="6" t="s">
        <v>34</v>
      </c>
      <c r="G1282" s="6" t="s">
        <v>56</v>
      </c>
      <c r="H1282" s="6" t="s">
        <v>56</v>
      </c>
      <c r="I1282" s="8">
        <v>158</v>
      </c>
      <c r="J1282" s="8" t="s">
        <v>128</v>
      </c>
      <c r="K1282" s="8" t="s">
        <v>38</v>
      </c>
      <c r="L1282" s="10">
        <v>1</v>
      </c>
      <c r="M1282" s="13">
        <v>7500.0</v>
      </c>
      <c r="N1282" s="13"/>
      <c r="O1282" s="15">
        <f>IF(M1282&gt;0, N1282/M1282, 0)</f>
        <v>0</v>
      </c>
      <c r="P1282" s="13">
        <f>M1282-N1282</f>
        <v>7500</v>
      </c>
      <c r="Q1282" s="13">
        <f>L1282*M1282</f>
        <v>7500</v>
      </c>
      <c r="R1282" s="13">
        <f>L1282*N1282</f>
        <v>0</v>
      </c>
      <c r="S1282" s="13">
        <f>L1282*P1282</f>
        <v>7500</v>
      </c>
      <c r="T1282" s="13"/>
      <c r="U1282" s="13">
        <f>L1282*T1282</f>
        <v>0</v>
      </c>
      <c r="V1282" s="13">
        <f>S1282-U1282</f>
        <v>7500</v>
      </c>
      <c r="W1282" s="15">
        <f>IF(S1282&gt;0, V1282/S1282, 0)</f>
        <v>1</v>
      </c>
      <c r="X1282" s="6" t="s">
        <v>39</v>
      </c>
      <c r="Y1282" s="8" t="s">
        <v>40</v>
      </c>
      <c r="Z1282" s="8" t="s">
        <v>41</v>
      </c>
      <c r="AA1282" s="8" t="s">
        <v>42</v>
      </c>
      <c r="AB1282" s="6" t="s">
        <v>42</v>
      </c>
    </row>
    <row r="1283" spans="1:28">
      <c r="A1283" s="9">
        <v>1276</v>
      </c>
      <c r="B1283" s="9" t="s">
        <v>1597</v>
      </c>
      <c r="C1283" s="9" t="s">
        <v>1576</v>
      </c>
      <c r="D1283" s="9" t="s">
        <v>652</v>
      </c>
      <c r="E1283" s="9" t="s">
        <v>33</v>
      </c>
      <c r="F1283" s="7" t="s">
        <v>34</v>
      </c>
      <c r="G1283" s="7" t="s">
        <v>63</v>
      </c>
      <c r="H1283" s="7" t="s">
        <v>148</v>
      </c>
      <c r="I1283" s="9">
        <v>164</v>
      </c>
      <c r="J1283" s="9" t="s">
        <v>365</v>
      </c>
      <c r="K1283" s="9" t="s">
        <v>38</v>
      </c>
      <c r="L1283" s="11">
        <v>1</v>
      </c>
      <c r="M1283" s="14">
        <v>9500.0</v>
      </c>
      <c r="N1283" s="14"/>
      <c r="O1283" s="16">
        <f>IF(M1283&gt;0, N1283/M1283, 0)</f>
        <v>0</v>
      </c>
      <c r="P1283" s="14">
        <f>M1283-N1283</f>
        <v>9500</v>
      </c>
      <c r="Q1283" s="14">
        <f>L1283*M1283</f>
        <v>9500</v>
      </c>
      <c r="R1283" s="14">
        <f>L1283*N1283</f>
        <v>0</v>
      </c>
      <c r="S1283" s="14">
        <f>L1283*P1283</f>
        <v>9500</v>
      </c>
      <c r="T1283" s="14"/>
      <c r="U1283" s="14">
        <f>L1283*T1283</f>
        <v>0</v>
      </c>
      <c r="V1283" s="14">
        <f>S1283-U1283</f>
        <v>9500</v>
      </c>
      <c r="W1283" s="16">
        <f>IF(S1283&gt;0, V1283/S1283, 0)</f>
        <v>1</v>
      </c>
      <c r="X1283" s="7" t="s">
        <v>39</v>
      </c>
      <c r="Y1283" s="9" t="s">
        <v>40</v>
      </c>
      <c r="Z1283" s="9" t="s">
        <v>41</v>
      </c>
      <c r="AA1283" s="9" t="s">
        <v>42</v>
      </c>
      <c r="AB1283" s="7" t="s">
        <v>42</v>
      </c>
    </row>
    <row r="1284" spans="1:28">
      <c r="A1284" s="8">
        <v>1277</v>
      </c>
      <c r="B1284" s="8" t="s">
        <v>1598</v>
      </c>
      <c r="C1284" s="8" t="s">
        <v>1576</v>
      </c>
      <c r="D1284" s="8" t="s">
        <v>652</v>
      </c>
      <c r="E1284" s="8" t="s">
        <v>33</v>
      </c>
      <c r="F1284" s="6" t="s">
        <v>34</v>
      </c>
      <c r="G1284" s="6" t="s">
        <v>35</v>
      </c>
      <c r="H1284" s="6" t="s">
        <v>73</v>
      </c>
      <c r="I1284" s="8">
        <v>170</v>
      </c>
      <c r="J1284" s="8" t="s">
        <v>648</v>
      </c>
      <c r="K1284" s="8" t="s">
        <v>38</v>
      </c>
      <c r="L1284" s="10">
        <v>1</v>
      </c>
      <c r="M1284" s="13">
        <v>9000.0</v>
      </c>
      <c r="N1284" s="13"/>
      <c r="O1284" s="15">
        <f>IF(M1284&gt;0, N1284/M1284, 0)</f>
        <v>0</v>
      </c>
      <c r="P1284" s="13">
        <f>M1284-N1284</f>
        <v>9000</v>
      </c>
      <c r="Q1284" s="13">
        <f>L1284*M1284</f>
        <v>9000</v>
      </c>
      <c r="R1284" s="13">
        <f>L1284*N1284</f>
        <v>0</v>
      </c>
      <c r="S1284" s="13">
        <f>L1284*P1284</f>
        <v>9000</v>
      </c>
      <c r="T1284" s="13"/>
      <c r="U1284" s="13">
        <f>L1284*T1284</f>
        <v>0</v>
      </c>
      <c r="V1284" s="13">
        <f>S1284-U1284</f>
        <v>9000</v>
      </c>
      <c r="W1284" s="15">
        <f>IF(S1284&gt;0, V1284/S1284, 0)</f>
        <v>1</v>
      </c>
      <c r="X1284" s="6" t="s">
        <v>39</v>
      </c>
      <c r="Y1284" s="8" t="s">
        <v>40</v>
      </c>
      <c r="Z1284" s="8" t="s">
        <v>41</v>
      </c>
      <c r="AA1284" s="8" t="s">
        <v>42</v>
      </c>
      <c r="AB1284" s="6" t="s">
        <v>42</v>
      </c>
    </row>
    <row r="1285" spans="1:28">
      <c r="A1285" s="9">
        <v>1278</v>
      </c>
      <c r="B1285" s="9" t="s">
        <v>1599</v>
      </c>
      <c r="C1285" s="9" t="s">
        <v>1576</v>
      </c>
      <c r="D1285" s="9" t="s">
        <v>652</v>
      </c>
      <c r="E1285" s="9" t="s">
        <v>33</v>
      </c>
      <c r="F1285" s="7" t="s">
        <v>34</v>
      </c>
      <c r="G1285" s="7" t="s">
        <v>35</v>
      </c>
      <c r="H1285" s="7" t="s">
        <v>36</v>
      </c>
      <c r="I1285" s="9">
        <v>170</v>
      </c>
      <c r="J1285" s="9" t="s">
        <v>142</v>
      </c>
      <c r="K1285" s="9" t="s">
        <v>38</v>
      </c>
      <c r="L1285" s="11">
        <v>1</v>
      </c>
      <c r="M1285" s="14">
        <v>8000.0</v>
      </c>
      <c r="N1285" s="14"/>
      <c r="O1285" s="16">
        <f>IF(M1285&gt;0, N1285/M1285, 0)</f>
        <v>0</v>
      </c>
      <c r="P1285" s="14">
        <f>M1285-N1285</f>
        <v>8000</v>
      </c>
      <c r="Q1285" s="14">
        <f>L1285*M1285</f>
        <v>8000</v>
      </c>
      <c r="R1285" s="14">
        <f>L1285*N1285</f>
        <v>0</v>
      </c>
      <c r="S1285" s="14">
        <f>L1285*P1285</f>
        <v>8000</v>
      </c>
      <c r="T1285" s="14"/>
      <c r="U1285" s="14">
        <f>L1285*T1285</f>
        <v>0</v>
      </c>
      <c r="V1285" s="14">
        <f>S1285-U1285</f>
        <v>8000</v>
      </c>
      <c r="W1285" s="16">
        <f>IF(S1285&gt;0, V1285/S1285, 0)</f>
        <v>1</v>
      </c>
      <c r="X1285" s="7" t="s">
        <v>39</v>
      </c>
      <c r="Y1285" s="9" t="s">
        <v>40</v>
      </c>
      <c r="Z1285" s="9" t="s">
        <v>41</v>
      </c>
      <c r="AA1285" s="9" t="s">
        <v>42</v>
      </c>
      <c r="AB1285" s="7" t="s">
        <v>42</v>
      </c>
    </row>
    <row r="1286" spans="1:28">
      <c r="A1286" s="8">
        <v>1279</v>
      </c>
      <c r="B1286" s="8" t="s">
        <v>1600</v>
      </c>
      <c r="C1286" s="8" t="s">
        <v>1576</v>
      </c>
      <c r="D1286" s="8" t="s">
        <v>652</v>
      </c>
      <c r="E1286" s="8" t="s">
        <v>33</v>
      </c>
      <c r="F1286" s="6" t="s">
        <v>50</v>
      </c>
      <c r="G1286" s="6" t="s">
        <v>51</v>
      </c>
      <c r="H1286" s="6" t="s">
        <v>51</v>
      </c>
      <c r="I1286" s="8">
        <v>158</v>
      </c>
      <c r="J1286" s="8" t="s">
        <v>125</v>
      </c>
      <c r="K1286" s="8" t="s">
        <v>53</v>
      </c>
      <c r="L1286" s="10">
        <v>2</v>
      </c>
      <c r="M1286" s="13">
        <v>8000.0</v>
      </c>
      <c r="N1286" s="13"/>
      <c r="O1286" s="15">
        <f>IF(M1286&gt;0, N1286/M1286, 0)</f>
        <v>0</v>
      </c>
      <c r="P1286" s="13">
        <f>M1286-N1286</f>
        <v>8000</v>
      </c>
      <c r="Q1286" s="13">
        <f>L1286*M1286</f>
        <v>16000</v>
      </c>
      <c r="R1286" s="13">
        <f>L1286*N1286</f>
        <v>0</v>
      </c>
      <c r="S1286" s="13">
        <f>L1286*P1286</f>
        <v>16000</v>
      </c>
      <c r="T1286" s="13"/>
      <c r="U1286" s="13">
        <f>L1286*T1286</f>
        <v>0</v>
      </c>
      <c r="V1286" s="13">
        <f>S1286-U1286</f>
        <v>16000</v>
      </c>
      <c r="W1286" s="15">
        <f>IF(S1286&gt;0, V1286/S1286, 0)</f>
        <v>1</v>
      </c>
      <c r="X1286" s="6" t="s">
        <v>39</v>
      </c>
      <c r="Y1286" s="8" t="s">
        <v>40</v>
      </c>
      <c r="Z1286" s="8" t="s">
        <v>41</v>
      </c>
      <c r="AA1286" s="8" t="s">
        <v>42</v>
      </c>
      <c r="AB1286" s="6" t="s">
        <v>42</v>
      </c>
    </row>
    <row r="1287" spans="1:28">
      <c r="A1287" s="9">
        <v>1280</v>
      </c>
      <c r="B1287" s="9" t="s">
        <v>1601</v>
      </c>
      <c r="C1287" s="9" t="s">
        <v>1576</v>
      </c>
      <c r="D1287" s="9" t="s">
        <v>652</v>
      </c>
      <c r="E1287" s="9" t="s">
        <v>33</v>
      </c>
      <c r="F1287" s="7" t="s">
        <v>50</v>
      </c>
      <c r="G1287" s="7" t="s">
        <v>35</v>
      </c>
      <c r="H1287" s="7" t="s">
        <v>36</v>
      </c>
      <c r="I1287" s="9">
        <v>158</v>
      </c>
      <c r="J1287" s="9" t="s">
        <v>130</v>
      </c>
      <c r="K1287" s="9" t="s">
        <v>53</v>
      </c>
      <c r="L1287" s="11">
        <v>2</v>
      </c>
      <c r="M1287" s="14">
        <v>7000.0</v>
      </c>
      <c r="N1287" s="14"/>
      <c r="O1287" s="16">
        <f>IF(M1287&gt;0, N1287/M1287, 0)</f>
        <v>0</v>
      </c>
      <c r="P1287" s="14">
        <f>M1287-N1287</f>
        <v>7000</v>
      </c>
      <c r="Q1287" s="14">
        <f>L1287*M1287</f>
        <v>14000</v>
      </c>
      <c r="R1287" s="14">
        <f>L1287*N1287</f>
        <v>0</v>
      </c>
      <c r="S1287" s="14">
        <f>L1287*P1287</f>
        <v>14000</v>
      </c>
      <c r="T1287" s="14"/>
      <c r="U1287" s="14">
        <f>L1287*T1287</f>
        <v>0</v>
      </c>
      <c r="V1287" s="14">
        <f>S1287-U1287</f>
        <v>14000</v>
      </c>
      <c r="W1287" s="16">
        <f>IF(S1287&gt;0, V1287/S1287, 0)</f>
        <v>1</v>
      </c>
      <c r="X1287" s="7" t="s">
        <v>39</v>
      </c>
      <c r="Y1287" s="9" t="s">
        <v>40</v>
      </c>
      <c r="Z1287" s="9" t="s">
        <v>41</v>
      </c>
      <c r="AA1287" s="9" t="s">
        <v>42</v>
      </c>
      <c r="AB1287" s="7" t="s">
        <v>42</v>
      </c>
    </row>
    <row r="1288" spans="1:28">
      <c r="A1288" s="8">
        <v>1281</v>
      </c>
      <c r="B1288" s="8" t="s">
        <v>1602</v>
      </c>
      <c r="C1288" s="8" t="s">
        <v>1576</v>
      </c>
      <c r="D1288" s="8" t="s">
        <v>652</v>
      </c>
      <c r="E1288" s="8" t="s">
        <v>33</v>
      </c>
      <c r="F1288" s="6" t="s">
        <v>50</v>
      </c>
      <c r="G1288" s="6" t="s">
        <v>35</v>
      </c>
      <c r="H1288" s="6" t="s">
        <v>73</v>
      </c>
      <c r="I1288" s="8">
        <v>152</v>
      </c>
      <c r="J1288" s="8" t="s">
        <v>605</v>
      </c>
      <c r="K1288" s="8" t="s">
        <v>53</v>
      </c>
      <c r="L1288" s="10">
        <v>1</v>
      </c>
      <c r="M1288" s="13">
        <v>8000.0</v>
      </c>
      <c r="N1288" s="13"/>
      <c r="O1288" s="15">
        <f>IF(M1288&gt;0, N1288/M1288, 0)</f>
        <v>0</v>
      </c>
      <c r="P1288" s="13">
        <f>M1288-N1288</f>
        <v>8000</v>
      </c>
      <c r="Q1288" s="13">
        <f>L1288*M1288</f>
        <v>8000</v>
      </c>
      <c r="R1288" s="13">
        <f>L1288*N1288</f>
        <v>0</v>
      </c>
      <c r="S1288" s="13">
        <f>L1288*P1288</f>
        <v>8000</v>
      </c>
      <c r="T1288" s="13"/>
      <c r="U1288" s="13">
        <f>L1288*T1288</f>
        <v>0</v>
      </c>
      <c r="V1288" s="13">
        <f>S1288-U1288</f>
        <v>8000</v>
      </c>
      <c r="W1288" s="15">
        <f>IF(S1288&gt;0, V1288/S1288, 0)</f>
        <v>1</v>
      </c>
      <c r="X1288" s="6" t="s">
        <v>39</v>
      </c>
      <c r="Y1288" s="8" t="s">
        <v>40</v>
      </c>
      <c r="Z1288" s="8" t="s">
        <v>41</v>
      </c>
      <c r="AA1288" s="8" t="s">
        <v>42</v>
      </c>
      <c r="AB1288" s="6" t="s">
        <v>42</v>
      </c>
    </row>
    <row r="1289" spans="1:28">
      <c r="A1289" s="9">
        <v>1282</v>
      </c>
      <c r="B1289" s="9" t="s">
        <v>1603</v>
      </c>
      <c r="C1289" s="9" t="s">
        <v>1576</v>
      </c>
      <c r="D1289" s="9" t="s">
        <v>652</v>
      </c>
      <c r="E1289" s="9" t="s">
        <v>33</v>
      </c>
      <c r="F1289" s="7" t="s">
        <v>50</v>
      </c>
      <c r="G1289" s="7" t="s">
        <v>45</v>
      </c>
      <c r="H1289" s="7" t="s">
        <v>46</v>
      </c>
      <c r="I1289" s="9">
        <v>152</v>
      </c>
      <c r="J1289" s="9" t="s">
        <v>411</v>
      </c>
      <c r="K1289" s="9" t="s">
        <v>38</v>
      </c>
      <c r="L1289" s="11">
        <v>1</v>
      </c>
      <c r="M1289" s="14">
        <v>18000.0</v>
      </c>
      <c r="N1289" s="14"/>
      <c r="O1289" s="16">
        <f>IF(M1289&gt;0, N1289/M1289, 0)</f>
        <v>0</v>
      </c>
      <c r="P1289" s="14">
        <f>M1289-N1289</f>
        <v>18000</v>
      </c>
      <c r="Q1289" s="14">
        <f>L1289*M1289</f>
        <v>18000</v>
      </c>
      <c r="R1289" s="14">
        <f>L1289*N1289</f>
        <v>0</v>
      </c>
      <c r="S1289" s="14">
        <f>L1289*P1289</f>
        <v>18000</v>
      </c>
      <c r="T1289" s="14"/>
      <c r="U1289" s="14">
        <f>L1289*T1289</f>
        <v>0</v>
      </c>
      <c r="V1289" s="14">
        <f>S1289-U1289</f>
        <v>18000</v>
      </c>
      <c r="W1289" s="16">
        <f>IF(S1289&gt;0, V1289/S1289, 0)</f>
        <v>1</v>
      </c>
      <c r="X1289" s="7" t="s">
        <v>39</v>
      </c>
      <c r="Y1289" s="9" t="s">
        <v>40</v>
      </c>
      <c r="Z1289" s="9" t="s">
        <v>41</v>
      </c>
      <c r="AA1289" s="9" t="s">
        <v>42</v>
      </c>
      <c r="AB1289" s="7" t="s">
        <v>42</v>
      </c>
    </row>
    <row r="1290" spans="1:28">
      <c r="A1290" s="8">
        <v>1283</v>
      </c>
      <c r="B1290" s="8" t="s">
        <v>1604</v>
      </c>
      <c r="C1290" s="8" t="s">
        <v>1576</v>
      </c>
      <c r="D1290" s="8" t="s">
        <v>652</v>
      </c>
      <c r="E1290" s="8" t="s">
        <v>33</v>
      </c>
      <c r="F1290" s="6" t="s">
        <v>50</v>
      </c>
      <c r="G1290" s="6" t="s">
        <v>56</v>
      </c>
      <c r="H1290" s="6" t="s">
        <v>56</v>
      </c>
      <c r="I1290" s="8">
        <v>152</v>
      </c>
      <c r="J1290" s="8" t="s">
        <v>311</v>
      </c>
      <c r="K1290" s="8" t="s">
        <v>38</v>
      </c>
      <c r="L1290" s="10">
        <v>1</v>
      </c>
      <c r="M1290" s="13">
        <v>7000.0</v>
      </c>
      <c r="N1290" s="13"/>
      <c r="O1290" s="15">
        <f>IF(M1290&gt;0, N1290/M1290, 0)</f>
        <v>0</v>
      </c>
      <c r="P1290" s="13">
        <f>M1290-N1290</f>
        <v>7000</v>
      </c>
      <c r="Q1290" s="13">
        <f>L1290*M1290</f>
        <v>7000</v>
      </c>
      <c r="R1290" s="13">
        <f>L1290*N1290</f>
        <v>0</v>
      </c>
      <c r="S1290" s="13">
        <f>L1290*P1290</f>
        <v>7000</v>
      </c>
      <c r="T1290" s="13"/>
      <c r="U1290" s="13">
        <f>L1290*T1290</f>
        <v>0</v>
      </c>
      <c r="V1290" s="13">
        <f>S1290-U1290</f>
        <v>7000</v>
      </c>
      <c r="W1290" s="15">
        <f>IF(S1290&gt;0, V1290/S1290, 0)</f>
        <v>1</v>
      </c>
      <c r="X1290" s="6" t="s">
        <v>39</v>
      </c>
      <c r="Y1290" s="8" t="s">
        <v>40</v>
      </c>
      <c r="Z1290" s="8" t="s">
        <v>41</v>
      </c>
      <c r="AA1290" s="8" t="s">
        <v>42</v>
      </c>
      <c r="AB1290" s="6" t="s">
        <v>42</v>
      </c>
    </row>
    <row r="1291" spans="1:28">
      <c r="A1291" s="9">
        <v>1284</v>
      </c>
      <c r="B1291" s="9" t="s">
        <v>1605</v>
      </c>
      <c r="C1291" s="9" t="s">
        <v>1576</v>
      </c>
      <c r="D1291" s="9" t="s">
        <v>652</v>
      </c>
      <c r="E1291" s="9" t="s">
        <v>33</v>
      </c>
      <c r="F1291" s="7" t="s">
        <v>50</v>
      </c>
      <c r="G1291" s="7" t="s">
        <v>63</v>
      </c>
      <c r="H1291" s="7" t="s">
        <v>148</v>
      </c>
      <c r="I1291" s="9">
        <v>152</v>
      </c>
      <c r="J1291" s="9" t="s">
        <v>251</v>
      </c>
      <c r="K1291" s="9" t="s">
        <v>38</v>
      </c>
      <c r="L1291" s="11">
        <v>1</v>
      </c>
      <c r="M1291" s="14">
        <v>9000.0</v>
      </c>
      <c r="N1291" s="14"/>
      <c r="O1291" s="16">
        <f>IF(M1291&gt;0, N1291/M1291, 0)</f>
        <v>0</v>
      </c>
      <c r="P1291" s="14">
        <f>M1291-N1291</f>
        <v>9000</v>
      </c>
      <c r="Q1291" s="14">
        <f>L1291*M1291</f>
        <v>9000</v>
      </c>
      <c r="R1291" s="14">
        <f>L1291*N1291</f>
        <v>0</v>
      </c>
      <c r="S1291" s="14">
        <f>L1291*P1291</f>
        <v>9000</v>
      </c>
      <c r="T1291" s="14"/>
      <c r="U1291" s="14">
        <f>L1291*T1291</f>
        <v>0</v>
      </c>
      <c r="V1291" s="14">
        <f>S1291-U1291</f>
        <v>9000</v>
      </c>
      <c r="W1291" s="16">
        <f>IF(S1291&gt;0, V1291/S1291, 0)</f>
        <v>1</v>
      </c>
      <c r="X1291" s="7" t="s">
        <v>39</v>
      </c>
      <c r="Y1291" s="9" t="s">
        <v>40</v>
      </c>
      <c r="Z1291" s="9" t="s">
        <v>41</v>
      </c>
      <c r="AA1291" s="9" t="s">
        <v>42</v>
      </c>
      <c r="AB1291" s="7" t="s">
        <v>42</v>
      </c>
    </row>
    <row r="1292" spans="1:28">
      <c r="A1292" s="8">
        <v>1285</v>
      </c>
      <c r="B1292" s="8" t="s">
        <v>1606</v>
      </c>
      <c r="C1292" s="8" t="s">
        <v>1576</v>
      </c>
      <c r="D1292" s="8" t="s">
        <v>652</v>
      </c>
      <c r="E1292" s="8" t="s">
        <v>68</v>
      </c>
      <c r="F1292" s="6" t="s">
        <v>34</v>
      </c>
      <c r="G1292" s="6" t="s">
        <v>69</v>
      </c>
      <c r="H1292" s="6" t="s">
        <v>69</v>
      </c>
      <c r="I1292" s="8">
        <v>158</v>
      </c>
      <c r="J1292" s="8" t="s">
        <v>260</v>
      </c>
      <c r="K1292" s="8" t="s">
        <v>38</v>
      </c>
      <c r="L1292" s="10">
        <v>1</v>
      </c>
      <c r="M1292" s="13">
        <v>18000.0</v>
      </c>
      <c r="N1292" s="13"/>
      <c r="O1292" s="15">
        <f>IF(M1292&gt;0, N1292/M1292, 0)</f>
        <v>0</v>
      </c>
      <c r="P1292" s="13">
        <f>M1292-N1292</f>
        <v>18000</v>
      </c>
      <c r="Q1292" s="13">
        <f>L1292*M1292</f>
        <v>18000</v>
      </c>
      <c r="R1292" s="13">
        <f>L1292*N1292</f>
        <v>0</v>
      </c>
      <c r="S1292" s="13">
        <f>L1292*P1292</f>
        <v>18000</v>
      </c>
      <c r="T1292" s="13"/>
      <c r="U1292" s="13">
        <f>L1292*T1292</f>
        <v>0</v>
      </c>
      <c r="V1292" s="13">
        <f>S1292-U1292</f>
        <v>18000</v>
      </c>
      <c r="W1292" s="15">
        <f>IF(S1292&gt;0, V1292/S1292, 0)</f>
        <v>1</v>
      </c>
      <c r="X1292" s="6" t="s">
        <v>39</v>
      </c>
      <c r="Y1292" s="8" t="s">
        <v>40</v>
      </c>
      <c r="Z1292" s="8" t="s">
        <v>71</v>
      </c>
      <c r="AA1292" s="8" t="s">
        <v>42</v>
      </c>
      <c r="AB1292" s="6" t="s">
        <v>42</v>
      </c>
    </row>
    <row r="1293" spans="1:28">
      <c r="A1293" s="9">
        <v>1286</v>
      </c>
      <c r="B1293" s="9" t="s">
        <v>1607</v>
      </c>
      <c r="C1293" s="9" t="s">
        <v>1576</v>
      </c>
      <c r="D1293" s="9" t="s">
        <v>652</v>
      </c>
      <c r="E1293" s="9" t="s">
        <v>68</v>
      </c>
      <c r="F1293" s="7" t="s">
        <v>34</v>
      </c>
      <c r="G1293" s="7" t="s">
        <v>63</v>
      </c>
      <c r="H1293" s="7" t="s">
        <v>148</v>
      </c>
      <c r="I1293" s="9">
        <v>158</v>
      </c>
      <c r="J1293" s="9" t="s">
        <v>217</v>
      </c>
      <c r="K1293" s="9" t="s">
        <v>38</v>
      </c>
      <c r="L1293" s="11">
        <v>1</v>
      </c>
      <c r="M1293" s="14">
        <v>11000.0</v>
      </c>
      <c r="N1293" s="14"/>
      <c r="O1293" s="16">
        <f>IF(M1293&gt;0, N1293/M1293, 0)</f>
        <v>0</v>
      </c>
      <c r="P1293" s="14">
        <f>M1293-N1293</f>
        <v>11000</v>
      </c>
      <c r="Q1293" s="14">
        <f>L1293*M1293</f>
        <v>11000</v>
      </c>
      <c r="R1293" s="14">
        <f>L1293*N1293</f>
        <v>0</v>
      </c>
      <c r="S1293" s="14">
        <f>L1293*P1293</f>
        <v>11000</v>
      </c>
      <c r="T1293" s="14"/>
      <c r="U1293" s="14">
        <f>L1293*T1293</f>
        <v>0</v>
      </c>
      <c r="V1293" s="14">
        <f>S1293-U1293</f>
        <v>11000</v>
      </c>
      <c r="W1293" s="16">
        <f>IF(S1293&gt;0, V1293/S1293, 0)</f>
        <v>1</v>
      </c>
      <c r="X1293" s="7" t="s">
        <v>39</v>
      </c>
      <c r="Y1293" s="9" t="s">
        <v>40</v>
      </c>
      <c r="Z1293" s="9" t="s">
        <v>71</v>
      </c>
      <c r="AA1293" s="9" t="s">
        <v>42</v>
      </c>
      <c r="AB1293" s="7" t="s">
        <v>42</v>
      </c>
    </row>
    <row r="1294" spans="1:28">
      <c r="A1294" s="8">
        <v>1287</v>
      </c>
      <c r="B1294" s="8" t="s">
        <v>1608</v>
      </c>
      <c r="C1294" s="8" t="s">
        <v>1576</v>
      </c>
      <c r="D1294" s="8" t="s">
        <v>652</v>
      </c>
      <c r="E1294" s="8" t="s">
        <v>33</v>
      </c>
      <c r="F1294" s="6" t="s">
        <v>34</v>
      </c>
      <c r="G1294" s="6" t="s">
        <v>51</v>
      </c>
      <c r="H1294" s="6" t="s">
        <v>51</v>
      </c>
      <c r="I1294" s="8">
        <v>158</v>
      </c>
      <c r="J1294" s="8" t="s">
        <v>122</v>
      </c>
      <c r="K1294" s="8" t="s">
        <v>38</v>
      </c>
      <c r="L1294" s="10">
        <v>2</v>
      </c>
      <c r="M1294" s="13">
        <v>8500.0</v>
      </c>
      <c r="N1294" s="13"/>
      <c r="O1294" s="15">
        <f>IF(M1294&gt;0, N1294/M1294, 0)</f>
        <v>0</v>
      </c>
      <c r="P1294" s="13">
        <f>M1294-N1294</f>
        <v>8500</v>
      </c>
      <c r="Q1294" s="13">
        <f>L1294*M1294</f>
        <v>17000</v>
      </c>
      <c r="R1294" s="13">
        <f>L1294*N1294</f>
        <v>0</v>
      </c>
      <c r="S1294" s="13">
        <f>L1294*P1294</f>
        <v>17000</v>
      </c>
      <c r="T1294" s="13"/>
      <c r="U1294" s="13">
        <f>L1294*T1294</f>
        <v>0</v>
      </c>
      <c r="V1294" s="13">
        <f>S1294-U1294</f>
        <v>17000</v>
      </c>
      <c r="W1294" s="15">
        <f>IF(S1294&gt;0, V1294/S1294, 0)</f>
        <v>1</v>
      </c>
      <c r="X1294" s="6" t="s">
        <v>39</v>
      </c>
      <c r="Y1294" s="8" t="s">
        <v>40</v>
      </c>
      <c r="Z1294" s="8" t="s">
        <v>41</v>
      </c>
      <c r="AA1294" s="8" t="s">
        <v>42</v>
      </c>
      <c r="AB1294" s="6" t="s">
        <v>42</v>
      </c>
    </row>
    <row r="1295" spans="1:28">
      <c r="A1295" s="9">
        <v>1288</v>
      </c>
      <c r="B1295" s="9" t="s">
        <v>1609</v>
      </c>
      <c r="C1295" s="9" t="s">
        <v>1576</v>
      </c>
      <c r="D1295" s="9" t="s">
        <v>652</v>
      </c>
      <c r="E1295" s="9" t="s">
        <v>33</v>
      </c>
      <c r="F1295" s="7" t="s">
        <v>34</v>
      </c>
      <c r="G1295" s="7" t="s">
        <v>56</v>
      </c>
      <c r="H1295" s="7" t="s">
        <v>56</v>
      </c>
      <c r="I1295" s="9">
        <v>158</v>
      </c>
      <c r="J1295" s="9" t="s">
        <v>128</v>
      </c>
      <c r="K1295" s="9" t="s">
        <v>38</v>
      </c>
      <c r="L1295" s="11">
        <v>2</v>
      </c>
      <c r="M1295" s="14">
        <v>7500.0</v>
      </c>
      <c r="N1295" s="14"/>
      <c r="O1295" s="16">
        <f>IF(M1295&gt;0, N1295/M1295, 0)</f>
        <v>0</v>
      </c>
      <c r="P1295" s="14">
        <f>M1295-N1295</f>
        <v>7500</v>
      </c>
      <c r="Q1295" s="14">
        <f>L1295*M1295</f>
        <v>15000</v>
      </c>
      <c r="R1295" s="14">
        <f>L1295*N1295</f>
        <v>0</v>
      </c>
      <c r="S1295" s="14">
        <f>L1295*P1295</f>
        <v>15000</v>
      </c>
      <c r="T1295" s="14"/>
      <c r="U1295" s="14">
        <f>L1295*T1295</f>
        <v>0</v>
      </c>
      <c r="V1295" s="14">
        <f>S1295-U1295</f>
        <v>15000</v>
      </c>
      <c r="W1295" s="16">
        <f>IF(S1295&gt;0, V1295/S1295, 0)</f>
        <v>1</v>
      </c>
      <c r="X1295" s="7" t="s">
        <v>39</v>
      </c>
      <c r="Y1295" s="9" t="s">
        <v>40</v>
      </c>
      <c r="Z1295" s="9" t="s">
        <v>41</v>
      </c>
      <c r="AA1295" s="9" t="s">
        <v>42</v>
      </c>
      <c r="AB1295" s="7" t="s">
        <v>42</v>
      </c>
    </row>
    <row r="1296" spans="1:28">
      <c r="A1296" s="8">
        <v>1289</v>
      </c>
      <c r="B1296" s="8" t="s">
        <v>1610</v>
      </c>
      <c r="C1296" s="8" t="s">
        <v>1576</v>
      </c>
      <c r="D1296" s="8" t="s">
        <v>652</v>
      </c>
      <c r="E1296" s="8" t="s">
        <v>33</v>
      </c>
      <c r="F1296" s="6" t="s">
        <v>34</v>
      </c>
      <c r="G1296" s="6" t="s">
        <v>63</v>
      </c>
      <c r="H1296" s="6" t="s">
        <v>148</v>
      </c>
      <c r="I1296" s="8">
        <v>158</v>
      </c>
      <c r="J1296" s="8" t="s">
        <v>217</v>
      </c>
      <c r="K1296" s="8" t="s">
        <v>38</v>
      </c>
      <c r="L1296" s="10">
        <v>1</v>
      </c>
      <c r="M1296" s="13">
        <v>9500.0</v>
      </c>
      <c r="N1296" s="13"/>
      <c r="O1296" s="15">
        <f>IF(M1296&gt;0, N1296/M1296, 0)</f>
        <v>0</v>
      </c>
      <c r="P1296" s="13">
        <f>M1296-N1296</f>
        <v>9500</v>
      </c>
      <c r="Q1296" s="13">
        <f>L1296*M1296</f>
        <v>9500</v>
      </c>
      <c r="R1296" s="13">
        <f>L1296*N1296</f>
        <v>0</v>
      </c>
      <c r="S1296" s="13">
        <f>L1296*P1296</f>
        <v>9500</v>
      </c>
      <c r="T1296" s="13"/>
      <c r="U1296" s="13">
        <f>L1296*T1296</f>
        <v>0</v>
      </c>
      <c r="V1296" s="13">
        <f>S1296-U1296</f>
        <v>9500</v>
      </c>
      <c r="W1296" s="15">
        <f>IF(S1296&gt;0, V1296/S1296, 0)</f>
        <v>1</v>
      </c>
      <c r="X1296" s="6" t="s">
        <v>39</v>
      </c>
      <c r="Y1296" s="8" t="s">
        <v>40</v>
      </c>
      <c r="Z1296" s="8" t="s">
        <v>41</v>
      </c>
      <c r="AA1296" s="8" t="s">
        <v>42</v>
      </c>
      <c r="AB1296" s="6" t="s">
        <v>42</v>
      </c>
    </row>
    <row r="1297" spans="1:28">
      <c r="A1297" s="9">
        <v>1290</v>
      </c>
      <c r="B1297" s="9" t="s">
        <v>1611</v>
      </c>
      <c r="C1297" s="9" t="s">
        <v>1576</v>
      </c>
      <c r="D1297" s="9" t="s">
        <v>652</v>
      </c>
      <c r="E1297" s="9" t="s">
        <v>68</v>
      </c>
      <c r="F1297" s="7" t="s">
        <v>50</v>
      </c>
      <c r="G1297" s="7" t="s">
        <v>51</v>
      </c>
      <c r="H1297" s="7" t="s">
        <v>51</v>
      </c>
      <c r="I1297" s="9">
        <v>170</v>
      </c>
      <c r="J1297" s="9" t="s">
        <v>52</v>
      </c>
      <c r="K1297" s="9" t="s">
        <v>53</v>
      </c>
      <c r="L1297" s="11">
        <v>1</v>
      </c>
      <c r="M1297" s="14">
        <v>9000.0</v>
      </c>
      <c r="N1297" s="14"/>
      <c r="O1297" s="16">
        <f>IF(M1297&gt;0, N1297/M1297, 0)</f>
        <v>0</v>
      </c>
      <c r="P1297" s="14">
        <f>M1297-N1297</f>
        <v>9000</v>
      </c>
      <c r="Q1297" s="14">
        <f>L1297*M1297</f>
        <v>9000</v>
      </c>
      <c r="R1297" s="14">
        <f>L1297*N1297</f>
        <v>0</v>
      </c>
      <c r="S1297" s="14">
        <f>L1297*P1297</f>
        <v>9000</v>
      </c>
      <c r="T1297" s="14"/>
      <c r="U1297" s="14">
        <f>L1297*T1297</f>
        <v>0</v>
      </c>
      <c r="V1297" s="14">
        <f>S1297-U1297</f>
        <v>9000</v>
      </c>
      <c r="W1297" s="16">
        <f>IF(S1297&gt;0, V1297/S1297, 0)</f>
        <v>1</v>
      </c>
      <c r="X1297" s="7" t="s">
        <v>39</v>
      </c>
      <c r="Y1297" s="9" t="s">
        <v>40</v>
      </c>
      <c r="Z1297" s="9" t="s">
        <v>71</v>
      </c>
      <c r="AA1297" s="9" t="s">
        <v>42</v>
      </c>
      <c r="AB1297" s="7" t="s">
        <v>42</v>
      </c>
    </row>
    <row r="1298" spans="1:28">
      <c r="A1298" s="8">
        <v>1291</v>
      </c>
      <c r="B1298" s="8" t="s">
        <v>1612</v>
      </c>
      <c r="C1298" s="8" t="s">
        <v>1576</v>
      </c>
      <c r="D1298" s="8" t="s">
        <v>652</v>
      </c>
      <c r="E1298" s="8" t="s">
        <v>33</v>
      </c>
      <c r="F1298" s="6" t="s">
        <v>50</v>
      </c>
      <c r="G1298" s="6" t="s">
        <v>69</v>
      </c>
      <c r="H1298" s="6" t="s">
        <v>69</v>
      </c>
      <c r="I1298" s="8">
        <v>164</v>
      </c>
      <c r="J1298" s="8" t="s">
        <v>1613</v>
      </c>
      <c r="K1298" s="8" t="s">
        <v>38</v>
      </c>
      <c r="L1298" s="10">
        <v>1</v>
      </c>
      <c r="M1298" s="13">
        <v>17000.0</v>
      </c>
      <c r="N1298" s="13"/>
      <c r="O1298" s="15">
        <f>IF(M1298&gt;0, N1298/M1298, 0)</f>
        <v>0</v>
      </c>
      <c r="P1298" s="13">
        <f>M1298-N1298</f>
        <v>17000</v>
      </c>
      <c r="Q1298" s="13">
        <f>L1298*M1298</f>
        <v>17000</v>
      </c>
      <c r="R1298" s="13">
        <f>L1298*N1298</f>
        <v>0</v>
      </c>
      <c r="S1298" s="13">
        <f>L1298*P1298</f>
        <v>17000</v>
      </c>
      <c r="T1298" s="13"/>
      <c r="U1298" s="13">
        <f>L1298*T1298</f>
        <v>0</v>
      </c>
      <c r="V1298" s="13">
        <f>S1298-U1298</f>
        <v>17000</v>
      </c>
      <c r="W1298" s="15">
        <f>IF(S1298&gt;0, V1298/S1298, 0)</f>
        <v>1</v>
      </c>
      <c r="X1298" s="6" t="s">
        <v>39</v>
      </c>
      <c r="Y1298" s="8" t="s">
        <v>40</v>
      </c>
      <c r="Z1298" s="8" t="s">
        <v>41</v>
      </c>
      <c r="AA1298" s="8" t="s">
        <v>42</v>
      </c>
      <c r="AB1298" s="6" t="s">
        <v>42</v>
      </c>
    </row>
    <row r="1299" spans="1:28">
      <c r="A1299" s="9">
        <v>1292</v>
      </c>
      <c r="B1299" s="9" t="s">
        <v>1614</v>
      </c>
      <c r="C1299" s="9" t="s">
        <v>1576</v>
      </c>
      <c r="D1299" s="9" t="s">
        <v>652</v>
      </c>
      <c r="E1299" s="9" t="s">
        <v>33</v>
      </c>
      <c r="F1299" s="7" t="s">
        <v>50</v>
      </c>
      <c r="G1299" s="7" t="s">
        <v>56</v>
      </c>
      <c r="H1299" s="7" t="s">
        <v>56</v>
      </c>
      <c r="I1299" s="9">
        <v>158</v>
      </c>
      <c r="J1299" s="9" t="s">
        <v>791</v>
      </c>
      <c r="K1299" s="9" t="s">
        <v>38</v>
      </c>
      <c r="L1299" s="11">
        <v>1</v>
      </c>
      <c r="M1299" s="14">
        <v>7000.0</v>
      </c>
      <c r="N1299" s="14"/>
      <c r="O1299" s="16">
        <f>IF(M1299&gt;0, N1299/M1299, 0)</f>
        <v>0</v>
      </c>
      <c r="P1299" s="14">
        <f>M1299-N1299</f>
        <v>7000</v>
      </c>
      <c r="Q1299" s="14">
        <f>L1299*M1299</f>
        <v>7000</v>
      </c>
      <c r="R1299" s="14">
        <f>L1299*N1299</f>
        <v>0</v>
      </c>
      <c r="S1299" s="14">
        <f>L1299*P1299</f>
        <v>7000</v>
      </c>
      <c r="T1299" s="14"/>
      <c r="U1299" s="14">
        <f>L1299*T1299</f>
        <v>0</v>
      </c>
      <c r="V1299" s="14">
        <f>S1299-U1299</f>
        <v>7000</v>
      </c>
      <c r="W1299" s="16">
        <f>IF(S1299&gt;0, V1299/S1299, 0)</f>
        <v>1</v>
      </c>
      <c r="X1299" s="7" t="s">
        <v>39</v>
      </c>
      <c r="Y1299" s="9" t="s">
        <v>40</v>
      </c>
      <c r="Z1299" s="9" t="s">
        <v>41</v>
      </c>
      <c r="AA1299" s="9" t="s">
        <v>42</v>
      </c>
      <c r="AB1299" s="7" t="s">
        <v>42</v>
      </c>
    </row>
    <row r="1300" spans="1:28">
      <c r="A1300" s="8">
        <v>1293</v>
      </c>
      <c r="B1300" s="8" t="s">
        <v>1615</v>
      </c>
      <c r="C1300" s="8" t="s">
        <v>1576</v>
      </c>
      <c r="D1300" s="8" t="s">
        <v>652</v>
      </c>
      <c r="E1300" s="8" t="s">
        <v>33</v>
      </c>
      <c r="F1300" s="6" t="s">
        <v>50</v>
      </c>
      <c r="G1300" s="6" t="s">
        <v>63</v>
      </c>
      <c r="H1300" s="6" t="s">
        <v>148</v>
      </c>
      <c r="I1300" s="8">
        <v>164</v>
      </c>
      <c r="J1300" s="8" t="s">
        <v>1545</v>
      </c>
      <c r="K1300" s="8" t="s">
        <v>38</v>
      </c>
      <c r="L1300" s="10">
        <v>1</v>
      </c>
      <c r="M1300" s="13">
        <v>9000.0</v>
      </c>
      <c r="N1300" s="13"/>
      <c r="O1300" s="15">
        <f>IF(M1300&gt;0, N1300/M1300, 0)</f>
        <v>0</v>
      </c>
      <c r="P1300" s="13">
        <f>M1300-N1300</f>
        <v>9000</v>
      </c>
      <c r="Q1300" s="13">
        <f>L1300*M1300</f>
        <v>9000</v>
      </c>
      <c r="R1300" s="13">
        <f>L1300*N1300</f>
        <v>0</v>
      </c>
      <c r="S1300" s="13">
        <f>L1300*P1300</f>
        <v>9000</v>
      </c>
      <c r="T1300" s="13"/>
      <c r="U1300" s="13">
        <f>L1300*T1300</f>
        <v>0</v>
      </c>
      <c r="V1300" s="13">
        <f>S1300-U1300</f>
        <v>9000</v>
      </c>
      <c r="W1300" s="15">
        <f>IF(S1300&gt;0, V1300/S1300, 0)</f>
        <v>1</v>
      </c>
      <c r="X1300" s="6" t="s">
        <v>39</v>
      </c>
      <c r="Y1300" s="8" t="s">
        <v>40</v>
      </c>
      <c r="Z1300" s="8" t="s">
        <v>41</v>
      </c>
      <c r="AA1300" s="8" t="s">
        <v>42</v>
      </c>
      <c r="AB1300" s="6" t="s">
        <v>42</v>
      </c>
    </row>
    <row r="1301" spans="1:28">
      <c r="A1301" s="9">
        <v>1294</v>
      </c>
      <c r="B1301" s="9" t="s">
        <v>1616</v>
      </c>
      <c r="C1301" s="9" t="s">
        <v>1576</v>
      </c>
      <c r="D1301" s="9" t="s">
        <v>652</v>
      </c>
      <c r="E1301" s="9" t="s">
        <v>33</v>
      </c>
      <c r="F1301" s="7" t="s">
        <v>34</v>
      </c>
      <c r="G1301" s="7" t="s">
        <v>45</v>
      </c>
      <c r="H1301" s="7" t="s">
        <v>46</v>
      </c>
      <c r="I1301" s="9">
        <v>170</v>
      </c>
      <c r="J1301" s="9" t="s">
        <v>181</v>
      </c>
      <c r="K1301" s="9" t="s">
        <v>38</v>
      </c>
      <c r="L1301" s="11">
        <v>1</v>
      </c>
      <c r="M1301" s="14">
        <v>18000.0</v>
      </c>
      <c r="N1301" s="14"/>
      <c r="O1301" s="16">
        <f>IF(M1301&gt;0, N1301/M1301, 0)</f>
        <v>0</v>
      </c>
      <c r="P1301" s="14">
        <f>M1301-N1301</f>
        <v>18000</v>
      </c>
      <c r="Q1301" s="14">
        <f>L1301*M1301</f>
        <v>18000</v>
      </c>
      <c r="R1301" s="14">
        <f>L1301*N1301</f>
        <v>0</v>
      </c>
      <c r="S1301" s="14">
        <f>L1301*P1301</f>
        <v>18000</v>
      </c>
      <c r="T1301" s="14"/>
      <c r="U1301" s="14">
        <f>L1301*T1301</f>
        <v>0</v>
      </c>
      <c r="V1301" s="14">
        <f>S1301-U1301</f>
        <v>18000</v>
      </c>
      <c r="W1301" s="16">
        <f>IF(S1301&gt;0, V1301/S1301, 0)</f>
        <v>1</v>
      </c>
      <c r="X1301" s="7" t="s">
        <v>39</v>
      </c>
      <c r="Y1301" s="9" t="s">
        <v>40</v>
      </c>
      <c r="Z1301" s="9" t="s">
        <v>41</v>
      </c>
      <c r="AA1301" s="9" t="s">
        <v>42</v>
      </c>
      <c r="AB1301" s="7" t="s">
        <v>42</v>
      </c>
    </row>
    <row r="1302" spans="1:28">
      <c r="A1302" s="8">
        <v>1295</v>
      </c>
      <c r="B1302" s="8" t="s">
        <v>1617</v>
      </c>
      <c r="C1302" s="8" t="s">
        <v>1576</v>
      </c>
      <c r="D1302" s="8" t="s">
        <v>652</v>
      </c>
      <c r="E1302" s="8" t="s">
        <v>33</v>
      </c>
      <c r="F1302" s="6" t="s">
        <v>50</v>
      </c>
      <c r="G1302" s="6" t="s">
        <v>35</v>
      </c>
      <c r="H1302" s="6" t="s">
        <v>36</v>
      </c>
      <c r="I1302" s="8">
        <v>170</v>
      </c>
      <c r="J1302" s="8" t="s">
        <v>642</v>
      </c>
      <c r="K1302" s="8" t="s">
        <v>53</v>
      </c>
      <c r="L1302" s="10">
        <v>2</v>
      </c>
      <c r="M1302" s="13">
        <v>7000.0</v>
      </c>
      <c r="N1302" s="13"/>
      <c r="O1302" s="15">
        <f>IF(M1302&gt;0, N1302/M1302, 0)</f>
        <v>0</v>
      </c>
      <c r="P1302" s="13">
        <f>M1302-N1302</f>
        <v>7000</v>
      </c>
      <c r="Q1302" s="13">
        <f>L1302*M1302</f>
        <v>14000</v>
      </c>
      <c r="R1302" s="13">
        <f>L1302*N1302</f>
        <v>0</v>
      </c>
      <c r="S1302" s="13">
        <f>L1302*P1302</f>
        <v>14000</v>
      </c>
      <c r="T1302" s="13"/>
      <c r="U1302" s="13">
        <f>L1302*T1302</f>
        <v>0</v>
      </c>
      <c r="V1302" s="13">
        <f>S1302-U1302</f>
        <v>14000</v>
      </c>
      <c r="W1302" s="15">
        <f>IF(S1302&gt;0, V1302/S1302, 0)</f>
        <v>1</v>
      </c>
      <c r="X1302" s="6" t="s">
        <v>39</v>
      </c>
      <c r="Y1302" s="8" t="s">
        <v>40</v>
      </c>
      <c r="Z1302" s="8" t="s">
        <v>41</v>
      </c>
      <c r="AA1302" s="8" t="s">
        <v>42</v>
      </c>
      <c r="AB1302" s="6" t="s">
        <v>42</v>
      </c>
    </row>
    <row r="1303" spans="1:28">
      <c r="A1303" s="9">
        <v>1296</v>
      </c>
      <c r="B1303" s="9" t="s">
        <v>1618</v>
      </c>
      <c r="C1303" s="9" t="s">
        <v>1576</v>
      </c>
      <c r="D1303" s="9" t="s">
        <v>652</v>
      </c>
      <c r="E1303" s="9" t="s">
        <v>33</v>
      </c>
      <c r="F1303" s="7" t="s">
        <v>50</v>
      </c>
      <c r="G1303" s="7" t="s">
        <v>69</v>
      </c>
      <c r="H1303" s="7" t="s">
        <v>69</v>
      </c>
      <c r="I1303" s="9">
        <v>134</v>
      </c>
      <c r="J1303" s="9" t="s">
        <v>209</v>
      </c>
      <c r="K1303" s="9" t="s">
        <v>38</v>
      </c>
      <c r="L1303" s="11">
        <v>2</v>
      </c>
      <c r="M1303" s="14">
        <v>17000.0</v>
      </c>
      <c r="N1303" s="14"/>
      <c r="O1303" s="16">
        <f>IF(M1303&gt;0, N1303/M1303, 0)</f>
        <v>0</v>
      </c>
      <c r="P1303" s="14">
        <f>M1303-N1303</f>
        <v>17000</v>
      </c>
      <c r="Q1303" s="14">
        <f>L1303*M1303</f>
        <v>34000</v>
      </c>
      <c r="R1303" s="14">
        <f>L1303*N1303</f>
        <v>0</v>
      </c>
      <c r="S1303" s="14">
        <f>L1303*P1303</f>
        <v>34000</v>
      </c>
      <c r="T1303" s="14"/>
      <c r="U1303" s="14">
        <f>L1303*T1303</f>
        <v>0</v>
      </c>
      <c r="V1303" s="14">
        <f>S1303-U1303</f>
        <v>34000</v>
      </c>
      <c r="W1303" s="16">
        <f>IF(S1303&gt;0, V1303/S1303, 0)</f>
        <v>1</v>
      </c>
      <c r="X1303" s="7" t="s">
        <v>39</v>
      </c>
      <c r="Y1303" s="9" t="s">
        <v>40</v>
      </c>
      <c r="Z1303" s="9" t="s">
        <v>41</v>
      </c>
      <c r="AA1303" s="9" t="s">
        <v>42</v>
      </c>
      <c r="AB1303" s="7" t="s">
        <v>42</v>
      </c>
    </row>
    <row r="1304" spans="1:28">
      <c r="A1304" s="8">
        <v>1297</v>
      </c>
      <c r="B1304" s="8" t="s">
        <v>1619</v>
      </c>
      <c r="C1304" s="8" t="s">
        <v>1576</v>
      </c>
      <c r="D1304" s="8" t="s">
        <v>652</v>
      </c>
      <c r="E1304" s="8" t="s">
        <v>33</v>
      </c>
      <c r="F1304" s="6" t="s">
        <v>50</v>
      </c>
      <c r="G1304" s="6" t="s">
        <v>35</v>
      </c>
      <c r="H1304" s="6" t="s">
        <v>36</v>
      </c>
      <c r="I1304" s="8">
        <v>116</v>
      </c>
      <c r="J1304" s="8" t="s">
        <v>92</v>
      </c>
      <c r="K1304" s="8" t="s">
        <v>53</v>
      </c>
      <c r="L1304" s="10">
        <v>1</v>
      </c>
      <c r="M1304" s="13">
        <v>7000.0</v>
      </c>
      <c r="N1304" s="13"/>
      <c r="O1304" s="15">
        <f>IF(M1304&gt;0, N1304/M1304, 0)</f>
        <v>0</v>
      </c>
      <c r="P1304" s="13">
        <f>M1304-N1304</f>
        <v>7000</v>
      </c>
      <c r="Q1304" s="13">
        <f>L1304*M1304</f>
        <v>7000</v>
      </c>
      <c r="R1304" s="13">
        <f>L1304*N1304</f>
        <v>0</v>
      </c>
      <c r="S1304" s="13">
        <f>L1304*P1304</f>
        <v>7000</v>
      </c>
      <c r="T1304" s="13"/>
      <c r="U1304" s="13">
        <f>L1304*T1304</f>
        <v>0</v>
      </c>
      <c r="V1304" s="13">
        <f>S1304-U1304</f>
        <v>7000</v>
      </c>
      <c r="W1304" s="15">
        <f>IF(S1304&gt;0, V1304/S1304, 0)</f>
        <v>1</v>
      </c>
      <c r="X1304" s="6" t="s">
        <v>39</v>
      </c>
      <c r="Y1304" s="8" t="s">
        <v>40</v>
      </c>
      <c r="Z1304" s="8" t="s">
        <v>41</v>
      </c>
      <c r="AA1304" s="8" t="s">
        <v>42</v>
      </c>
      <c r="AB1304" s="6" t="s">
        <v>42</v>
      </c>
    </row>
    <row r="1305" spans="1:28">
      <c r="A1305" s="9">
        <v>1298</v>
      </c>
      <c r="B1305" s="9" t="s">
        <v>1620</v>
      </c>
      <c r="C1305" s="9" t="s">
        <v>1576</v>
      </c>
      <c r="D1305" s="9" t="s">
        <v>652</v>
      </c>
      <c r="E1305" s="9" t="s">
        <v>33</v>
      </c>
      <c r="F1305" s="7" t="s">
        <v>50</v>
      </c>
      <c r="G1305" s="7" t="s">
        <v>63</v>
      </c>
      <c r="H1305" s="7" t="s">
        <v>148</v>
      </c>
      <c r="I1305" s="9">
        <v>110</v>
      </c>
      <c r="J1305" s="9" t="s">
        <v>228</v>
      </c>
      <c r="K1305" s="9" t="s">
        <v>38</v>
      </c>
      <c r="L1305" s="11">
        <v>1</v>
      </c>
      <c r="M1305" s="14">
        <v>9000.0</v>
      </c>
      <c r="N1305" s="14"/>
      <c r="O1305" s="16">
        <f>IF(M1305&gt;0, N1305/M1305, 0)</f>
        <v>0</v>
      </c>
      <c r="P1305" s="14">
        <f>M1305-N1305</f>
        <v>9000</v>
      </c>
      <c r="Q1305" s="14">
        <f>L1305*M1305</f>
        <v>9000</v>
      </c>
      <c r="R1305" s="14">
        <f>L1305*N1305</f>
        <v>0</v>
      </c>
      <c r="S1305" s="14">
        <f>L1305*P1305</f>
        <v>9000</v>
      </c>
      <c r="T1305" s="14"/>
      <c r="U1305" s="14">
        <f>L1305*T1305</f>
        <v>0</v>
      </c>
      <c r="V1305" s="14">
        <f>S1305-U1305</f>
        <v>9000</v>
      </c>
      <c r="W1305" s="16">
        <f>IF(S1305&gt;0, V1305/S1305, 0)</f>
        <v>1</v>
      </c>
      <c r="X1305" s="7" t="s">
        <v>39</v>
      </c>
      <c r="Y1305" s="9" t="s">
        <v>40</v>
      </c>
      <c r="Z1305" s="9" t="s">
        <v>41</v>
      </c>
      <c r="AA1305" s="9" t="s">
        <v>42</v>
      </c>
      <c r="AB1305" s="7" t="s">
        <v>42</v>
      </c>
    </row>
    <row r="1306" spans="1:28">
      <c r="A1306" s="8">
        <v>1299</v>
      </c>
      <c r="B1306" s="8" t="s">
        <v>1621</v>
      </c>
      <c r="C1306" s="8" t="s">
        <v>1576</v>
      </c>
      <c r="D1306" s="8" t="s">
        <v>652</v>
      </c>
      <c r="E1306" s="8" t="s">
        <v>33</v>
      </c>
      <c r="F1306" s="6" t="s">
        <v>50</v>
      </c>
      <c r="G1306" s="6" t="s">
        <v>69</v>
      </c>
      <c r="H1306" s="6" t="s">
        <v>69</v>
      </c>
      <c r="I1306" s="8">
        <v>116</v>
      </c>
      <c r="J1306" s="8" t="s">
        <v>87</v>
      </c>
      <c r="K1306" s="8" t="s">
        <v>38</v>
      </c>
      <c r="L1306" s="10">
        <v>1</v>
      </c>
      <c r="M1306" s="13">
        <v>16000.0</v>
      </c>
      <c r="N1306" s="13"/>
      <c r="O1306" s="15">
        <f>IF(M1306&gt;0, N1306/M1306, 0)</f>
        <v>0</v>
      </c>
      <c r="P1306" s="13">
        <f>M1306-N1306</f>
        <v>16000</v>
      </c>
      <c r="Q1306" s="13">
        <f>L1306*M1306</f>
        <v>16000</v>
      </c>
      <c r="R1306" s="13">
        <f>L1306*N1306</f>
        <v>0</v>
      </c>
      <c r="S1306" s="13">
        <f>L1306*P1306</f>
        <v>16000</v>
      </c>
      <c r="T1306" s="13"/>
      <c r="U1306" s="13">
        <f>L1306*T1306</f>
        <v>0</v>
      </c>
      <c r="V1306" s="13">
        <f>S1306-U1306</f>
        <v>16000</v>
      </c>
      <c r="W1306" s="15">
        <f>IF(S1306&gt;0, V1306/S1306, 0)</f>
        <v>1</v>
      </c>
      <c r="X1306" s="6" t="s">
        <v>39</v>
      </c>
      <c r="Y1306" s="8" t="s">
        <v>40</v>
      </c>
      <c r="Z1306" s="8" t="s">
        <v>41</v>
      </c>
      <c r="AA1306" s="8" t="s">
        <v>42</v>
      </c>
      <c r="AB1306" s="6" t="s">
        <v>42</v>
      </c>
    </row>
    <row r="1307" spans="1:28">
      <c r="A1307" s="9">
        <v>1300</v>
      </c>
      <c r="B1307" s="9" t="s">
        <v>1622</v>
      </c>
      <c r="C1307" s="9" t="s">
        <v>1576</v>
      </c>
      <c r="D1307" s="9" t="s">
        <v>652</v>
      </c>
      <c r="E1307" s="9" t="s">
        <v>33</v>
      </c>
      <c r="F1307" s="7" t="s">
        <v>50</v>
      </c>
      <c r="G1307" s="7" t="s">
        <v>51</v>
      </c>
      <c r="H1307" s="7" t="s">
        <v>51</v>
      </c>
      <c r="I1307" s="9">
        <v>134</v>
      </c>
      <c r="J1307" s="9" t="s">
        <v>175</v>
      </c>
      <c r="K1307" s="9" t="s">
        <v>53</v>
      </c>
      <c r="L1307" s="11">
        <v>2</v>
      </c>
      <c r="M1307" s="14">
        <v>8000.0</v>
      </c>
      <c r="N1307" s="14"/>
      <c r="O1307" s="16">
        <f>IF(M1307&gt;0, N1307/M1307, 0)</f>
        <v>0</v>
      </c>
      <c r="P1307" s="14">
        <f>M1307-N1307</f>
        <v>8000</v>
      </c>
      <c r="Q1307" s="14">
        <f>L1307*M1307</f>
        <v>16000</v>
      </c>
      <c r="R1307" s="14">
        <f>L1307*N1307</f>
        <v>0</v>
      </c>
      <c r="S1307" s="14">
        <f>L1307*P1307</f>
        <v>16000</v>
      </c>
      <c r="T1307" s="14"/>
      <c r="U1307" s="14">
        <f>L1307*T1307</f>
        <v>0</v>
      </c>
      <c r="V1307" s="14">
        <f>S1307-U1307</f>
        <v>16000</v>
      </c>
      <c r="W1307" s="16">
        <f>IF(S1307&gt;0, V1307/S1307, 0)</f>
        <v>1</v>
      </c>
      <c r="X1307" s="7" t="s">
        <v>39</v>
      </c>
      <c r="Y1307" s="9" t="s">
        <v>40</v>
      </c>
      <c r="Z1307" s="9" t="s">
        <v>41</v>
      </c>
      <c r="AA1307" s="9" t="s">
        <v>42</v>
      </c>
      <c r="AB1307" s="7" t="s">
        <v>42</v>
      </c>
    </row>
    <row r="1308" spans="1:28">
      <c r="A1308" s="8">
        <v>1301</v>
      </c>
      <c r="B1308" s="8" t="s">
        <v>1623</v>
      </c>
      <c r="C1308" s="8" t="s">
        <v>1576</v>
      </c>
      <c r="D1308" s="8" t="s">
        <v>652</v>
      </c>
      <c r="E1308" s="8" t="s">
        <v>33</v>
      </c>
      <c r="F1308" s="6" t="s">
        <v>50</v>
      </c>
      <c r="G1308" s="6" t="s">
        <v>35</v>
      </c>
      <c r="H1308" s="6" t="s">
        <v>36</v>
      </c>
      <c r="I1308" s="8">
        <v>140</v>
      </c>
      <c r="J1308" s="8" t="s">
        <v>223</v>
      </c>
      <c r="K1308" s="8" t="s">
        <v>53</v>
      </c>
      <c r="L1308" s="10">
        <v>1</v>
      </c>
      <c r="M1308" s="13">
        <v>7000.0</v>
      </c>
      <c r="N1308" s="13"/>
      <c r="O1308" s="15">
        <f>IF(M1308&gt;0, N1308/M1308, 0)</f>
        <v>0</v>
      </c>
      <c r="P1308" s="13">
        <f>M1308-N1308</f>
        <v>7000</v>
      </c>
      <c r="Q1308" s="13">
        <f>L1308*M1308</f>
        <v>7000</v>
      </c>
      <c r="R1308" s="13">
        <f>L1308*N1308</f>
        <v>0</v>
      </c>
      <c r="S1308" s="13">
        <f>L1308*P1308</f>
        <v>7000</v>
      </c>
      <c r="T1308" s="13"/>
      <c r="U1308" s="13">
        <f>L1308*T1308</f>
        <v>0</v>
      </c>
      <c r="V1308" s="13">
        <f>S1308-U1308</f>
        <v>7000</v>
      </c>
      <c r="W1308" s="15">
        <f>IF(S1308&gt;0, V1308/S1308, 0)</f>
        <v>1</v>
      </c>
      <c r="X1308" s="6" t="s">
        <v>39</v>
      </c>
      <c r="Y1308" s="8" t="s">
        <v>40</v>
      </c>
      <c r="Z1308" s="8" t="s">
        <v>41</v>
      </c>
      <c r="AA1308" s="8" t="s">
        <v>42</v>
      </c>
      <c r="AB1308" s="6" t="s">
        <v>42</v>
      </c>
    </row>
    <row r="1309" spans="1:28">
      <c r="A1309" s="9">
        <v>1302</v>
      </c>
      <c r="B1309" s="9" t="s">
        <v>1624</v>
      </c>
      <c r="C1309" s="9" t="s">
        <v>1625</v>
      </c>
      <c r="D1309" s="9" t="s">
        <v>652</v>
      </c>
      <c r="E1309" s="9" t="s">
        <v>33</v>
      </c>
      <c r="F1309" s="7" t="s">
        <v>50</v>
      </c>
      <c r="G1309" s="7" t="s">
        <v>35</v>
      </c>
      <c r="H1309" s="7" t="s">
        <v>36</v>
      </c>
      <c r="I1309" s="9">
        <v>134</v>
      </c>
      <c r="J1309" s="9" t="s">
        <v>177</v>
      </c>
      <c r="K1309" s="9" t="s">
        <v>53</v>
      </c>
      <c r="L1309" s="11">
        <v>1</v>
      </c>
      <c r="M1309" s="14">
        <v>7000.0</v>
      </c>
      <c r="N1309" s="14"/>
      <c r="O1309" s="16">
        <f>IF(M1309&gt;0, N1309/M1309, 0)</f>
        <v>0</v>
      </c>
      <c r="P1309" s="14">
        <f>M1309-N1309</f>
        <v>7000</v>
      </c>
      <c r="Q1309" s="14">
        <f>L1309*M1309</f>
        <v>7000</v>
      </c>
      <c r="R1309" s="14">
        <f>L1309*N1309</f>
        <v>0</v>
      </c>
      <c r="S1309" s="14">
        <f>L1309*P1309</f>
        <v>7000</v>
      </c>
      <c r="T1309" s="14"/>
      <c r="U1309" s="14">
        <f>L1309*T1309</f>
        <v>0</v>
      </c>
      <c r="V1309" s="14">
        <f>S1309-U1309</f>
        <v>7000</v>
      </c>
      <c r="W1309" s="16">
        <f>IF(S1309&gt;0, V1309/S1309, 0)</f>
        <v>1</v>
      </c>
      <c r="X1309" s="7" t="s">
        <v>39</v>
      </c>
      <c r="Y1309" s="9" t="s">
        <v>40</v>
      </c>
      <c r="Z1309" s="9" t="s">
        <v>41</v>
      </c>
      <c r="AA1309" s="9" t="s">
        <v>42</v>
      </c>
      <c r="AB1309" s="7" t="s">
        <v>42</v>
      </c>
    </row>
    <row r="1310" spans="1:28">
      <c r="A1310" s="8">
        <v>1303</v>
      </c>
      <c r="B1310" s="8" t="s">
        <v>1626</v>
      </c>
      <c r="C1310" s="8" t="s">
        <v>1625</v>
      </c>
      <c r="D1310" s="8" t="s">
        <v>652</v>
      </c>
      <c r="E1310" s="8" t="s">
        <v>33</v>
      </c>
      <c r="F1310" s="6" t="s">
        <v>34</v>
      </c>
      <c r="G1310" s="6" t="s">
        <v>35</v>
      </c>
      <c r="H1310" s="6" t="s">
        <v>36</v>
      </c>
      <c r="I1310" s="8">
        <v>164</v>
      </c>
      <c r="J1310" s="8" t="s">
        <v>77</v>
      </c>
      <c r="K1310" s="8" t="s">
        <v>38</v>
      </c>
      <c r="L1310" s="10">
        <v>1</v>
      </c>
      <c r="M1310" s="13">
        <v>8000.0</v>
      </c>
      <c r="N1310" s="13"/>
      <c r="O1310" s="15">
        <f>IF(M1310&gt;0, N1310/M1310, 0)</f>
        <v>0</v>
      </c>
      <c r="P1310" s="13">
        <f>M1310-N1310</f>
        <v>8000</v>
      </c>
      <c r="Q1310" s="13">
        <f>L1310*M1310</f>
        <v>8000</v>
      </c>
      <c r="R1310" s="13">
        <f>L1310*N1310</f>
        <v>0</v>
      </c>
      <c r="S1310" s="13">
        <f>L1310*P1310</f>
        <v>8000</v>
      </c>
      <c r="T1310" s="13"/>
      <c r="U1310" s="13">
        <f>L1310*T1310</f>
        <v>0</v>
      </c>
      <c r="V1310" s="13">
        <f>S1310-U1310</f>
        <v>8000</v>
      </c>
      <c r="W1310" s="15">
        <f>IF(S1310&gt;0, V1310/S1310, 0)</f>
        <v>1</v>
      </c>
      <c r="X1310" s="6" t="s">
        <v>39</v>
      </c>
      <c r="Y1310" s="8" t="s">
        <v>40</v>
      </c>
      <c r="Z1310" s="8" t="s">
        <v>41</v>
      </c>
      <c r="AA1310" s="8" t="s">
        <v>42</v>
      </c>
      <c r="AB1310" s="6" t="s">
        <v>42</v>
      </c>
    </row>
    <row r="1311" spans="1:28">
      <c r="A1311" s="9">
        <v>1304</v>
      </c>
      <c r="B1311" s="9" t="s">
        <v>1627</v>
      </c>
      <c r="C1311" s="9" t="s">
        <v>1625</v>
      </c>
      <c r="D1311" s="9" t="s">
        <v>652</v>
      </c>
      <c r="E1311" s="9" t="s">
        <v>33</v>
      </c>
      <c r="F1311" s="7" t="s">
        <v>50</v>
      </c>
      <c r="G1311" s="7" t="s">
        <v>35</v>
      </c>
      <c r="H1311" s="7" t="s">
        <v>36</v>
      </c>
      <c r="I1311" s="9">
        <v>128</v>
      </c>
      <c r="J1311" s="9" t="s">
        <v>156</v>
      </c>
      <c r="K1311" s="9" t="s">
        <v>53</v>
      </c>
      <c r="L1311" s="11">
        <v>1</v>
      </c>
      <c r="M1311" s="14">
        <v>7000.0</v>
      </c>
      <c r="N1311" s="14"/>
      <c r="O1311" s="16">
        <f>IF(M1311&gt;0, N1311/M1311, 0)</f>
        <v>0</v>
      </c>
      <c r="P1311" s="14">
        <f>M1311-N1311</f>
        <v>7000</v>
      </c>
      <c r="Q1311" s="14">
        <f>L1311*M1311</f>
        <v>7000</v>
      </c>
      <c r="R1311" s="14">
        <f>L1311*N1311</f>
        <v>0</v>
      </c>
      <c r="S1311" s="14">
        <f>L1311*P1311</f>
        <v>7000</v>
      </c>
      <c r="T1311" s="14"/>
      <c r="U1311" s="14">
        <f>L1311*T1311</f>
        <v>0</v>
      </c>
      <c r="V1311" s="14">
        <f>S1311-U1311</f>
        <v>7000</v>
      </c>
      <c r="W1311" s="16">
        <f>IF(S1311&gt;0, V1311/S1311, 0)</f>
        <v>1</v>
      </c>
      <c r="X1311" s="7" t="s">
        <v>39</v>
      </c>
      <c r="Y1311" s="9" t="s">
        <v>40</v>
      </c>
      <c r="Z1311" s="9" t="s">
        <v>41</v>
      </c>
      <c r="AA1311" s="9" t="s">
        <v>42</v>
      </c>
      <c r="AB1311" s="7" t="s">
        <v>42</v>
      </c>
    </row>
    <row r="1312" spans="1:28">
      <c r="A1312" s="8">
        <v>1305</v>
      </c>
      <c r="B1312" s="8" t="s">
        <v>1628</v>
      </c>
      <c r="C1312" s="8" t="s">
        <v>1625</v>
      </c>
      <c r="D1312" s="8" t="s">
        <v>652</v>
      </c>
      <c r="E1312" s="8" t="s">
        <v>68</v>
      </c>
      <c r="F1312" s="6" t="s">
        <v>34</v>
      </c>
      <c r="G1312" s="6" t="s">
        <v>69</v>
      </c>
      <c r="H1312" s="6" t="s">
        <v>69</v>
      </c>
      <c r="I1312" s="8">
        <v>164</v>
      </c>
      <c r="J1312" s="8" t="s">
        <v>70</v>
      </c>
      <c r="K1312" s="8" t="s">
        <v>38</v>
      </c>
      <c r="L1312" s="10">
        <v>2</v>
      </c>
      <c r="M1312" s="13">
        <v>18000.0</v>
      </c>
      <c r="N1312" s="13"/>
      <c r="O1312" s="15">
        <f>IF(M1312&gt;0, N1312/M1312, 0)</f>
        <v>0</v>
      </c>
      <c r="P1312" s="13">
        <f>M1312-N1312</f>
        <v>18000</v>
      </c>
      <c r="Q1312" s="13">
        <f>L1312*M1312</f>
        <v>36000</v>
      </c>
      <c r="R1312" s="13">
        <f>L1312*N1312</f>
        <v>0</v>
      </c>
      <c r="S1312" s="13">
        <f>L1312*P1312</f>
        <v>36000</v>
      </c>
      <c r="T1312" s="13"/>
      <c r="U1312" s="13">
        <f>L1312*T1312</f>
        <v>0</v>
      </c>
      <c r="V1312" s="13">
        <f>S1312-U1312</f>
        <v>36000</v>
      </c>
      <c r="W1312" s="15">
        <f>IF(S1312&gt;0, V1312/S1312, 0)</f>
        <v>1</v>
      </c>
      <c r="X1312" s="6" t="s">
        <v>39</v>
      </c>
      <c r="Y1312" s="8" t="s">
        <v>40</v>
      </c>
      <c r="Z1312" s="8" t="s">
        <v>71</v>
      </c>
      <c r="AA1312" s="8" t="s">
        <v>42</v>
      </c>
      <c r="AB1312" s="6" t="s">
        <v>42</v>
      </c>
    </row>
    <row r="1313" spans="1:28">
      <c r="A1313" s="9">
        <v>1306</v>
      </c>
      <c r="B1313" s="9" t="s">
        <v>1629</v>
      </c>
      <c r="C1313" s="9" t="s">
        <v>1625</v>
      </c>
      <c r="D1313" s="9" t="s">
        <v>652</v>
      </c>
      <c r="E1313" s="9" t="s">
        <v>68</v>
      </c>
      <c r="F1313" s="7" t="s">
        <v>34</v>
      </c>
      <c r="G1313" s="7" t="s">
        <v>35</v>
      </c>
      <c r="H1313" s="7" t="s">
        <v>36</v>
      </c>
      <c r="I1313" s="9">
        <v>170</v>
      </c>
      <c r="J1313" s="9" t="s">
        <v>142</v>
      </c>
      <c r="K1313" s="9" t="s">
        <v>38</v>
      </c>
      <c r="L1313" s="11">
        <v>2</v>
      </c>
      <c r="M1313" s="14">
        <v>10000.0</v>
      </c>
      <c r="N1313" s="14"/>
      <c r="O1313" s="16">
        <f>IF(M1313&gt;0, N1313/M1313, 0)</f>
        <v>0</v>
      </c>
      <c r="P1313" s="14">
        <f>M1313-N1313</f>
        <v>10000</v>
      </c>
      <c r="Q1313" s="14">
        <f>L1313*M1313</f>
        <v>20000</v>
      </c>
      <c r="R1313" s="14">
        <f>L1313*N1313</f>
        <v>0</v>
      </c>
      <c r="S1313" s="14">
        <f>L1313*P1313</f>
        <v>20000</v>
      </c>
      <c r="T1313" s="14"/>
      <c r="U1313" s="14">
        <f>L1313*T1313</f>
        <v>0</v>
      </c>
      <c r="V1313" s="14">
        <f>S1313-U1313</f>
        <v>20000</v>
      </c>
      <c r="W1313" s="16">
        <f>IF(S1313&gt;0, V1313/S1313, 0)</f>
        <v>1</v>
      </c>
      <c r="X1313" s="7" t="s">
        <v>39</v>
      </c>
      <c r="Y1313" s="9" t="s">
        <v>40</v>
      </c>
      <c r="Z1313" s="9" t="s">
        <v>71</v>
      </c>
      <c r="AA1313" s="9" t="s">
        <v>42</v>
      </c>
      <c r="AB1313" s="7" t="s">
        <v>42</v>
      </c>
    </row>
    <row r="1314" spans="1:28">
      <c r="A1314" s="8">
        <v>1307</v>
      </c>
      <c r="B1314" s="8" t="s">
        <v>1630</v>
      </c>
      <c r="C1314" s="8" t="s">
        <v>1625</v>
      </c>
      <c r="D1314" s="8" t="s">
        <v>652</v>
      </c>
      <c r="E1314" s="8" t="s">
        <v>33</v>
      </c>
      <c r="F1314" s="6" t="s">
        <v>34</v>
      </c>
      <c r="G1314" s="6" t="s">
        <v>51</v>
      </c>
      <c r="H1314" s="6" t="s">
        <v>51</v>
      </c>
      <c r="I1314" s="8">
        <v>170</v>
      </c>
      <c r="J1314" s="8" t="s">
        <v>1137</v>
      </c>
      <c r="K1314" s="8" t="s">
        <v>38</v>
      </c>
      <c r="L1314" s="10">
        <v>1</v>
      </c>
      <c r="M1314" s="13">
        <v>8500.0</v>
      </c>
      <c r="N1314" s="13"/>
      <c r="O1314" s="15">
        <f>IF(M1314&gt;0, N1314/M1314, 0)</f>
        <v>0</v>
      </c>
      <c r="P1314" s="13">
        <f>M1314-N1314</f>
        <v>8500</v>
      </c>
      <c r="Q1314" s="13">
        <f>L1314*M1314</f>
        <v>8500</v>
      </c>
      <c r="R1314" s="13">
        <f>L1314*N1314</f>
        <v>0</v>
      </c>
      <c r="S1314" s="13">
        <f>L1314*P1314</f>
        <v>8500</v>
      </c>
      <c r="T1314" s="13"/>
      <c r="U1314" s="13">
        <f>L1314*T1314</f>
        <v>0</v>
      </c>
      <c r="V1314" s="13">
        <f>S1314-U1314</f>
        <v>8500</v>
      </c>
      <c r="W1314" s="15">
        <f>IF(S1314&gt;0, V1314/S1314, 0)</f>
        <v>1</v>
      </c>
      <c r="X1314" s="6" t="s">
        <v>39</v>
      </c>
      <c r="Y1314" s="8" t="s">
        <v>40</v>
      </c>
      <c r="Z1314" s="8" t="s">
        <v>41</v>
      </c>
      <c r="AA1314" s="8" t="s">
        <v>42</v>
      </c>
      <c r="AB1314" s="6" t="s">
        <v>42</v>
      </c>
    </row>
    <row r="1315" spans="1:28">
      <c r="A1315" s="9">
        <v>1308</v>
      </c>
      <c r="B1315" s="9" t="s">
        <v>1631</v>
      </c>
      <c r="C1315" s="9" t="s">
        <v>1625</v>
      </c>
      <c r="D1315" s="9" t="s">
        <v>652</v>
      </c>
      <c r="E1315" s="9" t="s">
        <v>33</v>
      </c>
      <c r="F1315" s="7" t="s">
        <v>34</v>
      </c>
      <c r="G1315" s="7" t="s">
        <v>35</v>
      </c>
      <c r="H1315" s="7" t="s">
        <v>36</v>
      </c>
      <c r="I1315" s="9">
        <v>164</v>
      </c>
      <c r="J1315" s="9" t="s">
        <v>77</v>
      </c>
      <c r="K1315" s="9" t="s">
        <v>38</v>
      </c>
      <c r="L1315" s="11">
        <v>2</v>
      </c>
      <c r="M1315" s="14">
        <v>8000.0</v>
      </c>
      <c r="N1315" s="14"/>
      <c r="O1315" s="16">
        <f>IF(M1315&gt;0, N1315/M1315, 0)</f>
        <v>0</v>
      </c>
      <c r="P1315" s="14">
        <f>M1315-N1315</f>
        <v>8000</v>
      </c>
      <c r="Q1315" s="14">
        <f>L1315*M1315</f>
        <v>16000</v>
      </c>
      <c r="R1315" s="14">
        <f>L1315*N1315</f>
        <v>0</v>
      </c>
      <c r="S1315" s="14">
        <f>L1315*P1315</f>
        <v>16000</v>
      </c>
      <c r="T1315" s="14"/>
      <c r="U1315" s="14">
        <f>L1315*T1315</f>
        <v>0</v>
      </c>
      <c r="V1315" s="14">
        <f>S1315-U1315</f>
        <v>16000</v>
      </c>
      <c r="W1315" s="16">
        <f>IF(S1315&gt;0, V1315/S1315, 0)</f>
        <v>1</v>
      </c>
      <c r="X1315" s="7" t="s">
        <v>39</v>
      </c>
      <c r="Y1315" s="9" t="s">
        <v>40</v>
      </c>
      <c r="Z1315" s="9" t="s">
        <v>41</v>
      </c>
      <c r="AA1315" s="9" t="s">
        <v>42</v>
      </c>
      <c r="AB1315" s="7" t="s">
        <v>42</v>
      </c>
    </row>
    <row r="1316" spans="1:28">
      <c r="A1316" s="8">
        <v>1309</v>
      </c>
      <c r="B1316" s="8" t="s">
        <v>1632</v>
      </c>
      <c r="C1316" s="8" t="s">
        <v>1625</v>
      </c>
      <c r="D1316" s="8" t="s">
        <v>652</v>
      </c>
      <c r="E1316" s="8" t="s">
        <v>33</v>
      </c>
      <c r="F1316" s="6" t="s">
        <v>34</v>
      </c>
      <c r="G1316" s="6" t="s">
        <v>35</v>
      </c>
      <c r="H1316" s="6" t="s">
        <v>73</v>
      </c>
      <c r="I1316" s="8">
        <v>164</v>
      </c>
      <c r="J1316" s="8" t="s">
        <v>74</v>
      </c>
      <c r="K1316" s="8" t="s">
        <v>38</v>
      </c>
      <c r="L1316" s="10">
        <v>1</v>
      </c>
      <c r="M1316" s="13">
        <v>9000.0</v>
      </c>
      <c r="N1316" s="13"/>
      <c r="O1316" s="15">
        <f>IF(M1316&gt;0, N1316/M1316, 0)</f>
        <v>0</v>
      </c>
      <c r="P1316" s="13">
        <f>M1316-N1316</f>
        <v>9000</v>
      </c>
      <c r="Q1316" s="13">
        <f>L1316*M1316</f>
        <v>9000</v>
      </c>
      <c r="R1316" s="13">
        <f>L1316*N1316</f>
        <v>0</v>
      </c>
      <c r="S1316" s="13">
        <f>L1316*P1316</f>
        <v>9000</v>
      </c>
      <c r="T1316" s="13"/>
      <c r="U1316" s="13">
        <f>L1316*T1316</f>
        <v>0</v>
      </c>
      <c r="V1316" s="13">
        <f>S1316-U1316</f>
        <v>9000</v>
      </c>
      <c r="W1316" s="15">
        <f>IF(S1316&gt;0, V1316/S1316, 0)</f>
        <v>1</v>
      </c>
      <c r="X1316" s="6" t="s">
        <v>39</v>
      </c>
      <c r="Y1316" s="8" t="s">
        <v>40</v>
      </c>
      <c r="Z1316" s="8" t="s">
        <v>41</v>
      </c>
      <c r="AA1316" s="8" t="s">
        <v>42</v>
      </c>
      <c r="AB1316" s="6" t="s">
        <v>42</v>
      </c>
    </row>
    <row r="1317" spans="1:28">
      <c r="A1317" s="9">
        <v>1310</v>
      </c>
      <c r="B1317" s="9" t="s">
        <v>1633</v>
      </c>
      <c r="C1317" s="9" t="s">
        <v>1625</v>
      </c>
      <c r="D1317" s="9" t="s">
        <v>652</v>
      </c>
      <c r="E1317" s="9" t="s">
        <v>33</v>
      </c>
      <c r="F1317" s="7" t="s">
        <v>34</v>
      </c>
      <c r="G1317" s="7" t="s">
        <v>45</v>
      </c>
      <c r="H1317" s="7" t="s">
        <v>46</v>
      </c>
      <c r="I1317" s="9">
        <v>164</v>
      </c>
      <c r="J1317" s="9" t="s">
        <v>318</v>
      </c>
      <c r="K1317" s="9" t="s">
        <v>38</v>
      </c>
      <c r="L1317" s="11">
        <v>1</v>
      </c>
      <c r="M1317" s="14">
        <v>18000.0</v>
      </c>
      <c r="N1317" s="14"/>
      <c r="O1317" s="16">
        <f>IF(M1317&gt;0, N1317/M1317, 0)</f>
        <v>0</v>
      </c>
      <c r="P1317" s="14">
        <f>M1317-N1317</f>
        <v>18000</v>
      </c>
      <c r="Q1317" s="14">
        <f>L1317*M1317</f>
        <v>18000</v>
      </c>
      <c r="R1317" s="14">
        <f>L1317*N1317</f>
        <v>0</v>
      </c>
      <c r="S1317" s="14">
        <f>L1317*P1317</f>
        <v>18000</v>
      </c>
      <c r="T1317" s="14"/>
      <c r="U1317" s="14">
        <f>L1317*T1317</f>
        <v>0</v>
      </c>
      <c r="V1317" s="14">
        <f>S1317-U1317</f>
        <v>18000</v>
      </c>
      <c r="W1317" s="16">
        <f>IF(S1317&gt;0, V1317/S1317, 0)</f>
        <v>1</v>
      </c>
      <c r="X1317" s="7" t="s">
        <v>39</v>
      </c>
      <c r="Y1317" s="9" t="s">
        <v>40</v>
      </c>
      <c r="Z1317" s="9" t="s">
        <v>41</v>
      </c>
      <c r="AA1317" s="9" t="s">
        <v>42</v>
      </c>
      <c r="AB1317" s="7" t="s">
        <v>42</v>
      </c>
    </row>
    <row r="1318" spans="1:28">
      <c r="A1318" s="8">
        <v>1311</v>
      </c>
      <c r="B1318" s="8" t="s">
        <v>1634</v>
      </c>
      <c r="C1318" s="8" t="s">
        <v>1625</v>
      </c>
      <c r="D1318" s="8" t="s">
        <v>652</v>
      </c>
      <c r="E1318" s="8" t="s">
        <v>68</v>
      </c>
      <c r="F1318" s="6" t="s">
        <v>34</v>
      </c>
      <c r="G1318" s="6" t="s">
        <v>35</v>
      </c>
      <c r="H1318" s="6" t="s">
        <v>36</v>
      </c>
      <c r="I1318" s="8">
        <v>164</v>
      </c>
      <c r="J1318" s="8" t="s">
        <v>77</v>
      </c>
      <c r="K1318" s="8" t="s">
        <v>38</v>
      </c>
      <c r="L1318" s="10">
        <v>2</v>
      </c>
      <c r="M1318" s="13">
        <v>8000.0</v>
      </c>
      <c r="N1318" s="13"/>
      <c r="O1318" s="15">
        <f>IF(M1318&gt;0, N1318/M1318, 0)</f>
        <v>0</v>
      </c>
      <c r="P1318" s="13">
        <f>M1318-N1318</f>
        <v>8000</v>
      </c>
      <c r="Q1318" s="13">
        <f>L1318*M1318</f>
        <v>16000</v>
      </c>
      <c r="R1318" s="13">
        <f>L1318*N1318</f>
        <v>0</v>
      </c>
      <c r="S1318" s="13">
        <f>L1318*P1318</f>
        <v>16000</v>
      </c>
      <c r="T1318" s="13"/>
      <c r="U1318" s="13">
        <f>L1318*T1318</f>
        <v>0</v>
      </c>
      <c r="V1318" s="13">
        <f>S1318-U1318</f>
        <v>16000</v>
      </c>
      <c r="W1318" s="15">
        <f>IF(S1318&gt;0, V1318/S1318, 0)</f>
        <v>1</v>
      </c>
      <c r="X1318" s="6" t="s">
        <v>39</v>
      </c>
      <c r="Y1318" s="8" t="s">
        <v>40</v>
      </c>
      <c r="Z1318" s="8" t="s">
        <v>71</v>
      </c>
      <c r="AA1318" s="8" t="s">
        <v>42</v>
      </c>
      <c r="AB1318" s="6" t="s">
        <v>42</v>
      </c>
    </row>
    <row r="1319" spans="1:28">
      <c r="A1319" s="9">
        <v>1312</v>
      </c>
      <c r="B1319" s="9" t="s">
        <v>1635</v>
      </c>
      <c r="C1319" s="9" t="s">
        <v>1625</v>
      </c>
      <c r="D1319" s="9" t="s">
        <v>652</v>
      </c>
      <c r="E1319" s="9" t="s">
        <v>33</v>
      </c>
      <c r="F1319" s="7" t="s">
        <v>50</v>
      </c>
      <c r="G1319" s="7" t="s">
        <v>45</v>
      </c>
      <c r="H1319" s="7" t="s">
        <v>46</v>
      </c>
      <c r="I1319" s="9">
        <v>122</v>
      </c>
      <c r="J1319" s="9" t="s">
        <v>476</v>
      </c>
      <c r="K1319" s="9" t="s">
        <v>38</v>
      </c>
      <c r="L1319" s="11">
        <v>1</v>
      </c>
      <c r="M1319" s="14">
        <v>18000.0</v>
      </c>
      <c r="N1319" s="14"/>
      <c r="O1319" s="16">
        <f>IF(M1319&gt;0, N1319/M1319, 0)</f>
        <v>0</v>
      </c>
      <c r="P1319" s="14">
        <f>M1319-N1319</f>
        <v>18000</v>
      </c>
      <c r="Q1319" s="14">
        <f>L1319*M1319</f>
        <v>18000</v>
      </c>
      <c r="R1319" s="14">
        <f>L1319*N1319</f>
        <v>0</v>
      </c>
      <c r="S1319" s="14">
        <f>L1319*P1319</f>
        <v>18000</v>
      </c>
      <c r="T1319" s="14"/>
      <c r="U1319" s="14">
        <f>L1319*T1319</f>
        <v>0</v>
      </c>
      <c r="V1319" s="14">
        <f>S1319-U1319</f>
        <v>18000</v>
      </c>
      <c r="W1319" s="16">
        <f>IF(S1319&gt;0, V1319/S1319, 0)</f>
        <v>1</v>
      </c>
      <c r="X1319" s="7" t="s">
        <v>39</v>
      </c>
      <c r="Y1319" s="9" t="s">
        <v>40</v>
      </c>
      <c r="Z1319" s="9" t="s">
        <v>41</v>
      </c>
      <c r="AA1319" s="9" t="s">
        <v>42</v>
      </c>
      <c r="AB1319" s="7" t="s">
        <v>42</v>
      </c>
    </row>
    <row r="1320" spans="1:28">
      <c r="A1320" s="8">
        <v>1313</v>
      </c>
      <c r="B1320" s="8" t="s">
        <v>1636</v>
      </c>
      <c r="C1320" s="8" t="s">
        <v>1625</v>
      </c>
      <c r="D1320" s="8" t="s">
        <v>652</v>
      </c>
      <c r="E1320" s="8" t="s">
        <v>33</v>
      </c>
      <c r="F1320" s="6" t="s">
        <v>50</v>
      </c>
      <c r="G1320" s="6" t="s">
        <v>51</v>
      </c>
      <c r="H1320" s="6" t="s">
        <v>51</v>
      </c>
      <c r="I1320" s="8">
        <v>122</v>
      </c>
      <c r="J1320" s="8" t="s">
        <v>82</v>
      </c>
      <c r="K1320" s="8" t="s">
        <v>53</v>
      </c>
      <c r="L1320" s="10">
        <v>1</v>
      </c>
      <c r="M1320" s="13">
        <v>8000.0</v>
      </c>
      <c r="N1320" s="13"/>
      <c r="O1320" s="15">
        <f>IF(M1320&gt;0, N1320/M1320, 0)</f>
        <v>0</v>
      </c>
      <c r="P1320" s="13">
        <f>M1320-N1320</f>
        <v>8000</v>
      </c>
      <c r="Q1320" s="13">
        <f>L1320*M1320</f>
        <v>8000</v>
      </c>
      <c r="R1320" s="13">
        <f>L1320*N1320</f>
        <v>0</v>
      </c>
      <c r="S1320" s="13">
        <f>L1320*P1320</f>
        <v>8000</v>
      </c>
      <c r="T1320" s="13"/>
      <c r="U1320" s="13">
        <f>L1320*T1320</f>
        <v>0</v>
      </c>
      <c r="V1320" s="13">
        <f>S1320-U1320</f>
        <v>8000</v>
      </c>
      <c r="W1320" s="15">
        <f>IF(S1320&gt;0, V1320/S1320, 0)</f>
        <v>1</v>
      </c>
      <c r="X1320" s="6" t="s">
        <v>39</v>
      </c>
      <c r="Y1320" s="8" t="s">
        <v>40</v>
      </c>
      <c r="Z1320" s="8" t="s">
        <v>41</v>
      </c>
      <c r="AA1320" s="8" t="s">
        <v>42</v>
      </c>
      <c r="AB1320" s="6" t="s">
        <v>42</v>
      </c>
    </row>
    <row r="1321" spans="1:28">
      <c r="A1321" s="9">
        <v>1314</v>
      </c>
      <c r="B1321" s="9" t="s">
        <v>1637</v>
      </c>
      <c r="C1321" s="9" t="s">
        <v>1625</v>
      </c>
      <c r="D1321" s="9" t="s">
        <v>652</v>
      </c>
      <c r="E1321" s="9" t="s">
        <v>33</v>
      </c>
      <c r="F1321" s="7" t="s">
        <v>50</v>
      </c>
      <c r="G1321" s="7" t="s">
        <v>63</v>
      </c>
      <c r="H1321" s="7" t="s">
        <v>148</v>
      </c>
      <c r="I1321" s="9">
        <v>122</v>
      </c>
      <c r="J1321" s="9" t="s">
        <v>241</v>
      </c>
      <c r="K1321" s="9" t="s">
        <v>38</v>
      </c>
      <c r="L1321" s="11">
        <v>1</v>
      </c>
      <c r="M1321" s="14">
        <v>9000.0</v>
      </c>
      <c r="N1321" s="14"/>
      <c r="O1321" s="16">
        <f>IF(M1321&gt;0, N1321/M1321, 0)</f>
        <v>0</v>
      </c>
      <c r="P1321" s="14">
        <f>M1321-N1321</f>
        <v>9000</v>
      </c>
      <c r="Q1321" s="14">
        <f>L1321*M1321</f>
        <v>9000</v>
      </c>
      <c r="R1321" s="14">
        <f>L1321*N1321</f>
        <v>0</v>
      </c>
      <c r="S1321" s="14">
        <f>L1321*P1321</f>
        <v>9000</v>
      </c>
      <c r="T1321" s="14"/>
      <c r="U1321" s="14">
        <f>L1321*T1321</f>
        <v>0</v>
      </c>
      <c r="V1321" s="14">
        <f>S1321-U1321</f>
        <v>9000</v>
      </c>
      <c r="W1321" s="16">
        <f>IF(S1321&gt;0, V1321/S1321, 0)</f>
        <v>1</v>
      </c>
      <c r="X1321" s="7" t="s">
        <v>39</v>
      </c>
      <c r="Y1321" s="9" t="s">
        <v>40</v>
      </c>
      <c r="Z1321" s="9" t="s">
        <v>41</v>
      </c>
      <c r="AA1321" s="9" t="s">
        <v>42</v>
      </c>
      <c r="AB1321" s="7" t="s">
        <v>42</v>
      </c>
    </row>
    <row r="1322" spans="1:28">
      <c r="A1322" s="8">
        <v>1315</v>
      </c>
      <c r="B1322" s="8" t="s">
        <v>1638</v>
      </c>
      <c r="C1322" s="8" t="s">
        <v>1625</v>
      </c>
      <c r="D1322" s="8" t="s">
        <v>652</v>
      </c>
      <c r="E1322" s="8" t="s">
        <v>33</v>
      </c>
      <c r="F1322" s="6" t="s">
        <v>50</v>
      </c>
      <c r="G1322" s="6" t="s">
        <v>35</v>
      </c>
      <c r="H1322" s="6" t="s">
        <v>73</v>
      </c>
      <c r="I1322" s="8">
        <v>122</v>
      </c>
      <c r="J1322" s="8" t="s">
        <v>102</v>
      </c>
      <c r="K1322" s="8" t="s">
        <v>53</v>
      </c>
      <c r="L1322" s="10">
        <v>2</v>
      </c>
      <c r="M1322" s="13">
        <v>8000.0</v>
      </c>
      <c r="N1322" s="13"/>
      <c r="O1322" s="15">
        <f>IF(M1322&gt;0, N1322/M1322, 0)</f>
        <v>0</v>
      </c>
      <c r="P1322" s="13">
        <f>M1322-N1322</f>
        <v>8000</v>
      </c>
      <c r="Q1322" s="13">
        <f>L1322*M1322</f>
        <v>16000</v>
      </c>
      <c r="R1322" s="13">
        <f>L1322*N1322</f>
        <v>0</v>
      </c>
      <c r="S1322" s="13">
        <f>L1322*P1322</f>
        <v>16000</v>
      </c>
      <c r="T1322" s="13"/>
      <c r="U1322" s="13">
        <f>L1322*T1322</f>
        <v>0</v>
      </c>
      <c r="V1322" s="13">
        <f>S1322-U1322</f>
        <v>16000</v>
      </c>
      <c r="W1322" s="15">
        <f>IF(S1322&gt;0, V1322/S1322, 0)</f>
        <v>1</v>
      </c>
      <c r="X1322" s="6" t="s">
        <v>39</v>
      </c>
      <c r="Y1322" s="8" t="s">
        <v>40</v>
      </c>
      <c r="Z1322" s="8" t="s">
        <v>41</v>
      </c>
      <c r="AA1322" s="8" t="s">
        <v>42</v>
      </c>
      <c r="AB1322" s="6" t="s">
        <v>42</v>
      </c>
    </row>
    <row r="1323" spans="1:28">
      <c r="A1323" s="9">
        <v>1316</v>
      </c>
      <c r="B1323" s="9" t="s">
        <v>1639</v>
      </c>
      <c r="C1323" s="9" t="s">
        <v>1625</v>
      </c>
      <c r="D1323" s="9" t="s">
        <v>652</v>
      </c>
      <c r="E1323" s="9" t="s">
        <v>33</v>
      </c>
      <c r="F1323" s="7" t="s">
        <v>50</v>
      </c>
      <c r="G1323" s="7" t="s">
        <v>35</v>
      </c>
      <c r="H1323" s="7" t="s">
        <v>36</v>
      </c>
      <c r="I1323" s="9">
        <v>122</v>
      </c>
      <c r="J1323" s="9" t="s">
        <v>105</v>
      </c>
      <c r="K1323" s="9" t="s">
        <v>53</v>
      </c>
      <c r="L1323" s="11">
        <v>2</v>
      </c>
      <c r="M1323" s="14">
        <v>7000.0</v>
      </c>
      <c r="N1323" s="14"/>
      <c r="O1323" s="16">
        <f>IF(M1323&gt;0, N1323/M1323, 0)</f>
        <v>0</v>
      </c>
      <c r="P1323" s="14">
        <f>M1323-N1323</f>
        <v>7000</v>
      </c>
      <c r="Q1323" s="14">
        <f>L1323*M1323</f>
        <v>14000</v>
      </c>
      <c r="R1323" s="14">
        <f>L1323*N1323</f>
        <v>0</v>
      </c>
      <c r="S1323" s="14">
        <f>L1323*P1323</f>
        <v>14000</v>
      </c>
      <c r="T1323" s="14"/>
      <c r="U1323" s="14">
        <f>L1323*T1323</f>
        <v>0</v>
      </c>
      <c r="V1323" s="14">
        <f>S1323-U1323</f>
        <v>14000</v>
      </c>
      <c r="W1323" s="16">
        <f>IF(S1323&gt;0, V1323/S1323, 0)</f>
        <v>1</v>
      </c>
      <c r="X1323" s="7" t="s">
        <v>39</v>
      </c>
      <c r="Y1323" s="9" t="s">
        <v>40</v>
      </c>
      <c r="Z1323" s="9" t="s">
        <v>41</v>
      </c>
      <c r="AA1323" s="9" t="s">
        <v>42</v>
      </c>
      <c r="AB1323" s="7" t="s">
        <v>42</v>
      </c>
    </row>
    <row r="1324" spans="1:28">
      <c r="A1324" s="8">
        <v>1317</v>
      </c>
      <c r="B1324" s="8" t="s">
        <v>1640</v>
      </c>
      <c r="C1324" s="8" t="s">
        <v>1625</v>
      </c>
      <c r="D1324" s="8" t="s">
        <v>652</v>
      </c>
      <c r="E1324" s="8" t="s">
        <v>33</v>
      </c>
      <c r="F1324" s="6" t="s">
        <v>50</v>
      </c>
      <c r="G1324" s="6" t="s">
        <v>56</v>
      </c>
      <c r="H1324" s="6" t="s">
        <v>56</v>
      </c>
      <c r="I1324" s="8">
        <v>164</v>
      </c>
      <c r="J1324" s="8" t="s">
        <v>409</v>
      </c>
      <c r="K1324" s="8" t="s">
        <v>38</v>
      </c>
      <c r="L1324" s="10">
        <v>1</v>
      </c>
      <c r="M1324" s="13">
        <v>7500.0</v>
      </c>
      <c r="N1324" s="13"/>
      <c r="O1324" s="15">
        <f>IF(M1324&gt;0, N1324/M1324, 0)</f>
        <v>0</v>
      </c>
      <c r="P1324" s="13">
        <f>M1324-N1324</f>
        <v>7500</v>
      </c>
      <c r="Q1324" s="13">
        <f>L1324*M1324</f>
        <v>7500</v>
      </c>
      <c r="R1324" s="13">
        <f>L1324*N1324</f>
        <v>0</v>
      </c>
      <c r="S1324" s="13">
        <f>L1324*P1324</f>
        <v>7500</v>
      </c>
      <c r="T1324" s="13"/>
      <c r="U1324" s="13">
        <f>L1324*T1324</f>
        <v>0</v>
      </c>
      <c r="V1324" s="13">
        <f>S1324-U1324</f>
        <v>7500</v>
      </c>
      <c r="W1324" s="15">
        <f>IF(S1324&gt;0, V1324/S1324, 0)</f>
        <v>1</v>
      </c>
      <c r="X1324" s="6" t="s">
        <v>39</v>
      </c>
      <c r="Y1324" s="8" t="s">
        <v>40</v>
      </c>
      <c r="Z1324" s="8" t="s">
        <v>41</v>
      </c>
      <c r="AA1324" s="8" t="s">
        <v>42</v>
      </c>
      <c r="AB1324" s="6" t="s">
        <v>42</v>
      </c>
    </row>
    <row r="1325" spans="1:28">
      <c r="A1325" s="9">
        <v>1318</v>
      </c>
      <c r="B1325" s="9" t="s">
        <v>1641</v>
      </c>
      <c r="C1325" s="9" t="s">
        <v>1625</v>
      </c>
      <c r="D1325" s="9" t="s">
        <v>652</v>
      </c>
      <c r="E1325" s="9" t="s">
        <v>33</v>
      </c>
      <c r="F1325" s="7" t="s">
        <v>50</v>
      </c>
      <c r="G1325" s="7" t="s">
        <v>35</v>
      </c>
      <c r="H1325" s="7" t="s">
        <v>36</v>
      </c>
      <c r="I1325" s="9">
        <v>176</v>
      </c>
      <c r="J1325" s="9" t="s">
        <v>695</v>
      </c>
      <c r="K1325" s="9" t="s">
        <v>53</v>
      </c>
      <c r="L1325" s="11">
        <v>1</v>
      </c>
      <c r="M1325" s="14">
        <v>7000.0</v>
      </c>
      <c r="N1325" s="14"/>
      <c r="O1325" s="16">
        <f>IF(M1325&gt;0, N1325/M1325, 0)</f>
        <v>0</v>
      </c>
      <c r="P1325" s="14">
        <f>M1325-N1325</f>
        <v>7000</v>
      </c>
      <c r="Q1325" s="14">
        <f>L1325*M1325</f>
        <v>7000</v>
      </c>
      <c r="R1325" s="14">
        <f>L1325*N1325</f>
        <v>0</v>
      </c>
      <c r="S1325" s="14">
        <f>L1325*P1325</f>
        <v>7000</v>
      </c>
      <c r="T1325" s="14"/>
      <c r="U1325" s="14">
        <f>L1325*T1325</f>
        <v>0</v>
      </c>
      <c r="V1325" s="14">
        <f>S1325-U1325</f>
        <v>7000</v>
      </c>
      <c r="W1325" s="16">
        <f>IF(S1325&gt;0, V1325/S1325, 0)</f>
        <v>1</v>
      </c>
      <c r="X1325" s="7" t="s">
        <v>39</v>
      </c>
      <c r="Y1325" s="9" t="s">
        <v>40</v>
      </c>
      <c r="Z1325" s="9" t="s">
        <v>41</v>
      </c>
      <c r="AA1325" s="9" t="s">
        <v>42</v>
      </c>
      <c r="AB1325" s="7" t="s">
        <v>42</v>
      </c>
    </row>
    <row r="1326" spans="1:28">
      <c r="A1326" s="8">
        <v>1319</v>
      </c>
      <c r="B1326" s="8" t="s">
        <v>1642</v>
      </c>
      <c r="C1326" s="8" t="s">
        <v>1625</v>
      </c>
      <c r="D1326" s="8" t="s">
        <v>652</v>
      </c>
      <c r="E1326" s="8" t="s">
        <v>33</v>
      </c>
      <c r="F1326" s="6" t="s">
        <v>34</v>
      </c>
      <c r="G1326" s="6" t="s">
        <v>51</v>
      </c>
      <c r="H1326" s="6" t="s">
        <v>51</v>
      </c>
      <c r="I1326" s="8">
        <v>194</v>
      </c>
      <c r="J1326" s="8" t="s">
        <v>734</v>
      </c>
      <c r="K1326" s="8" t="s">
        <v>38</v>
      </c>
      <c r="L1326" s="10">
        <v>1</v>
      </c>
      <c r="M1326" s="13">
        <v>8500.0</v>
      </c>
      <c r="N1326" s="13"/>
      <c r="O1326" s="15">
        <f>IF(M1326&gt;0, N1326/M1326, 0)</f>
        <v>0</v>
      </c>
      <c r="P1326" s="13">
        <f>M1326-N1326</f>
        <v>8500</v>
      </c>
      <c r="Q1326" s="13">
        <f>L1326*M1326</f>
        <v>8500</v>
      </c>
      <c r="R1326" s="13">
        <f>L1326*N1326</f>
        <v>0</v>
      </c>
      <c r="S1326" s="13">
        <f>L1326*P1326</f>
        <v>8500</v>
      </c>
      <c r="T1326" s="13"/>
      <c r="U1326" s="13">
        <f>L1326*T1326</f>
        <v>0</v>
      </c>
      <c r="V1326" s="13">
        <f>S1326-U1326</f>
        <v>8500</v>
      </c>
      <c r="W1326" s="15">
        <f>IF(S1326&gt;0, V1326/S1326, 0)</f>
        <v>1</v>
      </c>
      <c r="X1326" s="6" t="s">
        <v>39</v>
      </c>
      <c r="Y1326" s="8" t="s">
        <v>40</v>
      </c>
      <c r="Z1326" s="8" t="s">
        <v>41</v>
      </c>
      <c r="AA1326" s="8" t="s">
        <v>42</v>
      </c>
      <c r="AB1326" s="6" t="s">
        <v>42</v>
      </c>
    </row>
    <row r="1327" spans="1:28">
      <c r="A1327" s="9">
        <v>1320</v>
      </c>
      <c r="B1327" s="9" t="s">
        <v>1643</v>
      </c>
      <c r="C1327" s="9" t="s">
        <v>1625</v>
      </c>
      <c r="D1327" s="9" t="s">
        <v>652</v>
      </c>
      <c r="E1327" s="9" t="s">
        <v>33</v>
      </c>
      <c r="F1327" s="7" t="s">
        <v>34</v>
      </c>
      <c r="G1327" s="7" t="s">
        <v>56</v>
      </c>
      <c r="H1327" s="7" t="s">
        <v>56</v>
      </c>
      <c r="I1327" s="9">
        <v>194</v>
      </c>
      <c r="J1327" s="9" t="s">
        <v>1176</v>
      </c>
      <c r="K1327" s="9" t="s">
        <v>38</v>
      </c>
      <c r="L1327" s="11">
        <v>1</v>
      </c>
      <c r="M1327" s="14">
        <v>7500.0</v>
      </c>
      <c r="N1327" s="14"/>
      <c r="O1327" s="16">
        <f>IF(M1327&gt;0, N1327/M1327, 0)</f>
        <v>0</v>
      </c>
      <c r="P1327" s="14">
        <f>M1327-N1327</f>
        <v>7500</v>
      </c>
      <c r="Q1327" s="14">
        <f>L1327*M1327</f>
        <v>7500</v>
      </c>
      <c r="R1327" s="14">
        <f>L1327*N1327</f>
        <v>0</v>
      </c>
      <c r="S1327" s="14">
        <f>L1327*P1327</f>
        <v>7500</v>
      </c>
      <c r="T1327" s="14"/>
      <c r="U1327" s="14">
        <f>L1327*T1327</f>
        <v>0</v>
      </c>
      <c r="V1327" s="14">
        <f>S1327-U1327</f>
        <v>7500</v>
      </c>
      <c r="W1327" s="16">
        <f>IF(S1327&gt;0, V1327/S1327, 0)</f>
        <v>1</v>
      </c>
      <c r="X1327" s="7" t="s">
        <v>39</v>
      </c>
      <c r="Y1327" s="9" t="s">
        <v>40</v>
      </c>
      <c r="Z1327" s="9" t="s">
        <v>41</v>
      </c>
      <c r="AA1327" s="9" t="s">
        <v>42</v>
      </c>
      <c r="AB1327" s="7" t="s">
        <v>42</v>
      </c>
    </row>
    <row r="1328" spans="1:28">
      <c r="A1328" s="8">
        <v>1321</v>
      </c>
      <c r="B1328" s="8" t="s">
        <v>1644</v>
      </c>
      <c r="C1328" s="8" t="s">
        <v>1625</v>
      </c>
      <c r="D1328" s="8" t="s">
        <v>652</v>
      </c>
      <c r="E1328" s="8" t="s">
        <v>33</v>
      </c>
      <c r="F1328" s="6" t="s">
        <v>34</v>
      </c>
      <c r="G1328" s="6" t="s">
        <v>63</v>
      </c>
      <c r="H1328" s="6" t="s">
        <v>148</v>
      </c>
      <c r="I1328" s="8">
        <v>188</v>
      </c>
      <c r="J1328" s="8" t="s">
        <v>169</v>
      </c>
      <c r="K1328" s="8" t="s">
        <v>38</v>
      </c>
      <c r="L1328" s="10">
        <v>1</v>
      </c>
      <c r="M1328" s="13">
        <v>9500.0</v>
      </c>
      <c r="N1328" s="13"/>
      <c r="O1328" s="15">
        <f>IF(M1328&gt;0, N1328/M1328, 0)</f>
        <v>0</v>
      </c>
      <c r="P1328" s="13">
        <f>M1328-N1328</f>
        <v>9500</v>
      </c>
      <c r="Q1328" s="13">
        <f>L1328*M1328</f>
        <v>9500</v>
      </c>
      <c r="R1328" s="13">
        <f>L1328*N1328</f>
        <v>0</v>
      </c>
      <c r="S1328" s="13">
        <f>L1328*P1328</f>
        <v>9500</v>
      </c>
      <c r="T1328" s="13"/>
      <c r="U1328" s="13">
        <f>L1328*T1328</f>
        <v>0</v>
      </c>
      <c r="V1328" s="13">
        <f>S1328-U1328</f>
        <v>9500</v>
      </c>
      <c r="W1328" s="15">
        <f>IF(S1328&gt;0, V1328/S1328, 0)</f>
        <v>1</v>
      </c>
      <c r="X1328" s="6" t="s">
        <v>39</v>
      </c>
      <c r="Y1328" s="8" t="s">
        <v>40</v>
      </c>
      <c r="Z1328" s="8" t="s">
        <v>41</v>
      </c>
      <c r="AA1328" s="8" t="s">
        <v>42</v>
      </c>
      <c r="AB1328" s="6" t="s">
        <v>42</v>
      </c>
    </row>
    <row r="1329" spans="1:28">
      <c r="A1329" s="9">
        <v>1322</v>
      </c>
      <c r="B1329" s="9" t="s">
        <v>1645</v>
      </c>
      <c r="C1329" s="9" t="s">
        <v>1625</v>
      </c>
      <c r="D1329" s="9" t="s">
        <v>652</v>
      </c>
      <c r="E1329" s="9" t="s">
        <v>33</v>
      </c>
      <c r="F1329" s="7" t="s">
        <v>34</v>
      </c>
      <c r="G1329" s="7" t="s">
        <v>35</v>
      </c>
      <c r="H1329" s="7" t="s">
        <v>73</v>
      </c>
      <c r="I1329" s="9">
        <v>194</v>
      </c>
      <c r="J1329" s="9" t="s">
        <v>1180</v>
      </c>
      <c r="K1329" s="9" t="s">
        <v>38</v>
      </c>
      <c r="L1329" s="11">
        <v>2</v>
      </c>
      <c r="M1329" s="14">
        <v>9000.0</v>
      </c>
      <c r="N1329" s="14"/>
      <c r="O1329" s="16">
        <f>IF(M1329&gt;0, N1329/M1329, 0)</f>
        <v>0</v>
      </c>
      <c r="P1329" s="14">
        <f>M1329-N1329</f>
        <v>9000</v>
      </c>
      <c r="Q1329" s="14">
        <f>L1329*M1329</f>
        <v>18000</v>
      </c>
      <c r="R1329" s="14">
        <f>L1329*N1329</f>
        <v>0</v>
      </c>
      <c r="S1329" s="14">
        <f>L1329*P1329</f>
        <v>18000</v>
      </c>
      <c r="T1329" s="14"/>
      <c r="U1329" s="14">
        <f>L1329*T1329</f>
        <v>0</v>
      </c>
      <c r="V1329" s="14">
        <f>S1329-U1329</f>
        <v>18000</v>
      </c>
      <c r="W1329" s="16">
        <f>IF(S1329&gt;0, V1329/S1329, 0)</f>
        <v>1</v>
      </c>
      <c r="X1329" s="7" t="s">
        <v>39</v>
      </c>
      <c r="Y1329" s="9" t="s">
        <v>40</v>
      </c>
      <c r="Z1329" s="9" t="s">
        <v>41</v>
      </c>
      <c r="AA1329" s="9" t="s">
        <v>42</v>
      </c>
      <c r="AB1329" s="7" t="s">
        <v>42</v>
      </c>
    </row>
    <row r="1330" spans="1:28">
      <c r="A1330" s="8">
        <v>1323</v>
      </c>
      <c r="B1330" s="8" t="s">
        <v>1646</v>
      </c>
      <c r="C1330" s="8" t="s">
        <v>1625</v>
      </c>
      <c r="D1330" s="8" t="s">
        <v>652</v>
      </c>
      <c r="E1330" s="8" t="s">
        <v>33</v>
      </c>
      <c r="F1330" s="6" t="s">
        <v>34</v>
      </c>
      <c r="G1330" s="6" t="s">
        <v>35</v>
      </c>
      <c r="H1330" s="6" t="s">
        <v>36</v>
      </c>
      <c r="I1330" s="8">
        <v>194</v>
      </c>
      <c r="J1330" s="8" t="s">
        <v>1028</v>
      </c>
      <c r="K1330" s="8" t="s">
        <v>38</v>
      </c>
      <c r="L1330" s="10">
        <v>1</v>
      </c>
      <c r="M1330" s="13">
        <v>8000.0</v>
      </c>
      <c r="N1330" s="13"/>
      <c r="O1330" s="15">
        <f>IF(M1330&gt;0, N1330/M1330, 0)</f>
        <v>0</v>
      </c>
      <c r="P1330" s="13">
        <f>M1330-N1330</f>
        <v>8000</v>
      </c>
      <c r="Q1330" s="13">
        <f>L1330*M1330</f>
        <v>8000</v>
      </c>
      <c r="R1330" s="13">
        <f>L1330*N1330</f>
        <v>0</v>
      </c>
      <c r="S1330" s="13">
        <f>L1330*P1330</f>
        <v>8000</v>
      </c>
      <c r="T1330" s="13"/>
      <c r="U1330" s="13">
        <f>L1330*T1330</f>
        <v>0</v>
      </c>
      <c r="V1330" s="13">
        <f>S1330-U1330</f>
        <v>8000</v>
      </c>
      <c r="W1330" s="15">
        <f>IF(S1330&gt;0, V1330/S1330, 0)</f>
        <v>1</v>
      </c>
      <c r="X1330" s="6" t="s">
        <v>39</v>
      </c>
      <c r="Y1330" s="8" t="s">
        <v>40</v>
      </c>
      <c r="Z1330" s="8" t="s">
        <v>41</v>
      </c>
      <c r="AA1330" s="8" t="s">
        <v>42</v>
      </c>
      <c r="AB1330" s="6" t="s">
        <v>42</v>
      </c>
    </row>
    <row r="1331" spans="1:28">
      <c r="A1331" s="9">
        <v>1324</v>
      </c>
      <c r="B1331" s="9" t="s">
        <v>1647</v>
      </c>
      <c r="C1331" s="9" t="s">
        <v>1625</v>
      </c>
      <c r="D1331" s="9" t="s">
        <v>652</v>
      </c>
      <c r="E1331" s="9" t="s">
        <v>33</v>
      </c>
      <c r="F1331" s="7" t="s">
        <v>34</v>
      </c>
      <c r="G1331" s="7" t="s">
        <v>51</v>
      </c>
      <c r="H1331" s="7" t="s">
        <v>51</v>
      </c>
      <c r="I1331" s="9">
        <v>164</v>
      </c>
      <c r="J1331" s="9" t="s">
        <v>61</v>
      </c>
      <c r="K1331" s="9" t="s">
        <v>38</v>
      </c>
      <c r="L1331" s="11">
        <v>1</v>
      </c>
      <c r="M1331" s="14">
        <v>8500.0</v>
      </c>
      <c r="N1331" s="14"/>
      <c r="O1331" s="16">
        <f>IF(M1331&gt;0, N1331/M1331, 0)</f>
        <v>0</v>
      </c>
      <c r="P1331" s="14">
        <f>M1331-N1331</f>
        <v>8500</v>
      </c>
      <c r="Q1331" s="14">
        <f>L1331*M1331</f>
        <v>8500</v>
      </c>
      <c r="R1331" s="14">
        <f>L1331*N1331</f>
        <v>0</v>
      </c>
      <c r="S1331" s="14">
        <f>L1331*P1331</f>
        <v>8500</v>
      </c>
      <c r="T1331" s="14"/>
      <c r="U1331" s="14">
        <f>L1331*T1331</f>
        <v>0</v>
      </c>
      <c r="V1331" s="14">
        <f>S1331-U1331</f>
        <v>8500</v>
      </c>
      <c r="W1331" s="16">
        <f>IF(S1331&gt;0, V1331/S1331, 0)</f>
        <v>1</v>
      </c>
      <c r="X1331" s="7" t="s">
        <v>39</v>
      </c>
      <c r="Y1331" s="9" t="s">
        <v>40</v>
      </c>
      <c r="Z1331" s="9" t="s">
        <v>41</v>
      </c>
      <c r="AA1331" s="9" t="s">
        <v>42</v>
      </c>
      <c r="AB1331" s="7" t="s">
        <v>42</v>
      </c>
    </row>
    <row r="1332" spans="1:28">
      <c r="A1332" s="8">
        <v>1325</v>
      </c>
      <c r="B1332" s="8" t="s">
        <v>1648</v>
      </c>
      <c r="C1332" s="8" t="s">
        <v>1625</v>
      </c>
      <c r="D1332" s="8" t="s">
        <v>652</v>
      </c>
      <c r="E1332" s="8" t="s">
        <v>33</v>
      </c>
      <c r="F1332" s="6" t="s">
        <v>34</v>
      </c>
      <c r="G1332" s="6" t="s">
        <v>56</v>
      </c>
      <c r="H1332" s="6" t="s">
        <v>56</v>
      </c>
      <c r="I1332" s="8">
        <v>164</v>
      </c>
      <c r="J1332" s="8" t="s">
        <v>57</v>
      </c>
      <c r="K1332" s="8" t="s">
        <v>38</v>
      </c>
      <c r="L1332" s="10">
        <v>1</v>
      </c>
      <c r="M1332" s="13">
        <v>7000.0</v>
      </c>
      <c r="N1332" s="13"/>
      <c r="O1332" s="15">
        <f>IF(M1332&gt;0, N1332/M1332, 0)</f>
        <v>0</v>
      </c>
      <c r="P1332" s="13">
        <f>M1332-N1332</f>
        <v>7000</v>
      </c>
      <c r="Q1332" s="13">
        <f>L1332*M1332</f>
        <v>7000</v>
      </c>
      <c r="R1332" s="13">
        <f>L1332*N1332</f>
        <v>0</v>
      </c>
      <c r="S1332" s="13">
        <f>L1332*P1332</f>
        <v>7000</v>
      </c>
      <c r="T1332" s="13"/>
      <c r="U1332" s="13">
        <f>L1332*T1332</f>
        <v>0</v>
      </c>
      <c r="V1332" s="13">
        <f>S1332-U1332</f>
        <v>7000</v>
      </c>
      <c r="W1332" s="15">
        <f>IF(S1332&gt;0, V1332/S1332, 0)</f>
        <v>1</v>
      </c>
      <c r="X1332" s="6" t="s">
        <v>39</v>
      </c>
      <c r="Y1332" s="8" t="s">
        <v>40</v>
      </c>
      <c r="Z1332" s="8" t="s">
        <v>41</v>
      </c>
      <c r="AA1332" s="8" t="s">
        <v>42</v>
      </c>
      <c r="AB1332" s="6" t="s">
        <v>42</v>
      </c>
    </row>
    <row r="1333" spans="1:28">
      <c r="A1333" s="9">
        <v>1326</v>
      </c>
      <c r="B1333" s="9" t="s">
        <v>1649</v>
      </c>
      <c r="C1333" s="9" t="s">
        <v>1625</v>
      </c>
      <c r="D1333" s="9" t="s">
        <v>652</v>
      </c>
      <c r="E1333" s="9" t="s">
        <v>33</v>
      </c>
      <c r="F1333" s="7" t="s">
        <v>34</v>
      </c>
      <c r="G1333" s="7" t="s">
        <v>63</v>
      </c>
      <c r="H1333" s="7" t="s">
        <v>148</v>
      </c>
      <c r="I1333" s="9">
        <v>158</v>
      </c>
      <c r="J1333" s="9" t="s">
        <v>217</v>
      </c>
      <c r="K1333" s="9" t="s">
        <v>38</v>
      </c>
      <c r="L1333" s="11">
        <v>2</v>
      </c>
      <c r="M1333" s="14">
        <v>9500.0</v>
      </c>
      <c r="N1333" s="14"/>
      <c r="O1333" s="16">
        <f>IF(M1333&gt;0, N1333/M1333, 0)</f>
        <v>0</v>
      </c>
      <c r="P1333" s="14">
        <f>M1333-N1333</f>
        <v>9500</v>
      </c>
      <c r="Q1333" s="14">
        <f>L1333*M1333</f>
        <v>19000</v>
      </c>
      <c r="R1333" s="14">
        <f>L1333*N1333</f>
        <v>0</v>
      </c>
      <c r="S1333" s="14">
        <f>L1333*P1333</f>
        <v>19000</v>
      </c>
      <c r="T1333" s="14"/>
      <c r="U1333" s="14">
        <f>L1333*T1333</f>
        <v>0</v>
      </c>
      <c r="V1333" s="14">
        <f>S1333-U1333</f>
        <v>19000</v>
      </c>
      <c r="W1333" s="16">
        <f>IF(S1333&gt;0, V1333/S1333, 0)</f>
        <v>1</v>
      </c>
      <c r="X1333" s="7" t="s">
        <v>39</v>
      </c>
      <c r="Y1333" s="9" t="s">
        <v>40</v>
      </c>
      <c r="Z1333" s="9" t="s">
        <v>41</v>
      </c>
      <c r="AA1333" s="9" t="s">
        <v>42</v>
      </c>
      <c r="AB1333" s="7" t="s">
        <v>42</v>
      </c>
    </row>
    <row r="1334" spans="1:28">
      <c r="A1334" s="8">
        <v>1327</v>
      </c>
      <c r="B1334" s="8" t="s">
        <v>1650</v>
      </c>
      <c r="C1334" s="8" t="s">
        <v>1625</v>
      </c>
      <c r="D1334" s="8" t="s">
        <v>652</v>
      </c>
      <c r="E1334" s="8" t="s">
        <v>33</v>
      </c>
      <c r="F1334" s="6" t="s">
        <v>34</v>
      </c>
      <c r="G1334" s="6" t="s">
        <v>35</v>
      </c>
      <c r="H1334" s="6" t="s">
        <v>73</v>
      </c>
      <c r="I1334" s="8">
        <v>164</v>
      </c>
      <c r="J1334" s="8" t="s">
        <v>74</v>
      </c>
      <c r="K1334" s="8" t="s">
        <v>38</v>
      </c>
      <c r="L1334" s="10">
        <v>2</v>
      </c>
      <c r="M1334" s="13">
        <v>9000.0</v>
      </c>
      <c r="N1334" s="13"/>
      <c r="O1334" s="15">
        <f>IF(M1334&gt;0, N1334/M1334, 0)</f>
        <v>0</v>
      </c>
      <c r="P1334" s="13">
        <f>M1334-N1334</f>
        <v>9000</v>
      </c>
      <c r="Q1334" s="13">
        <f>L1334*M1334</f>
        <v>18000</v>
      </c>
      <c r="R1334" s="13">
        <f>L1334*N1334</f>
        <v>0</v>
      </c>
      <c r="S1334" s="13">
        <f>L1334*P1334</f>
        <v>18000</v>
      </c>
      <c r="T1334" s="13"/>
      <c r="U1334" s="13">
        <f>L1334*T1334</f>
        <v>0</v>
      </c>
      <c r="V1334" s="13">
        <f>S1334-U1334</f>
        <v>18000</v>
      </c>
      <c r="W1334" s="15">
        <f>IF(S1334&gt;0, V1334/S1334, 0)</f>
        <v>1</v>
      </c>
      <c r="X1334" s="6" t="s">
        <v>39</v>
      </c>
      <c r="Y1334" s="8" t="s">
        <v>40</v>
      </c>
      <c r="Z1334" s="8" t="s">
        <v>41</v>
      </c>
      <c r="AA1334" s="8" t="s">
        <v>42</v>
      </c>
      <c r="AB1334" s="6" t="s">
        <v>42</v>
      </c>
    </row>
    <row r="1335" spans="1:28">
      <c r="A1335" s="9">
        <v>1328</v>
      </c>
      <c r="B1335" s="9" t="s">
        <v>1651</v>
      </c>
      <c r="C1335" s="9" t="s">
        <v>1625</v>
      </c>
      <c r="D1335" s="9" t="s">
        <v>652</v>
      </c>
      <c r="E1335" s="9" t="s">
        <v>68</v>
      </c>
      <c r="F1335" s="7" t="s">
        <v>34</v>
      </c>
      <c r="G1335" s="7" t="s">
        <v>63</v>
      </c>
      <c r="H1335" s="7" t="s">
        <v>148</v>
      </c>
      <c r="I1335" s="9">
        <v>128</v>
      </c>
      <c r="J1335" s="9" t="s">
        <v>1652</v>
      </c>
      <c r="K1335" s="9" t="s">
        <v>38</v>
      </c>
      <c r="L1335" s="11">
        <v>1</v>
      </c>
      <c r="M1335" s="14">
        <v>10000.0</v>
      </c>
      <c r="N1335" s="14"/>
      <c r="O1335" s="16">
        <f>IF(M1335&gt;0, N1335/M1335, 0)</f>
        <v>0</v>
      </c>
      <c r="P1335" s="14">
        <f>M1335-N1335</f>
        <v>10000</v>
      </c>
      <c r="Q1335" s="14">
        <f>L1335*M1335</f>
        <v>10000</v>
      </c>
      <c r="R1335" s="14">
        <f>L1335*N1335</f>
        <v>0</v>
      </c>
      <c r="S1335" s="14">
        <f>L1335*P1335</f>
        <v>10000</v>
      </c>
      <c r="T1335" s="14"/>
      <c r="U1335" s="14">
        <f>L1335*T1335</f>
        <v>0</v>
      </c>
      <c r="V1335" s="14">
        <f>S1335-U1335</f>
        <v>10000</v>
      </c>
      <c r="W1335" s="16">
        <f>IF(S1335&gt;0, V1335/S1335, 0)</f>
        <v>1</v>
      </c>
      <c r="X1335" s="7" t="s">
        <v>39</v>
      </c>
      <c r="Y1335" s="9" t="s">
        <v>40</v>
      </c>
      <c r="Z1335" s="9" t="s">
        <v>71</v>
      </c>
      <c r="AA1335" s="9" t="s">
        <v>42</v>
      </c>
      <c r="AB1335" s="7" t="s">
        <v>42</v>
      </c>
    </row>
    <row r="1336" spans="1:28">
      <c r="A1336" s="8">
        <v>1329</v>
      </c>
      <c r="B1336" s="8" t="s">
        <v>1653</v>
      </c>
      <c r="C1336" s="8" t="s">
        <v>1625</v>
      </c>
      <c r="D1336" s="8" t="s">
        <v>652</v>
      </c>
      <c r="E1336" s="8" t="s">
        <v>33</v>
      </c>
      <c r="F1336" s="6" t="s">
        <v>34</v>
      </c>
      <c r="G1336" s="6" t="s">
        <v>35</v>
      </c>
      <c r="H1336" s="6" t="s">
        <v>36</v>
      </c>
      <c r="I1336" s="8">
        <v>158</v>
      </c>
      <c r="J1336" s="8" t="s">
        <v>37</v>
      </c>
      <c r="K1336" s="8" t="s">
        <v>38</v>
      </c>
      <c r="L1336" s="10">
        <v>1</v>
      </c>
      <c r="M1336" s="13">
        <v>8000.0</v>
      </c>
      <c r="N1336" s="13"/>
      <c r="O1336" s="15">
        <f>IF(M1336&gt;0, N1336/M1336, 0)</f>
        <v>0</v>
      </c>
      <c r="P1336" s="13">
        <f>M1336-N1336</f>
        <v>8000</v>
      </c>
      <c r="Q1336" s="13">
        <f>L1336*M1336</f>
        <v>8000</v>
      </c>
      <c r="R1336" s="13">
        <f>L1336*N1336</f>
        <v>0</v>
      </c>
      <c r="S1336" s="13">
        <f>L1336*P1336</f>
        <v>8000</v>
      </c>
      <c r="T1336" s="13"/>
      <c r="U1336" s="13">
        <f>L1336*T1336</f>
        <v>0</v>
      </c>
      <c r="V1336" s="13">
        <f>S1336-U1336</f>
        <v>8000</v>
      </c>
      <c r="W1336" s="15">
        <f>IF(S1336&gt;0, V1336/S1336, 0)</f>
        <v>1</v>
      </c>
      <c r="X1336" s="6" t="s">
        <v>39</v>
      </c>
      <c r="Y1336" s="8" t="s">
        <v>40</v>
      </c>
      <c r="Z1336" s="8" t="s">
        <v>41</v>
      </c>
      <c r="AA1336" s="8" t="s">
        <v>42</v>
      </c>
      <c r="AB1336" s="6" t="s">
        <v>42</v>
      </c>
    </row>
    <row r="1337" spans="1:28">
      <c r="A1337" s="9">
        <v>1330</v>
      </c>
      <c r="B1337" s="9" t="s">
        <v>1654</v>
      </c>
      <c r="C1337" s="9" t="s">
        <v>1625</v>
      </c>
      <c r="D1337" s="9" t="s">
        <v>652</v>
      </c>
      <c r="E1337" s="9" t="s">
        <v>33</v>
      </c>
      <c r="F1337" s="7" t="s">
        <v>50</v>
      </c>
      <c r="G1337" s="7" t="s">
        <v>56</v>
      </c>
      <c r="H1337" s="7" t="s">
        <v>56</v>
      </c>
      <c r="I1337" s="9">
        <v>110</v>
      </c>
      <c r="J1337" s="9" t="s">
        <v>957</v>
      </c>
      <c r="K1337" s="9" t="s">
        <v>38</v>
      </c>
      <c r="L1337" s="11">
        <v>1</v>
      </c>
      <c r="M1337" s="14">
        <v>7000.0</v>
      </c>
      <c r="N1337" s="14"/>
      <c r="O1337" s="16">
        <f>IF(M1337&gt;0, N1337/M1337, 0)</f>
        <v>0</v>
      </c>
      <c r="P1337" s="14">
        <f>M1337-N1337</f>
        <v>7000</v>
      </c>
      <c r="Q1337" s="14">
        <f>L1337*M1337</f>
        <v>7000</v>
      </c>
      <c r="R1337" s="14">
        <f>L1337*N1337</f>
        <v>0</v>
      </c>
      <c r="S1337" s="14">
        <f>L1337*P1337</f>
        <v>7000</v>
      </c>
      <c r="T1337" s="14"/>
      <c r="U1337" s="14">
        <f>L1337*T1337</f>
        <v>0</v>
      </c>
      <c r="V1337" s="14">
        <f>S1337-U1337</f>
        <v>7000</v>
      </c>
      <c r="W1337" s="16">
        <f>IF(S1337&gt;0, V1337/S1337, 0)</f>
        <v>1</v>
      </c>
      <c r="X1337" s="7" t="s">
        <v>39</v>
      </c>
      <c r="Y1337" s="9" t="s">
        <v>40</v>
      </c>
      <c r="Z1337" s="9" t="s">
        <v>41</v>
      </c>
      <c r="AA1337" s="9" t="s">
        <v>42</v>
      </c>
      <c r="AB1337" s="7" t="s">
        <v>42</v>
      </c>
    </row>
    <row r="1338" spans="1:28">
      <c r="A1338" s="8">
        <v>1331</v>
      </c>
      <c r="B1338" s="8" t="s">
        <v>1655</v>
      </c>
      <c r="C1338" s="8" t="s">
        <v>1625</v>
      </c>
      <c r="D1338" s="8" t="s">
        <v>652</v>
      </c>
      <c r="E1338" s="8" t="s">
        <v>33</v>
      </c>
      <c r="F1338" s="6" t="s">
        <v>50</v>
      </c>
      <c r="G1338" s="6" t="s">
        <v>51</v>
      </c>
      <c r="H1338" s="6" t="s">
        <v>51</v>
      </c>
      <c r="I1338" s="8">
        <v>128</v>
      </c>
      <c r="J1338" s="8" t="s">
        <v>390</v>
      </c>
      <c r="K1338" s="8" t="s">
        <v>53</v>
      </c>
      <c r="L1338" s="10">
        <v>1</v>
      </c>
      <c r="M1338" s="13">
        <v>8000.0</v>
      </c>
      <c r="N1338" s="13"/>
      <c r="O1338" s="15">
        <f>IF(M1338&gt;0, N1338/M1338, 0)</f>
        <v>0</v>
      </c>
      <c r="P1338" s="13">
        <f>M1338-N1338</f>
        <v>8000</v>
      </c>
      <c r="Q1338" s="13">
        <f>L1338*M1338</f>
        <v>8000</v>
      </c>
      <c r="R1338" s="13">
        <f>L1338*N1338</f>
        <v>0</v>
      </c>
      <c r="S1338" s="13">
        <f>L1338*P1338</f>
        <v>8000</v>
      </c>
      <c r="T1338" s="13"/>
      <c r="U1338" s="13">
        <f>L1338*T1338</f>
        <v>0</v>
      </c>
      <c r="V1338" s="13">
        <f>S1338-U1338</f>
        <v>8000</v>
      </c>
      <c r="W1338" s="15">
        <f>IF(S1338&gt;0, V1338/S1338, 0)</f>
        <v>1</v>
      </c>
      <c r="X1338" s="6" t="s">
        <v>39</v>
      </c>
      <c r="Y1338" s="8" t="s">
        <v>40</v>
      </c>
      <c r="Z1338" s="8" t="s">
        <v>41</v>
      </c>
      <c r="AA1338" s="8" t="s">
        <v>42</v>
      </c>
      <c r="AB1338" s="6" t="s">
        <v>42</v>
      </c>
    </row>
    <row r="1339" spans="1:28">
      <c r="A1339" s="9">
        <v>1332</v>
      </c>
      <c r="B1339" s="9" t="s">
        <v>1656</v>
      </c>
      <c r="C1339" s="9" t="s">
        <v>1625</v>
      </c>
      <c r="D1339" s="9" t="s">
        <v>652</v>
      </c>
      <c r="E1339" s="9" t="s">
        <v>33</v>
      </c>
      <c r="F1339" s="7" t="s">
        <v>34</v>
      </c>
      <c r="G1339" s="7" t="s">
        <v>35</v>
      </c>
      <c r="H1339" s="7" t="s">
        <v>73</v>
      </c>
      <c r="I1339" s="9">
        <v>134</v>
      </c>
      <c r="J1339" s="9" t="s">
        <v>1657</v>
      </c>
      <c r="K1339" s="9" t="s">
        <v>38</v>
      </c>
      <c r="L1339" s="11">
        <v>2</v>
      </c>
      <c r="M1339" s="14">
        <v>8000.0</v>
      </c>
      <c r="N1339" s="14"/>
      <c r="O1339" s="16">
        <f>IF(M1339&gt;0, N1339/M1339, 0)</f>
        <v>0</v>
      </c>
      <c r="P1339" s="14">
        <f>M1339-N1339</f>
        <v>8000</v>
      </c>
      <c r="Q1339" s="14">
        <f>L1339*M1339</f>
        <v>16000</v>
      </c>
      <c r="R1339" s="14">
        <f>L1339*N1339</f>
        <v>0</v>
      </c>
      <c r="S1339" s="14">
        <f>L1339*P1339</f>
        <v>16000</v>
      </c>
      <c r="T1339" s="14"/>
      <c r="U1339" s="14">
        <f>L1339*T1339</f>
        <v>0</v>
      </c>
      <c r="V1339" s="14">
        <f>S1339-U1339</f>
        <v>16000</v>
      </c>
      <c r="W1339" s="16">
        <f>IF(S1339&gt;0, V1339/S1339, 0)</f>
        <v>1</v>
      </c>
      <c r="X1339" s="7" t="s">
        <v>39</v>
      </c>
      <c r="Y1339" s="9" t="s">
        <v>40</v>
      </c>
      <c r="Z1339" s="9" t="s">
        <v>41</v>
      </c>
      <c r="AA1339" s="9" t="s">
        <v>42</v>
      </c>
      <c r="AB1339" s="7" t="s">
        <v>42</v>
      </c>
    </row>
    <row r="1340" spans="1:28">
      <c r="A1340" s="8">
        <v>1333</v>
      </c>
      <c r="B1340" s="8" t="s">
        <v>1658</v>
      </c>
      <c r="C1340" s="8" t="s">
        <v>1625</v>
      </c>
      <c r="D1340" s="8" t="s">
        <v>652</v>
      </c>
      <c r="E1340" s="8" t="s">
        <v>33</v>
      </c>
      <c r="F1340" s="6" t="s">
        <v>34</v>
      </c>
      <c r="G1340" s="6" t="s">
        <v>35</v>
      </c>
      <c r="H1340" s="6" t="s">
        <v>36</v>
      </c>
      <c r="I1340" s="8">
        <v>134</v>
      </c>
      <c r="J1340" s="8" t="s">
        <v>722</v>
      </c>
      <c r="K1340" s="8" t="s">
        <v>38</v>
      </c>
      <c r="L1340" s="10">
        <v>2</v>
      </c>
      <c r="M1340" s="13">
        <v>7000.0</v>
      </c>
      <c r="N1340" s="13"/>
      <c r="O1340" s="15">
        <f>IF(M1340&gt;0, N1340/M1340, 0)</f>
        <v>0</v>
      </c>
      <c r="P1340" s="13">
        <f>M1340-N1340</f>
        <v>7000</v>
      </c>
      <c r="Q1340" s="13">
        <f>L1340*M1340</f>
        <v>14000</v>
      </c>
      <c r="R1340" s="13">
        <f>L1340*N1340</f>
        <v>0</v>
      </c>
      <c r="S1340" s="13">
        <f>L1340*P1340</f>
        <v>14000</v>
      </c>
      <c r="T1340" s="13"/>
      <c r="U1340" s="13">
        <f>L1340*T1340</f>
        <v>0</v>
      </c>
      <c r="V1340" s="13">
        <f>S1340-U1340</f>
        <v>14000</v>
      </c>
      <c r="W1340" s="15">
        <f>IF(S1340&gt;0, V1340/S1340, 0)</f>
        <v>1</v>
      </c>
      <c r="X1340" s="6" t="s">
        <v>39</v>
      </c>
      <c r="Y1340" s="8" t="s">
        <v>40</v>
      </c>
      <c r="Z1340" s="8" t="s">
        <v>41</v>
      </c>
      <c r="AA1340" s="8" t="s">
        <v>42</v>
      </c>
      <c r="AB1340" s="6" t="s">
        <v>42</v>
      </c>
    </row>
    <row r="1341" spans="1:28">
      <c r="A1341" s="9">
        <v>1334</v>
      </c>
      <c r="B1341" s="9" t="s">
        <v>1659</v>
      </c>
      <c r="C1341" s="9" t="s">
        <v>1625</v>
      </c>
      <c r="D1341" s="9" t="s">
        <v>652</v>
      </c>
      <c r="E1341" s="9" t="s">
        <v>68</v>
      </c>
      <c r="F1341" s="7" t="s">
        <v>34</v>
      </c>
      <c r="G1341" s="7" t="s">
        <v>69</v>
      </c>
      <c r="H1341" s="7" t="s">
        <v>69</v>
      </c>
      <c r="I1341" s="9">
        <v>152</v>
      </c>
      <c r="J1341" s="9" t="s">
        <v>207</v>
      </c>
      <c r="K1341" s="9" t="s">
        <v>38</v>
      </c>
      <c r="L1341" s="11">
        <v>2</v>
      </c>
      <c r="M1341" s="14">
        <v>18000.0</v>
      </c>
      <c r="N1341" s="14"/>
      <c r="O1341" s="16">
        <f>IF(M1341&gt;0, N1341/M1341, 0)</f>
        <v>0</v>
      </c>
      <c r="P1341" s="14">
        <f>M1341-N1341</f>
        <v>18000</v>
      </c>
      <c r="Q1341" s="14">
        <f>L1341*M1341</f>
        <v>36000</v>
      </c>
      <c r="R1341" s="14">
        <f>L1341*N1341</f>
        <v>0</v>
      </c>
      <c r="S1341" s="14">
        <f>L1341*P1341</f>
        <v>36000</v>
      </c>
      <c r="T1341" s="14"/>
      <c r="U1341" s="14">
        <f>L1341*T1341</f>
        <v>0</v>
      </c>
      <c r="V1341" s="14">
        <f>S1341-U1341</f>
        <v>36000</v>
      </c>
      <c r="W1341" s="16">
        <f>IF(S1341&gt;0, V1341/S1341, 0)</f>
        <v>1</v>
      </c>
      <c r="X1341" s="7" t="s">
        <v>39</v>
      </c>
      <c r="Y1341" s="9" t="s">
        <v>40</v>
      </c>
      <c r="Z1341" s="9" t="s">
        <v>71</v>
      </c>
      <c r="AA1341" s="9" t="s">
        <v>42</v>
      </c>
      <c r="AB1341" s="7" t="s">
        <v>42</v>
      </c>
    </row>
    <row r="1342" spans="1:28">
      <c r="A1342" s="8">
        <v>1335</v>
      </c>
      <c r="B1342" s="8" t="s">
        <v>1660</v>
      </c>
      <c r="C1342" s="8" t="s">
        <v>1625</v>
      </c>
      <c r="D1342" s="8" t="s">
        <v>652</v>
      </c>
      <c r="E1342" s="8" t="s">
        <v>68</v>
      </c>
      <c r="F1342" s="6" t="s">
        <v>34</v>
      </c>
      <c r="G1342" s="6" t="s">
        <v>56</v>
      </c>
      <c r="H1342" s="6" t="s">
        <v>56</v>
      </c>
      <c r="I1342" s="8">
        <v>152</v>
      </c>
      <c r="J1342" s="8" t="s">
        <v>329</v>
      </c>
      <c r="K1342" s="8" t="s">
        <v>38</v>
      </c>
      <c r="L1342" s="10">
        <v>1</v>
      </c>
      <c r="M1342" s="13">
        <v>9000.0</v>
      </c>
      <c r="N1342" s="13"/>
      <c r="O1342" s="15">
        <f>IF(M1342&gt;0, N1342/M1342, 0)</f>
        <v>0</v>
      </c>
      <c r="P1342" s="13">
        <f>M1342-N1342</f>
        <v>9000</v>
      </c>
      <c r="Q1342" s="13">
        <f>L1342*M1342</f>
        <v>9000</v>
      </c>
      <c r="R1342" s="13">
        <f>L1342*N1342</f>
        <v>0</v>
      </c>
      <c r="S1342" s="13">
        <f>L1342*P1342</f>
        <v>9000</v>
      </c>
      <c r="T1342" s="13"/>
      <c r="U1342" s="13">
        <f>L1342*T1342</f>
        <v>0</v>
      </c>
      <c r="V1342" s="13">
        <f>S1342-U1342</f>
        <v>9000</v>
      </c>
      <c r="W1342" s="15">
        <f>IF(S1342&gt;0, V1342/S1342, 0)</f>
        <v>1</v>
      </c>
      <c r="X1342" s="6" t="s">
        <v>39</v>
      </c>
      <c r="Y1342" s="8" t="s">
        <v>40</v>
      </c>
      <c r="Z1342" s="8" t="s">
        <v>71</v>
      </c>
      <c r="AA1342" s="8" t="s">
        <v>42</v>
      </c>
      <c r="AB1342" s="6" t="s">
        <v>42</v>
      </c>
    </row>
    <row r="1343" spans="1:28">
      <c r="A1343" s="9">
        <v>1336</v>
      </c>
      <c r="B1343" s="9" t="s">
        <v>1661</v>
      </c>
      <c r="C1343" s="9" t="s">
        <v>1625</v>
      </c>
      <c r="D1343" s="9" t="s">
        <v>652</v>
      </c>
      <c r="E1343" s="9" t="s">
        <v>33</v>
      </c>
      <c r="F1343" s="7" t="s">
        <v>34</v>
      </c>
      <c r="G1343" s="7" t="s">
        <v>63</v>
      </c>
      <c r="H1343" s="7" t="s">
        <v>148</v>
      </c>
      <c r="I1343" s="9">
        <v>152</v>
      </c>
      <c r="J1343" s="9" t="s">
        <v>195</v>
      </c>
      <c r="K1343" s="9" t="s">
        <v>38</v>
      </c>
      <c r="L1343" s="11">
        <v>2</v>
      </c>
      <c r="M1343" s="14">
        <v>17000.0</v>
      </c>
      <c r="N1343" s="14"/>
      <c r="O1343" s="16">
        <f>IF(M1343&gt;0, N1343/M1343, 0)</f>
        <v>0</v>
      </c>
      <c r="P1343" s="14">
        <f>M1343-N1343</f>
        <v>17000</v>
      </c>
      <c r="Q1343" s="14">
        <f>L1343*M1343</f>
        <v>34000</v>
      </c>
      <c r="R1343" s="14">
        <f>L1343*N1343</f>
        <v>0</v>
      </c>
      <c r="S1343" s="14">
        <f>L1343*P1343</f>
        <v>34000</v>
      </c>
      <c r="T1343" s="14"/>
      <c r="U1343" s="14">
        <f>L1343*T1343</f>
        <v>0</v>
      </c>
      <c r="V1343" s="14">
        <f>S1343-U1343</f>
        <v>34000</v>
      </c>
      <c r="W1343" s="16">
        <f>IF(S1343&gt;0, V1343/S1343, 0)</f>
        <v>1</v>
      </c>
      <c r="X1343" s="7" t="s">
        <v>39</v>
      </c>
      <c r="Y1343" s="9" t="s">
        <v>40</v>
      </c>
      <c r="Z1343" s="9" t="s">
        <v>41</v>
      </c>
      <c r="AA1343" s="9" t="s">
        <v>42</v>
      </c>
      <c r="AB1343" s="7" t="s">
        <v>42</v>
      </c>
    </row>
    <row r="1344" spans="1:28">
      <c r="A1344" s="8">
        <v>1337</v>
      </c>
      <c r="B1344" s="8" t="s">
        <v>1662</v>
      </c>
      <c r="C1344" s="8" t="s">
        <v>1625</v>
      </c>
      <c r="D1344" s="8" t="s">
        <v>652</v>
      </c>
      <c r="E1344" s="8" t="s">
        <v>33</v>
      </c>
      <c r="F1344" s="6" t="s">
        <v>34</v>
      </c>
      <c r="G1344" s="6" t="s">
        <v>35</v>
      </c>
      <c r="H1344" s="6" t="s">
        <v>36</v>
      </c>
      <c r="I1344" s="8">
        <v>152</v>
      </c>
      <c r="J1344" s="8" t="s">
        <v>726</v>
      </c>
      <c r="K1344" s="8" t="s">
        <v>38</v>
      </c>
      <c r="L1344" s="10">
        <v>2</v>
      </c>
      <c r="M1344" s="13">
        <v>16000.0</v>
      </c>
      <c r="N1344" s="13"/>
      <c r="O1344" s="15">
        <f>IF(M1344&gt;0, N1344/M1344, 0)</f>
        <v>0</v>
      </c>
      <c r="P1344" s="13">
        <f>M1344-N1344</f>
        <v>16000</v>
      </c>
      <c r="Q1344" s="13">
        <f>L1344*M1344</f>
        <v>32000</v>
      </c>
      <c r="R1344" s="13">
        <f>L1344*N1344</f>
        <v>0</v>
      </c>
      <c r="S1344" s="13">
        <f>L1344*P1344</f>
        <v>32000</v>
      </c>
      <c r="T1344" s="13"/>
      <c r="U1344" s="13">
        <f>L1344*T1344</f>
        <v>0</v>
      </c>
      <c r="V1344" s="13">
        <f>S1344-U1344</f>
        <v>32000</v>
      </c>
      <c r="W1344" s="15">
        <f>IF(S1344&gt;0, V1344/S1344, 0)</f>
        <v>1</v>
      </c>
      <c r="X1344" s="6" t="s">
        <v>39</v>
      </c>
      <c r="Y1344" s="8" t="s">
        <v>40</v>
      </c>
      <c r="Z1344" s="8" t="s">
        <v>41</v>
      </c>
      <c r="AA1344" s="8" t="s">
        <v>42</v>
      </c>
      <c r="AB1344" s="6" t="s">
        <v>42</v>
      </c>
    </row>
    <row r="1345" spans="1:28">
      <c r="A1345" s="9">
        <v>1338</v>
      </c>
      <c r="B1345" s="9" t="s">
        <v>1663</v>
      </c>
      <c r="C1345" s="9" t="s">
        <v>1625</v>
      </c>
      <c r="D1345" s="9" t="s">
        <v>652</v>
      </c>
      <c r="E1345" s="9" t="s">
        <v>68</v>
      </c>
      <c r="F1345" s="7" t="s">
        <v>34</v>
      </c>
      <c r="G1345" s="7" t="s">
        <v>69</v>
      </c>
      <c r="H1345" s="7" t="s">
        <v>1488</v>
      </c>
      <c r="I1345" s="9">
        <v>152</v>
      </c>
      <c r="J1345" s="9" t="s">
        <v>1664</v>
      </c>
      <c r="K1345" s="9" t="s">
        <v>38</v>
      </c>
      <c r="L1345" s="11">
        <v>1</v>
      </c>
      <c r="M1345" s="14">
        <v>10000.0</v>
      </c>
      <c r="N1345" s="14"/>
      <c r="O1345" s="16">
        <f>IF(M1345&gt;0, N1345/M1345, 0)</f>
        <v>0</v>
      </c>
      <c r="P1345" s="14">
        <f>M1345-N1345</f>
        <v>10000</v>
      </c>
      <c r="Q1345" s="14">
        <f>L1345*M1345</f>
        <v>10000</v>
      </c>
      <c r="R1345" s="14">
        <f>L1345*N1345</f>
        <v>0</v>
      </c>
      <c r="S1345" s="14">
        <f>L1345*P1345</f>
        <v>10000</v>
      </c>
      <c r="T1345" s="14"/>
      <c r="U1345" s="14">
        <f>L1345*T1345</f>
        <v>0</v>
      </c>
      <c r="V1345" s="14">
        <f>S1345-U1345</f>
        <v>10000</v>
      </c>
      <c r="W1345" s="16">
        <f>IF(S1345&gt;0, V1345/S1345, 0)</f>
        <v>1</v>
      </c>
      <c r="X1345" s="7" t="s">
        <v>39</v>
      </c>
      <c r="Y1345" s="9" t="s">
        <v>40</v>
      </c>
      <c r="Z1345" s="9" t="s">
        <v>71</v>
      </c>
      <c r="AA1345" s="9" t="s">
        <v>42</v>
      </c>
      <c r="AB1345" s="7" t="s">
        <v>42</v>
      </c>
    </row>
    <row r="1346" spans="1:28">
      <c r="A1346" s="8">
        <v>1339</v>
      </c>
      <c r="B1346" s="8" t="s">
        <v>1665</v>
      </c>
      <c r="C1346" s="8" t="s">
        <v>1625</v>
      </c>
      <c r="D1346" s="8" t="s">
        <v>652</v>
      </c>
      <c r="E1346" s="8" t="s">
        <v>33</v>
      </c>
      <c r="F1346" s="6" t="s">
        <v>50</v>
      </c>
      <c r="G1346" s="6" t="s">
        <v>69</v>
      </c>
      <c r="H1346" s="6" t="s">
        <v>69</v>
      </c>
      <c r="I1346" s="8">
        <v>146</v>
      </c>
      <c r="J1346" s="8" t="s">
        <v>382</v>
      </c>
      <c r="K1346" s="8" t="s">
        <v>38</v>
      </c>
      <c r="L1346" s="10">
        <v>2</v>
      </c>
      <c r="M1346" s="13">
        <v>17000.0</v>
      </c>
      <c r="N1346" s="13"/>
      <c r="O1346" s="15">
        <f>IF(M1346&gt;0, N1346/M1346, 0)</f>
        <v>0</v>
      </c>
      <c r="P1346" s="13">
        <f>M1346-N1346</f>
        <v>17000</v>
      </c>
      <c r="Q1346" s="13">
        <f>L1346*M1346</f>
        <v>34000</v>
      </c>
      <c r="R1346" s="13">
        <f>L1346*N1346</f>
        <v>0</v>
      </c>
      <c r="S1346" s="13">
        <f>L1346*P1346</f>
        <v>34000</v>
      </c>
      <c r="T1346" s="13"/>
      <c r="U1346" s="13">
        <f>L1346*T1346</f>
        <v>0</v>
      </c>
      <c r="V1346" s="13">
        <f>S1346-U1346</f>
        <v>34000</v>
      </c>
      <c r="W1346" s="15">
        <f>IF(S1346&gt;0, V1346/S1346, 0)</f>
        <v>1</v>
      </c>
      <c r="X1346" s="6" t="s">
        <v>39</v>
      </c>
      <c r="Y1346" s="8" t="s">
        <v>40</v>
      </c>
      <c r="Z1346" s="8" t="s">
        <v>41</v>
      </c>
      <c r="AA1346" s="8" t="s">
        <v>42</v>
      </c>
      <c r="AB1346" s="6" t="s">
        <v>42</v>
      </c>
    </row>
    <row r="1347" spans="1:28">
      <c r="A1347" s="9">
        <v>1340</v>
      </c>
      <c r="B1347" s="9" t="s">
        <v>1666</v>
      </c>
      <c r="C1347" s="9" t="s">
        <v>1625</v>
      </c>
      <c r="D1347" s="9" t="s">
        <v>652</v>
      </c>
      <c r="E1347" s="9" t="s">
        <v>68</v>
      </c>
      <c r="F1347" s="7" t="s">
        <v>50</v>
      </c>
      <c r="G1347" s="7" t="s">
        <v>56</v>
      </c>
      <c r="H1347" s="7" t="s">
        <v>56</v>
      </c>
      <c r="I1347" s="9">
        <v>146</v>
      </c>
      <c r="J1347" s="9" t="s">
        <v>751</v>
      </c>
      <c r="K1347" s="9" t="s">
        <v>38</v>
      </c>
      <c r="L1347" s="11">
        <v>1</v>
      </c>
      <c r="M1347" s="14">
        <v>8000.0</v>
      </c>
      <c r="N1347" s="14"/>
      <c r="O1347" s="16">
        <f>IF(M1347&gt;0, N1347/M1347, 0)</f>
        <v>0</v>
      </c>
      <c r="P1347" s="14">
        <f>M1347-N1347</f>
        <v>8000</v>
      </c>
      <c r="Q1347" s="14">
        <f>L1347*M1347</f>
        <v>8000</v>
      </c>
      <c r="R1347" s="14">
        <f>L1347*N1347</f>
        <v>0</v>
      </c>
      <c r="S1347" s="14">
        <f>L1347*P1347</f>
        <v>8000</v>
      </c>
      <c r="T1347" s="14"/>
      <c r="U1347" s="14">
        <f>L1347*T1347</f>
        <v>0</v>
      </c>
      <c r="V1347" s="14">
        <f>S1347-U1347</f>
        <v>8000</v>
      </c>
      <c r="W1347" s="16">
        <f>IF(S1347&gt;0, V1347/S1347, 0)</f>
        <v>1</v>
      </c>
      <c r="X1347" s="7" t="s">
        <v>39</v>
      </c>
      <c r="Y1347" s="9" t="s">
        <v>40</v>
      </c>
      <c r="Z1347" s="9" t="s">
        <v>71</v>
      </c>
      <c r="AA1347" s="9" t="s">
        <v>42</v>
      </c>
      <c r="AB1347" s="7" t="s">
        <v>42</v>
      </c>
    </row>
    <row r="1348" spans="1:28">
      <c r="A1348" s="8">
        <v>1341</v>
      </c>
      <c r="B1348" s="8" t="s">
        <v>1667</v>
      </c>
      <c r="C1348" s="8" t="s">
        <v>1625</v>
      </c>
      <c r="D1348" s="8" t="s">
        <v>652</v>
      </c>
      <c r="E1348" s="8" t="s">
        <v>68</v>
      </c>
      <c r="F1348" s="6" t="s">
        <v>50</v>
      </c>
      <c r="G1348" s="6" t="s">
        <v>63</v>
      </c>
      <c r="H1348" s="6" t="s">
        <v>148</v>
      </c>
      <c r="I1348" s="8">
        <v>146</v>
      </c>
      <c r="J1348" s="8" t="s">
        <v>167</v>
      </c>
      <c r="K1348" s="8" t="s">
        <v>38</v>
      </c>
      <c r="L1348" s="10">
        <v>2</v>
      </c>
      <c r="M1348" s="13">
        <v>10000.0</v>
      </c>
      <c r="N1348" s="13"/>
      <c r="O1348" s="15">
        <f>IF(M1348&gt;0, N1348/M1348, 0)</f>
        <v>0</v>
      </c>
      <c r="P1348" s="13">
        <f>M1348-N1348</f>
        <v>10000</v>
      </c>
      <c r="Q1348" s="13">
        <f>L1348*M1348</f>
        <v>20000</v>
      </c>
      <c r="R1348" s="13">
        <f>L1348*N1348</f>
        <v>0</v>
      </c>
      <c r="S1348" s="13">
        <f>L1348*P1348</f>
        <v>20000</v>
      </c>
      <c r="T1348" s="13"/>
      <c r="U1348" s="13">
        <f>L1348*T1348</f>
        <v>0</v>
      </c>
      <c r="V1348" s="13">
        <f>S1348-U1348</f>
        <v>20000</v>
      </c>
      <c r="W1348" s="15">
        <f>IF(S1348&gt;0, V1348/S1348, 0)</f>
        <v>1</v>
      </c>
      <c r="X1348" s="6" t="s">
        <v>39</v>
      </c>
      <c r="Y1348" s="8" t="s">
        <v>40</v>
      </c>
      <c r="Z1348" s="8" t="s">
        <v>71</v>
      </c>
      <c r="AA1348" s="8" t="s">
        <v>42</v>
      </c>
      <c r="AB1348" s="6" t="s">
        <v>42</v>
      </c>
    </row>
    <row r="1349" spans="1:28">
      <c r="A1349" s="9">
        <v>1342</v>
      </c>
      <c r="B1349" s="9" t="s">
        <v>1668</v>
      </c>
      <c r="C1349" s="9" t="s">
        <v>1625</v>
      </c>
      <c r="D1349" s="9" t="s">
        <v>652</v>
      </c>
      <c r="E1349" s="9" t="s">
        <v>33</v>
      </c>
      <c r="F1349" s="7" t="s">
        <v>50</v>
      </c>
      <c r="G1349" s="7" t="s">
        <v>51</v>
      </c>
      <c r="H1349" s="7" t="s">
        <v>51</v>
      </c>
      <c r="I1349" s="9">
        <v>146</v>
      </c>
      <c r="J1349" s="9" t="s">
        <v>254</v>
      </c>
      <c r="K1349" s="9" t="s">
        <v>53</v>
      </c>
      <c r="L1349" s="11">
        <v>1</v>
      </c>
      <c r="M1349" s="14">
        <v>8000.0</v>
      </c>
      <c r="N1349" s="14"/>
      <c r="O1349" s="16">
        <f>IF(M1349&gt;0, N1349/M1349, 0)</f>
        <v>0</v>
      </c>
      <c r="P1349" s="14">
        <f>M1349-N1349</f>
        <v>8000</v>
      </c>
      <c r="Q1349" s="14">
        <f>L1349*M1349</f>
        <v>8000</v>
      </c>
      <c r="R1349" s="14">
        <f>L1349*N1349</f>
        <v>0</v>
      </c>
      <c r="S1349" s="14">
        <f>L1349*P1349</f>
        <v>8000</v>
      </c>
      <c r="T1349" s="14"/>
      <c r="U1349" s="14">
        <f>L1349*T1349</f>
        <v>0</v>
      </c>
      <c r="V1349" s="14">
        <f>S1349-U1349</f>
        <v>8000</v>
      </c>
      <c r="W1349" s="16">
        <f>IF(S1349&gt;0, V1349/S1349, 0)</f>
        <v>1</v>
      </c>
      <c r="X1349" s="7" t="s">
        <v>39</v>
      </c>
      <c r="Y1349" s="9" t="s">
        <v>40</v>
      </c>
      <c r="Z1349" s="9" t="s">
        <v>41</v>
      </c>
      <c r="AA1349" s="9" t="s">
        <v>42</v>
      </c>
      <c r="AB1349" s="7" t="s">
        <v>42</v>
      </c>
    </row>
    <row r="1350" spans="1:28">
      <c r="A1350" s="8">
        <v>1343</v>
      </c>
      <c r="B1350" s="8" t="s">
        <v>1669</v>
      </c>
      <c r="C1350" s="8" t="s">
        <v>1625</v>
      </c>
      <c r="D1350" s="8" t="s">
        <v>652</v>
      </c>
      <c r="E1350" s="8" t="s">
        <v>33</v>
      </c>
      <c r="F1350" s="6" t="s">
        <v>34</v>
      </c>
      <c r="G1350" s="6" t="s">
        <v>35</v>
      </c>
      <c r="H1350" s="6" t="s">
        <v>36</v>
      </c>
      <c r="I1350" s="8">
        <v>146</v>
      </c>
      <c r="J1350" s="8" t="s">
        <v>528</v>
      </c>
      <c r="K1350" s="8" t="s">
        <v>38</v>
      </c>
      <c r="L1350" s="10">
        <v>2</v>
      </c>
      <c r="M1350" s="13">
        <v>7000.0</v>
      </c>
      <c r="N1350" s="13"/>
      <c r="O1350" s="15">
        <f>IF(M1350&gt;0, N1350/M1350, 0)</f>
        <v>0</v>
      </c>
      <c r="P1350" s="13">
        <f>M1350-N1350</f>
        <v>7000</v>
      </c>
      <c r="Q1350" s="13">
        <f>L1350*M1350</f>
        <v>14000</v>
      </c>
      <c r="R1350" s="13">
        <f>L1350*N1350</f>
        <v>0</v>
      </c>
      <c r="S1350" s="13">
        <f>L1350*P1350</f>
        <v>14000</v>
      </c>
      <c r="T1350" s="13"/>
      <c r="U1350" s="13">
        <f>L1350*T1350</f>
        <v>0</v>
      </c>
      <c r="V1350" s="13">
        <f>S1350-U1350</f>
        <v>14000</v>
      </c>
      <c r="W1350" s="15">
        <f>IF(S1350&gt;0, V1350/S1350, 0)</f>
        <v>1</v>
      </c>
      <c r="X1350" s="6" t="s">
        <v>39</v>
      </c>
      <c r="Y1350" s="8" t="s">
        <v>40</v>
      </c>
      <c r="Z1350" s="8" t="s">
        <v>41</v>
      </c>
      <c r="AA1350" s="8" t="s">
        <v>42</v>
      </c>
      <c r="AB1350" s="6" t="s">
        <v>42</v>
      </c>
    </row>
    <row r="1351" spans="1:28">
      <c r="A1351" s="9">
        <v>1344</v>
      </c>
      <c r="B1351" s="9" t="s">
        <v>1670</v>
      </c>
      <c r="C1351" s="9" t="s">
        <v>1625</v>
      </c>
      <c r="D1351" s="9" t="s">
        <v>652</v>
      </c>
      <c r="E1351" s="9" t="s">
        <v>68</v>
      </c>
      <c r="F1351" s="7" t="s">
        <v>34</v>
      </c>
      <c r="G1351" s="7" t="s">
        <v>69</v>
      </c>
      <c r="H1351" s="7" t="s">
        <v>69</v>
      </c>
      <c r="I1351" s="9">
        <v>164</v>
      </c>
      <c r="J1351" s="9" t="s">
        <v>70</v>
      </c>
      <c r="K1351" s="9" t="s">
        <v>38</v>
      </c>
      <c r="L1351" s="11">
        <v>1</v>
      </c>
      <c r="M1351" s="14">
        <v>18000.0</v>
      </c>
      <c r="N1351" s="14"/>
      <c r="O1351" s="16">
        <f>IF(M1351&gt;0, N1351/M1351, 0)</f>
        <v>0</v>
      </c>
      <c r="P1351" s="14">
        <f>M1351-N1351</f>
        <v>18000</v>
      </c>
      <c r="Q1351" s="14">
        <f>L1351*M1351</f>
        <v>18000</v>
      </c>
      <c r="R1351" s="14">
        <f>L1351*N1351</f>
        <v>0</v>
      </c>
      <c r="S1351" s="14">
        <f>L1351*P1351</f>
        <v>18000</v>
      </c>
      <c r="T1351" s="14"/>
      <c r="U1351" s="14">
        <f>L1351*T1351</f>
        <v>0</v>
      </c>
      <c r="V1351" s="14">
        <f>S1351-U1351</f>
        <v>18000</v>
      </c>
      <c r="W1351" s="16">
        <f>IF(S1351&gt;0, V1351/S1351, 0)</f>
        <v>1</v>
      </c>
      <c r="X1351" s="7" t="s">
        <v>39</v>
      </c>
      <c r="Y1351" s="9" t="s">
        <v>40</v>
      </c>
      <c r="Z1351" s="9" t="s">
        <v>71</v>
      </c>
      <c r="AA1351" s="9" t="s">
        <v>42</v>
      </c>
      <c r="AB1351" s="7" t="s">
        <v>42</v>
      </c>
    </row>
    <row r="1352" spans="1:28">
      <c r="A1352" s="8">
        <v>1345</v>
      </c>
      <c r="B1352" s="8" t="s">
        <v>1671</v>
      </c>
      <c r="C1352" s="8" t="s">
        <v>1625</v>
      </c>
      <c r="D1352" s="8" t="s">
        <v>652</v>
      </c>
      <c r="E1352" s="8" t="s">
        <v>33</v>
      </c>
      <c r="F1352" s="6" t="s">
        <v>34</v>
      </c>
      <c r="G1352" s="6" t="s">
        <v>63</v>
      </c>
      <c r="H1352" s="6" t="s">
        <v>148</v>
      </c>
      <c r="I1352" s="8">
        <v>158</v>
      </c>
      <c r="J1352" s="8" t="s">
        <v>217</v>
      </c>
      <c r="K1352" s="8" t="s">
        <v>38</v>
      </c>
      <c r="L1352" s="10">
        <v>2</v>
      </c>
      <c r="M1352" s="13">
        <v>9500.0</v>
      </c>
      <c r="N1352" s="13"/>
      <c r="O1352" s="15">
        <f>IF(M1352&gt;0, N1352/M1352, 0)</f>
        <v>0</v>
      </c>
      <c r="P1352" s="13">
        <f>M1352-N1352</f>
        <v>9500</v>
      </c>
      <c r="Q1352" s="13">
        <f>L1352*M1352</f>
        <v>19000</v>
      </c>
      <c r="R1352" s="13">
        <f>L1352*N1352</f>
        <v>0</v>
      </c>
      <c r="S1352" s="13">
        <f>L1352*P1352</f>
        <v>19000</v>
      </c>
      <c r="T1352" s="13"/>
      <c r="U1352" s="13">
        <f>L1352*T1352</f>
        <v>0</v>
      </c>
      <c r="V1352" s="13">
        <f>S1352-U1352</f>
        <v>19000</v>
      </c>
      <c r="W1352" s="15">
        <f>IF(S1352&gt;0, V1352/S1352, 0)</f>
        <v>1</v>
      </c>
      <c r="X1352" s="6" t="s">
        <v>39</v>
      </c>
      <c r="Y1352" s="8" t="s">
        <v>40</v>
      </c>
      <c r="Z1352" s="8" t="s">
        <v>41</v>
      </c>
      <c r="AA1352" s="8" t="s">
        <v>42</v>
      </c>
      <c r="AB1352" s="6" t="s">
        <v>42</v>
      </c>
    </row>
    <row r="1353" spans="1:28">
      <c r="A1353" s="9">
        <v>1346</v>
      </c>
      <c r="B1353" s="9" t="s">
        <v>1672</v>
      </c>
      <c r="C1353" s="9" t="s">
        <v>1625</v>
      </c>
      <c r="D1353" s="9" t="s">
        <v>652</v>
      </c>
      <c r="E1353" s="9" t="s">
        <v>33</v>
      </c>
      <c r="F1353" s="7" t="s">
        <v>34</v>
      </c>
      <c r="G1353" s="7" t="s">
        <v>45</v>
      </c>
      <c r="H1353" s="7" t="s">
        <v>46</v>
      </c>
      <c r="I1353" s="9">
        <v>164</v>
      </c>
      <c r="J1353" s="9" t="s">
        <v>318</v>
      </c>
      <c r="K1353" s="9" t="s">
        <v>38</v>
      </c>
      <c r="L1353" s="11">
        <v>1</v>
      </c>
      <c r="M1353" s="14">
        <v>8500.0</v>
      </c>
      <c r="N1353" s="14"/>
      <c r="O1353" s="16">
        <f>IF(M1353&gt;0, N1353/M1353, 0)</f>
        <v>0</v>
      </c>
      <c r="P1353" s="14">
        <f>M1353-N1353</f>
        <v>8500</v>
      </c>
      <c r="Q1353" s="14">
        <f>L1353*M1353</f>
        <v>8500</v>
      </c>
      <c r="R1353" s="14">
        <f>L1353*N1353</f>
        <v>0</v>
      </c>
      <c r="S1353" s="14">
        <f>L1353*P1353</f>
        <v>8500</v>
      </c>
      <c r="T1353" s="14"/>
      <c r="U1353" s="14">
        <f>L1353*T1353</f>
        <v>0</v>
      </c>
      <c r="V1353" s="14">
        <f>S1353-U1353</f>
        <v>8500</v>
      </c>
      <c r="W1353" s="16">
        <f>IF(S1353&gt;0, V1353/S1353, 0)</f>
        <v>1</v>
      </c>
      <c r="X1353" s="7" t="s">
        <v>39</v>
      </c>
      <c r="Y1353" s="9" t="s">
        <v>40</v>
      </c>
      <c r="Z1353" s="9" t="s">
        <v>41</v>
      </c>
      <c r="AA1353" s="9" t="s">
        <v>42</v>
      </c>
      <c r="AB1353" s="7" t="s">
        <v>42</v>
      </c>
    </row>
    <row r="1354" spans="1:28">
      <c r="A1354" s="8">
        <v>1347</v>
      </c>
      <c r="B1354" s="8" t="s">
        <v>1673</v>
      </c>
      <c r="C1354" s="8" t="s">
        <v>1625</v>
      </c>
      <c r="D1354" s="8" t="s">
        <v>652</v>
      </c>
      <c r="E1354" s="8" t="s">
        <v>33</v>
      </c>
      <c r="F1354" s="6" t="s">
        <v>34</v>
      </c>
      <c r="G1354" s="6" t="s">
        <v>51</v>
      </c>
      <c r="H1354" s="6" t="s">
        <v>51</v>
      </c>
      <c r="I1354" s="8">
        <v>164</v>
      </c>
      <c r="J1354" s="8" t="s">
        <v>61</v>
      </c>
      <c r="K1354" s="8" t="s">
        <v>38</v>
      </c>
      <c r="L1354" s="10">
        <v>1</v>
      </c>
      <c r="M1354" s="13">
        <v>7500.0</v>
      </c>
      <c r="N1354" s="13"/>
      <c r="O1354" s="15">
        <f>IF(M1354&gt;0, N1354/M1354, 0)</f>
        <v>0</v>
      </c>
      <c r="P1354" s="13">
        <f>M1354-N1354</f>
        <v>7500</v>
      </c>
      <c r="Q1354" s="13">
        <f>L1354*M1354</f>
        <v>7500</v>
      </c>
      <c r="R1354" s="13">
        <f>L1354*N1354</f>
        <v>0</v>
      </c>
      <c r="S1354" s="13">
        <f>L1354*P1354</f>
        <v>7500</v>
      </c>
      <c r="T1354" s="13"/>
      <c r="U1354" s="13">
        <f>L1354*T1354</f>
        <v>0</v>
      </c>
      <c r="V1354" s="13">
        <f>S1354-U1354</f>
        <v>7500</v>
      </c>
      <c r="W1354" s="15">
        <f>IF(S1354&gt;0, V1354/S1354, 0)</f>
        <v>1</v>
      </c>
      <c r="X1354" s="6" t="s">
        <v>39</v>
      </c>
      <c r="Y1354" s="8" t="s">
        <v>40</v>
      </c>
      <c r="Z1354" s="8" t="s">
        <v>41</v>
      </c>
      <c r="AA1354" s="8" t="s">
        <v>42</v>
      </c>
      <c r="AB1354" s="6" t="s">
        <v>42</v>
      </c>
    </row>
    <row r="1355" spans="1:28">
      <c r="A1355" s="9">
        <v>1348</v>
      </c>
      <c r="B1355" s="9" t="s">
        <v>1674</v>
      </c>
      <c r="C1355" s="9" t="s">
        <v>1625</v>
      </c>
      <c r="D1355" s="9" t="s">
        <v>652</v>
      </c>
      <c r="E1355" s="9" t="s">
        <v>33</v>
      </c>
      <c r="F1355" s="7" t="s">
        <v>34</v>
      </c>
      <c r="G1355" s="7" t="s">
        <v>56</v>
      </c>
      <c r="H1355" s="7" t="s">
        <v>56</v>
      </c>
      <c r="I1355" s="9">
        <v>164</v>
      </c>
      <c r="J1355" s="9" t="s">
        <v>57</v>
      </c>
      <c r="K1355" s="9" t="s">
        <v>38</v>
      </c>
      <c r="L1355" s="11">
        <v>1</v>
      </c>
      <c r="M1355" s="14">
        <v>7500.0</v>
      </c>
      <c r="N1355" s="14"/>
      <c r="O1355" s="16">
        <f>IF(M1355&gt;0, N1355/M1355, 0)</f>
        <v>0</v>
      </c>
      <c r="P1355" s="14">
        <f>M1355-N1355</f>
        <v>7500</v>
      </c>
      <c r="Q1355" s="14">
        <f>L1355*M1355</f>
        <v>7500</v>
      </c>
      <c r="R1355" s="14">
        <f>L1355*N1355</f>
        <v>0</v>
      </c>
      <c r="S1355" s="14">
        <f>L1355*P1355</f>
        <v>7500</v>
      </c>
      <c r="T1355" s="14"/>
      <c r="U1355" s="14">
        <f>L1355*T1355</f>
        <v>0</v>
      </c>
      <c r="V1355" s="14">
        <f>S1355-U1355</f>
        <v>7500</v>
      </c>
      <c r="W1355" s="16">
        <f>IF(S1355&gt;0, V1355/S1355, 0)</f>
        <v>1</v>
      </c>
      <c r="X1355" s="7" t="s">
        <v>39</v>
      </c>
      <c r="Y1355" s="9" t="s">
        <v>40</v>
      </c>
      <c r="Z1355" s="9" t="s">
        <v>41</v>
      </c>
      <c r="AA1355" s="9" t="s">
        <v>42</v>
      </c>
      <c r="AB1355" s="7" t="s">
        <v>42</v>
      </c>
    </row>
    <row r="1356" spans="1:28">
      <c r="A1356" s="8">
        <v>1349</v>
      </c>
      <c r="B1356" s="8" t="s">
        <v>1675</v>
      </c>
      <c r="C1356" s="8" t="s">
        <v>1625</v>
      </c>
      <c r="D1356" s="8" t="s">
        <v>652</v>
      </c>
      <c r="E1356" s="8" t="s">
        <v>33</v>
      </c>
      <c r="F1356" s="6" t="s">
        <v>34</v>
      </c>
      <c r="G1356" s="6" t="s">
        <v>35</v>
      </c>
      <c r="H1356" s="6" t="s">
        <v>73</v>
      </c>
      <c r="I1356" s="8">
        <v>164</v>
      </c>
      <c r="J1356" s="8" t="s">
        <v>74</v>
      </c>
      <c r="K1356" s="8" t="s">
        <v>38</v>
      </c>
      <c r="L1356" s="10">
        <v>1</v>
      </c>
      <c r="M1356" s="13">
        <v>9000.0</v>
      </c>
      <c r="N1356" s="13"/>
      <c r="O1356" s="15">
        <f>IF(M1356&gt;0, N1356/M1356, 0)</f>
        <v>0</v>
      </c>
      <c r="P1356" s="13">
        <f>M1356-N1356</f>
        <v>9000</v>
      </c>
      <c r="Q1356" s="13">
        <f>L1356*M1356</f>
        <v>9000</v>
      </c>
      <c r="R1356" s="13">
        <f>L1356*N1356</f>
        <v>0</v>
      </c>
      <c r="S1356" s="13">
        <f>L1356*P1356</f>
        <v>9000</v>
      </c>
      <c r="T1356" s="13"/>
      <c r="U1356" s="13">
        <f>L1356*T1356</f>
        <v>0</v>
      </c>
      <c r="V1356" s="13">
        <f>S1356-U1356</f>
        <v>9000</v>
      </c>
      <c r="W1356" s="15">
        <f>IF(S1356&gt;0, V1356/S1356, 0)</f>
        <v>1</v>
      </c>
      <c r="X1356" s="6" t="s">
        <v>39</v>
      </c>
      <c r="Y1356" s="8" t="s">
        <v>40</v>
      </c>
      <c r="Z1356" s="8" t="s">
        <v>41</v>
      </c>
      <c r="AA1356" s="8" t="s">
        <v>42</v>
      </c>
      <c r="AB1356" s="6" t="s">
        <v>42</v>
      </c>
    </row>
    <row r="1357" spans="1:28">
      <c r="A1357" s="9">
        <v>1350</v>
      </c>
      <c r="B1357" s="9" t="s">
        <v>1676</v>
      </c>
      <c r="C1357" s="9" t="s">
        <v>1625</v>
      </c>
      <c r="D1357" s="9" t="s">
        <v>652</v>
      </c>
      <c r="E1357" s="9" t="s">
        <v>33</v>
      </c>
      <c r="F1357" s="7" t="s">
        <v>34</v>
      </c>
      <c r="G1357" s="7" t="s">
        <v>35</v>
      </c>
      <c r="H1357" s="7" t="s">
        <v>36</v>
      </c>
      <c r="I1357" s="9">
        <v>164</v>
      </c>
      <c r="J1357" s="9" t="s">
        <v>77</v>
      </c>
      <c r="K1357" s="9" t="s">
        <v>38</v>
      </c>
      <c r="L1357" s="11">
        <v>2</v>
      </c>
      <c r="M1357" s="14">
        <v>8000.0</v>
      </c>
      <c r="N1357" s="14"/>
      <c r="O1357" s="16">
        <f>IF(M1357&gt;0, N1357/M1357, 0)</f>
        <v>0</v>
      </c>
      <c r="P1357" s="14">
        <f>M1357-N1357</f>
        <v>8000</v>
      </c>
      <c r="Q1357" s="14">
        <f>L1357*M1357</f>
        <v>16000</v>
      </c>
      <c r="R1357" s="14">
        <f>L1357*N1357</f>
        <v>0</v>
      </c>
      <c r="S1357" s="14">
        <f>L1357*P1357</f>
        <v>16000</v>
      </c>
      <c r="T1357" s="14"/>
      <c r="U1357" s="14">
        <f>L1357*T1357</f>
        <v>0</v>
      </c>
      <c r="V1357" s="14">
        <f>S1357-U1357</f>
        <v>16000</v>
      </c>
      <c r="W1357" s="16">
        <f>IF(S1357&gt;0, V1357/S1357, 0)</f>
        <v>1</v>
      </c>
      <c r="X1357" s="7" t="s">
        <v>39</v>
      </c>
      <c r="Y1357" s="9" t="s">
        <v>40</v>
      </c>
      <c r="Z1357" s="9" t="s">
        <v>41</v>
      </c>
      <c r="AA1357" s="9" t="s">
        <v>42</v>
      </c>
      <c r="AB1357" s="7" t="s">
        <v>42</v>
      </c>
    </row>
    <row r="1358" spans="1:28">
      <c r="A1358" s="8">
        <v>1351</v>
      </c>
      <c r="B1358" s="8" t="s">
        <v>1677</v>
      </c>
      <c r="C1358" s="8" t="s">
        <v>1678</v>
      </c>
      <c r="D1358" s="8" t="s">
        <v>652</v>
      </c>
      <c r="E1358" s="8" t="s">
        <v>33</v>
      </c>
      <c r="F1358" s="6" t="s">
        <v>34</v>
      </c>
      <c r="G1358" s="6" t="s">
        <v>35</v>
      </c>
      <c r="H1358" s="6" t="s">
        <v>73</v>
      </c>
      <c r="I1358" s="8">
        <v>164</v>
      </c>
      <c r="J1358" s="8" t="s">
        <v>74</v>
      </c>
      <c r="K1358" s="8" t="s">
        <v>38</v>
      </c>
      <c r="L1358" s="10">
        <v>1</v>
      </c>
      <c r="M1358" s="13">
        <v>9000.0</v>
      </c>
      <c r="N1358" s="13"/>
      <c r="O1358" s="15">
        <f>IF(M1358&gt;0, N1358/M1358, 0)</f>
        <v>0</v>
      </c>
      <c r="P1358" s="13">
        <f>M1358-N1358</f>
        <v>9000</v>
      </c>
      <c r="Q1358" s="13">
        <f>L1358*M1358</f>
        <v>9000</v>
      </c>
      <c r="R1358" s="13">
        <f>L1358*N1358</f>
        <v>0</v>
      </c>
      <c r="S1358" s="13">
        <f>L1358*P1358</f>
        <v>9000</v>
      </c>
      <c r="T1358" s="13"/>
      <c r="U1358" s="13">
        <f>L1358*T1358</f>
        <v>0</v>
      </c>
      <c r="V1358" s="13">
        <f>S1358-U1358</f>
        <v>9000</v>
      </c>
      <c r="W1358" s="15">
        <f>IF(S1358&gt;0, V1358/S1358, 0)</f>
        <v>1</v>
      </c>
      <c r="X1358" s="6" t="s">
        <v>39</v>
      </c>
      <c r="Y1358" s="8" t="s">
        <v>40</v>
      </c>
      <c r="Z1358" s="8" t="s">
        <v>41</v>
      </c>
      <c r="AA1358" s="8" t="s">
        <v>42</v>
      </c>
      <c r="AB1358" s="6" t="s">
        <v>42</v>
      </c>
    </row>
    <row r="1359" spans="1:28">
      <c r="A1359" s="9">
        <v>1352</v>
      </c>
      <c r="B1359" s="9" t="s">
        <v>1679</v>
      </c>
      <c r="C1359" s="9" t="s">
        <v>1678</v>
      </c>
      <c r="D1359" s="9" t="s">
        <v>652</v>
      </c>
      <c r="E1359" s="9" t="s">
        <v>33</v>
      </c>
      <c r="F1359" s="7" t="s">
        <v>34</v>
      </c>
      <c r="G1359" s="7" t="s">
        <v>35</v>
      </c>
      <c r="H1359" s="7" t="s">
        <v>36</v>
      </c>
      <c r="I1359" s="9">
        <v>164</v>
      </c>
      <c r="J1359" s="9" t="s">
        <v>77</v>
      </c>
      <c r="K1359" s="9" t="s">
        <v>38</v>
      </c>
      <c r="L1359" s="11">
        <v>1</v>
      </c>
      <c r="M1359" s="14">
        <v>8000.0</v>
      </c>
      <c r="N1359" s="14"/>
      <c r="O1359" s="16">
        <f>IF(M1359&gt;0, N1359/M1359, 0)</f>
        <v>0</v>
      </c>
      <c r="P1359" s="14">
        <f>M1359-N1359</f>
        <v>8000</v>
      </c>
      <c r="Q1359" s="14">
        <f>L1359*M1359</f>
        <v>8000</v>
      </c>
      <c r="R1359" s="14">
        <f>L1359*N1359</f>
        <v>0</v>
      </c>
      <c r="S1359" s="14">
        <f>L1359*P1359</f>
        <v>8000</v>
      </c>
      <c r="T1359" s="14"/>
      <c r="U1359" s="14">
        <f>L1359*T1359</f>
        <v>0</v>
      </c>
      <c r="V1359" s="14">
        <f>S1359-U1359</f>
        <v>8000</v>
      </c>
      <c r="W1359" s="16">
        <f>IF(S1359&gt;0, V1359/S1359, 0)</f>
        <v>1</v>
      </c>
      <c r="X1359" s="7" t="s">
        <v>39</v>
      </c>
      <c r="Y1359" s="9" t="s">
        <v>40</v>
      </c>
      <c r="Z1359" s="9" t="s">
        <v>41</v>
      </c>
      <c r="AA1359" s="9" t="s">
        <v>42</v>
      </c>
      <c r="AB1359" s="7" t="s">
        <v>42</v>
      </c>
    </row>
    <row r="1360" spans="1:28">
      <c r="A1360" s="8">
        <v>1353</v>
      </c>
      <c r="B1360" s="8" t="s">
        <v>1680</v>
      </c>
      <c r="C1360" s="8" t="s">
        <v>1678</v>
      </c>
      <c r="D1360" s="8" t="s">
        <v>652</v>
      </c>
      <c r="E1360" s="8" t="s">
        <v>68</v>
      </c>
      <c r="F1360" s="6" t="s">
        <v>34</v>
      </c>
      <c r="G1360" s="6" t="s">
        <v>69</v>
      </c>
      <c r="H1360" s="6" t="s">
        <v>69</v>
      </c>
      <c r="I1360" s="8">
        <v>158</v>
      </c>
      <c r="J1360" s="8" t="s">
        <v>260</v>
      </c>
      <c r="K1360" s="8" t="s">
        <v>38</v>
      </c>
      <c r="L1360" s="10">
        <v>1</v>
      </c>
      <c r="M1360" s="13">
        <v>18000.0</v>
      </c>
      <c r="N1360" s="13"/>
      <c r="O1360" s="15">
        <f>IF(M1360&gt;0, N1360/M1360, 0)</f>
        <v>0</v>
      </c>
      <c r="P1360" s="13">
        <f>M1360-N1360</f>
        <v>18000</v>
      </c>
      <c r="Q1360" s="13">
        <f>L1360*M1360</f>
        <v>18000</v>
      </c>
      <c r="R1360" s="13">
        <f>L1360*N1360</f>
        <v>0</v>
      </c>
      <c r="S1360" s="13">
        <f>L1360*P1360</f>
        <v>18000</v>
      </c>
      <c r="T1360" s="13"/>
      <c r="U1360" s="13">
        <f>L1360*T1360</f>
        <v>0</v>
      </c>
      <c r="V1360" s="13">
        <f>S1360-U1360</f>
        <v>18000</v>
      </c>
      <c r="W1360" s="15">
        <f>IF(S1360&gt;0, V1360/S1360, 0)</f>
        <v>1</v>
      </c>
      <c r="X1360" s="6" t="s">
        <v>39</v>
      </c>
      <c r="Y1360" s="8" t="s">
        <v>40</v>
      </c>
      <c r="Z1360" s="8" t="s">
        <v>71</v>
      </c>
      <c r="AA1360" s="8" t="s">
        <v>42</v>
      </c>
      <c r="AB1360" s="6" t="s">
        <v>42</v>
      </c>
    </row>
    <row r="1361" spans="1:28">
      <c r="A1361" s="9">
        <v>1354</v>
      </c>
      <c r="B1361" s="9" t="s">
        <v>1681</v>
      </c>
      <c r="C1361" s="9" t="s">
        <v>1678</v>
      </c>
      <c r="D1361" s="9" t="s">
        <v>652</v>
      </c>
      <c r="E1361" s="9" t="s">
        <v>68</v>
      </c>
      <c r="F1361" s="7" t="s">
        <v>34</v>
      </c>
      <c r="G1361" s="7" t="s">
        <v>35</v>
      </c>
      <c r="H1361" s="7" t="s">
        <v>73</v>
      </c>
      <c r="I1361" s="9">
        <v>158</v>
      </c>
      <c r="J1361" s="9" t="s">
        <v>291</v>
      </c>
      <c r="K1361" s="9" t="s">
        <v>38</v>
      </c>
      <c r="L1361" s="11">
        <v>2</v>
      </c>
      <c r="M1361" s="14">
        <v>11000.0</v>
      </c>
      <c r="N1361" s="14"/>
      <c r="O1361" s="16">
        <f>IF(M1361&gt;0, N1361/M1361, 0)</f>
        <v>0</v>
      </c>
      <c r="P1361" s="14">
        <f>M1361-N1361</f>
        <v>11000</v>
      </c>
      <c r="Q1361" s="14">
        <f>L1361*M1361</f>
        <v>22000</v>
      </c>
      <c r="R1361" s="14">
        <f>L1361*N1361</f>
        <v>0</v>
      </c>
      <c r="S1361" s="14">
        <f>L1361*P1361</f>
        <v>22000</v>
      </c>
      <c r="T1361" s="14"/>
      <c r="U1361" s="14">
        <f>L1361*T1361</f>
        <v>0</v>
      </c>
      <c r="V1361" s="14">
        <f>S1361-U1361</f>
        <v>22000</v>
      </c>
      <c r="W1361" s="16">
        <f>IF(S1361&gt;0, V1361/S1361, 0)</f>
        <v>1</v>
      </c>
      <c r="X1361" s="7" t="s">
        <v>39</v>
      </c>
      <c r="Y1361" s="9" t="s">
        <v>40</v>
      </c>
      <c r="Z1361" s="9" t="s">
        <v>71</v>
      </c>
      <c r="AA1361" s="9" t="s">
        <v>42</v>
      </c>
      <c r="AB1361" s="7" t="s">
        <v>42</v>
      </c>
    </row>
    <row r="1362" spans="1:28">
      <c r="A1362" s="8">
        <v>1355</v>
      </c>
      <c r="B1362" s="8" t="s">
        <v>1682</v>
      </c>
      <c r="C1362" s="8" t="s">
        <v>1678</v>
      </c>
      <c r="D1362" s="8" t="s">
        <v>652</v>
      </c>
      <c r="E1362" s="8" t="s">
        <v>33</v>
      </c>
      <c r="F1362" s="6" t="s">
        <v>34</v>
      </c>
      <c r="G1362" s="6" t="s">
        <v>63</v>
      </c>
      <c r="H1362" s="6" t="s">
        <v>148</v>
      </c>
      <c r="I1362" s="8">
        <v>158</v>
      </c>
      <c r="J1362" s="8" t="s">
        <v>217</v>
      </c>
      <c r="K1362" s="8" t="s">
        <v>38</v>
      </c>
      <c r="L1362" s="10">
        <v>1</v>
      </c>
      <c r="M1362" s="13">
        <v>7500.0</v>
      </c>
      <c r="N1362" s="13"/>
      <c r="O1362" s="15">
        <f>IF(M1362&gt;0, N1362/M1362, 0)</f>
        <v>0</v>
      </c>
      <c r="P1362" s="13">
        <f>M1362-N1362</f>
        <v>7500</v>
      </c>
      <c r="Q1362" s="13">
        <f>L1362*M1362</f>
        <v>7500</v>
      </c>
      <c r="R1362" s="13">
        <f>L1362*N1362</f>
        <v>0</v>
      </c>
      <c r="S1362" s="13">
        <f>L1362*P1362</f>
        <v>7500</v>
      </c>
      <c r="T1362" s="13"/>
      <c r="U1362" s="13">
        <f>L1362*T1362</f>
        <v>0</v>
      </c>
      <c r="V1362" s="13">
        <f>S1362-U1362</f>
        <v>7500</v>
      </c>
      <c r="W1362" s="15">
        <f>IF(S1362&gt;0, V1362/S1362, 0)</f>
        <v>1</v>
      </c>
      <c r="X1362" s="6" t="s">
        <v>39</v>
      </c>
      <c r="Y1362" s="8" t="s">
        <v>40</v>
      </c>
      <c r="Z1362" s="8" t="s">
        <v>41</v>
      </c>
      <c r="AA1362" s="8" t="s">
        <v>42</v>
      </c>
      <c r="AB1362" s="6" t="s">
        <v>42</v>
      </c>
    </row>
    <row r="1363" spans="1:28">
      <c r="A1363" s="9">
        <v>1356</v>
      </c>
      <c r="B1363" s="9" t="s">
        <v>1683</v>
      </c>
      <c r="C1363" s="9" t="s">
        <v>1678</v>
      </c>
      <c r="D1363" s="9" t="s">
        <v>652</v>
      </c>
      <c r="E1363" s="9" t="s">
        <v>33</v>
      </c>
      <c r="F1363" s="7" t="s">
        <v>34</v>
      </c>
      <c r="G1363" s="7" t="s">
        <v>35</v>
      </c>
      <c r="H1363" s="7" t="s">
        <v>36</v>
      </c>
      <c r="I1363" s="9">
        <v>158</v>
      </c>
      <c r="J1363" s="9" t="s">
        <v>37</v>
      </c>
      <c r="K1363" s="9" t="s">
        <v>38</v>
      </c>
      <c r="L1363" s="11">
        <v>2</v>
      </c>
      <c r="M1363" s="14">
        <v>8000.0</v>
      </c>
      <c r="N1363" s="14"/>
      <c r="O1363" s="16">
        <f>IF(M1363&gt;0, N1363/M1363, 0)</f>
        <v>0</v>
      </c>
      <c r="P1363" s="14">
        <f>M1363-N1363</f>
        <v>8000</v>
      </c>
      <c r="Q1363" s="14">
        <f>L1363*M1363</f>
        <v>16000</v>
      </c>
      <c r="R1363" s="14">
        <f>L1363*N1363</f>
        <v>0</v>
      </c>
      <c r="S1363" s="14">
        <f>L1363*P1363</f>
        <v>16000</v>
      </c>
      <c r="T1363" s="14"/>
      <c r="U1363" s="14">
        <f>L1363*T1363</f>
        <v>0</v>
      </c>
      <c r="V1363" s="14">
        <f>S1363-U1363</f>
        <v>16000</v>
      </c>
      <c r="W1363" s="16">
        <f>IF(S1363&gt;0, V1363/S1363, 0)</f>
        <v>1</v>
      </c>
      <c r="X1363" s="7" t="s">
        <v>39</v>
      </c>
      <c r="Y1363" s="9" t="s">
        <v>40</v>
      </c>
      <c r="Z1363" s="9" t="s">
        <v>41</v>
      </c>
      <c r="AA1363" s="9" t="s">
        <v>42</v>
      </c>
      <c r="AB1363" s="7" t="s">
        <v>42</v>
      </c>
    </row>
    <row r="1364" spans="1:28">
      <c r="A1364" s="8">
        <v>1357</v>
      </c>
      <c r="B1364" s="8" t="s">
        <v>1684</v>
      </c>
      <c r="C1364" s="8" t="s">
        <v>1678</v>
      </c>
      <c r="D1364" s="8" t="s">
        <v>652</v>
      </c>
      <c r="E1364" s="8" t="s">
        <v>33</v>
      </c>
      <c r="F1364" s="6" t="s">
        <v>34</v>
      </c>
      <c r="G1364" s="6" t="s">
        <v>56</v>
      </c>
      <c r="H1364" s="6" t="s">
        <v>56</v>
      </c>
      <c r="I1364" s="8">
        <v>158</v>
      </c>
      <c r="J1364" s="8" t="s">
        <v>128</v>
      </c>
      <c r="K1364" s="8" t="s">
        <v>38</v>
      </c>
      <c r="L1364" s="10">
        <v>1</v>
      </c>
      <c r="M1364" s="13">
        <v>7500.0</v>
      </c>
      <c r="N1364" s="13"/>
      <c r="O1364" s="15">
        <f>IF(M1364&gt;0, N1364/M1364, 0)</f>
        <v>0</v>
      </c>
      <c r="P1364" s="13">
        <f>M1364-N1364</f>
        <v>7500</v>
      </c>
      <c r="Q1364" s="13">
        <f>L1364*M1364</f>
        <v>7500</v>
      </c>
      <c r="R1364" s="13">
        <f>L1364*N1364</f>
        <v>0</v>
      </c>
      <c r="S1364" s="13">
        <f>L1364*P1364</f>
        <v>7500</v>
      </c>
      <c r="T1364" s="13"/>
      <c r="U1364" s="13">
        <f>L1364*T1364</f>
        <v>0</v>
      </c>
      <c r="V1364" s="13">
        <f>S1364-U1364</f>
        <v>7500</v>
      </c>
      <c r="W1364" s="15">
        <f>IF(S1364&gt;0, V1364/S1364, 0)</f>
        <v>1</v>
      </c>
      <c r="X1364" s="6" t="s">
        <v>39</v>
      </c>
      <c r="Y1364" s="8" t="s">
        <v>40</v>
      </c>
      <c r="Z1364" s="8" t="s">
        <v>41</v>
      </c>
      <c r="AA1364" s="8" t="s">
        <v>42</v>
      </c>
      <c r="AB1364" s="6" t="s">
        <v>42</v>
      </c>
    </row>
    <row r="1365" spans="1:28">
      <c r="A1365" s="9">
        <v>1358</v>
      </c>
      <c r="B1365" s="9" t="s">
        <v>1685</v>
      </c>
      <c r="C1365" s="9" t="s">
        <v>1678</v>
      </c>
      <c r="D1365" s="9" t="s">
        <v>652</v>
      </c>
      <c r="E1365" s="9" t="s">
        <v>33</v>
      </c>
      <c r="F1365" s="7" t="s">
        <v>34</v>
      </c>
      <c r="G1365" s="7" t="s">
        <v>51</v>
      </c>
      <c r="H1365" s="7" t="s">
        <v>51</v>
      </c>
      <c r="I1365" s="9">
        <v>164</v>
      </c>
      <c r="J1365" s="9" t="s">
        <v>61</v>
      </c>
      <c r="K1365" s="9" t="s">
        <v>38</v>
      </c>
      <c r="L1365" s="11">
        <v>1</v>
      </c>
      <c r="M1365" s="14">
        <v>8500.0</v>
      </c>
      <c r="N1365" s="14"/>
      <c r="O1365" s="16">
        <f>IF(M1365&gt;0, N1365/M1365, 0)</f>
        <v>0</v>
      </c>
      <c r="P1365" s="14">
        <f>M1365-N1365</f>
        <v>8500</v>
      </c>
      <c r="Q1365" s="14">
        <f>L1365*M1365</f>
        <v>8500</v>
      </c>
      <c r="R1365" s="14">
        <f>L1365*N1365</f>
        <v>0</v>
      </c>
      <c r="S1365" s="14">
        <f>L1365*P1365</f>
        <v>8500</v>
      </c>
      <c r="T1365" s="14"/>
      <c r="U1365" s="14">
        <f>L1365*T1365</f>
        <v>0</v>
      </c>
      <c r="V1365" s="14">
        <f>S1365-U1365</f>
        <v>8500</v>
      </c>
      <c r="W1365" s="16">
        <f>IF(S1365&gt;0, V1365/S1365, 0)</f>
        <v>1</v>
      </c>
      <c r="X1365" s="7" t="s">
        <v>39</v>
      </c>
      <c r="Y1365" s="9" t="s">
        <v>40</v>
      </c>
      <c r="Z1365" s="9" t="s">
        <v>41</v>
      </c>
      <c r="AA1365" s="9" t="s">
        <v>42</v>
      </c>
      <c r="AB1365" s="7" t="s">
        <v>42</v>
      </c>
    </row>
    <row r="1366" spans="1:28">
      <c r="A1366" s="8">
        <v>1359</v>
      </c>
      <c r="B1366" s="8" t="s">
        <v>1686</v>
      </c>
      <c r="C1366" s="8" t="s">
        <v>1678</v>
      </c>
      <c r="D1366" s="8" t="s">
        <v>652</v>
      </c>
      <c r="E1366" s="8" t="s">
        <v>33</v>
      </c>
      <c r="F1366" s="6" t="s">
        <v>50</v>
      </c>
      <c r="G1366" s="6" t="s">
        <v>45</v>
      </c>
      <c r="H1366" s="6" t="s">
        <v>46</v>
      </c>
      <c r="I1366" s="8">
        <v>158</v>
      </c>
      <c r="J1366" s="8" t="s">
        <v>441</v>
      </c>
      <c r="K1366" s="8" t="s">
        <v>38</v>
      </c>
      <c r="L1366" s="10">
        <v>1</v>
      </c>
      <c r="M1366" s="13">
        <v>18000.0</v>
      </c>
      <c r="N1366" s="13"/>
      <c r="O1366" s="15">
        <f>IF(M1366&gt;0, N1366/M1366, 0)</f>
        <v>0</v>
      </c>
      <c r="P1366" s="13">
        <f>M1366-N1366</f>
        <v>18000</v>
      </c>
      <c r="Q1366" s="13">
        <f>L1366*M1366</f>
        <v>18000</v>
      </c>
      <c r="R1366" s="13">
        <f>L1366*N1366</f>
        <v>0</v>
      </c>
      <c r="S1366" s="13">
        <f>L1366*P1366</f>
        <v>18000</v>
      </c>
      <c r="T1366" s="13"/>
      <c r="U1366" s="13">
        <f>L1366*T1366</f>
        <v>0</v>
      </c>
      <c r="V1366" s="13">
        <f>S1366-U1366</f>
        <v>18000</v>
      </c>
      <c r="W1366" s="15">
        <f>IF(S1366&gt;0, V1366/S1366, 0)</f>
        <v>1</v>
      </c>
      <c r="X1366" s="6" t="s">
        <v>39</v>
      </c>
      <c r="Y1366" s="8" t="s">
        <v>40</v>
      </c>
      <c r="Z1366" s="8" t="s">
        <v>41</v>
      </c>
      <c r="AA1366" s="8" t="s">
        <v>42</v>
      </c>
      <c r="AB1366" s="6" t="s">
        <v>42</v>
      </c>
    </row>
    <row r="1367" spans="1:28">
      <c r="A1367" s="9">
        <v>1360</v>
      </c>
      <c r="B1367" s="9" t="s">
        <v>1687</v>
      </c>
      <c r="C1367" s="9" t="s">
        <v>1678</v>
      </c>
      <c r="D1367" s="9" t="s">
        <v>652</v>
      </c>
      <c r="E1367" s="9" t="s">
        <v>33</v>
      </c>
      <c r="F1367" s="7" t="s">
        <v>50</v>
      </c>
      <c r="G1367" s="7" t="s">
        <v>56</v>
      </c>
      <c r="H1367" s="7" t="s">
        <v>56</v>
      </c>
      <c r="I1367" s="9">
        <v>158</v>
      </c>
      <c r="J1367" s="9" t="s">
        <v>791</v>
      </c>
      <c r="K1367" s="9" t="s">
        <v>38</v>
      </c>
      <c r="L1367" s="11">
        <v>1</v>
      </c>
      <c r="M1367" s="14">
        <v>7500.0</v>
      </c>
      <c r="N1367" s="14"/>
      <c r="O1367" s="16">
        <f>IF(M1367&gt;0, N1367/M1367, 0)</f>
        <v>0</v>
      </c>
      <c r="P1367" s="14">
        <f>M1367-N1367</f>
        <v>7500</v>
      </c>
      <c r="Q1367" s="14">
        <f>L1367*M1367</f>
        <v>7500</v>
      </c>
      <c r="R1367" s="14">
        <f>L1367*N1367</f>
        <v>0</v>
      </c>
      <c r="S1367" s="14">
        <f>L1367*P1367</f>
        <v>7500</v>
      </c>
      <c r="T1367" s="14"/>
      <c r="U1367" s="14">
        <f>L1367*T1367</f>
        <v>0</v>
      </c>
      <c r="V1367" s="14">
        <f>S1367-U1367</f>
        <v>7500</v>
      </c>
      <c r="W1367" s="16">
        <f>IF(S1367&gt;0, V1367/S1367, 0)</f>
        <v>1</v>
      </c>
      <c r="X1367" s="7" t="s">
        <v>39</v>
      </c>
      <c r="Y1367" s="9" t="s">
        <v>40</v>
      </c>
      <c r="Z1367" s="9" t="s">
        <v>41</v>
      </c>
      <c r="AA1367" s="9" t="s">
        <v>42</v>
      </c>
      <c r="AB1367" s="7" t="s">
        <v>42</v>
      </c>
    </row>
    <row r="1368" spans="1:28">
      <c r="A1368" s="8">
        <v>1361</v>
      </c>
      <c r="B1368" s="8" t="s">
        <v>1688</v>
      </c>
      <c r="C1368" s="8" t="s">
        <v>1678</v>
      </c>
      <c r="D1368" s="8" t="s">
        <v>652</v>
      </c>
      <c r="E1368" s="8" t="s">
        <v>33</v>
      </c>
      <c r="F1368" s="6" t="s">
        <v>50</v>
      </c>
      <c r="G1368" s="6" t="s">
        <v>51</v>
      </c>
      <c r="H1368" s="6" t="s">
        <v>51</v>
      </c>
      <c r="I1368" s="8">
        <v>158</v>
      </c>
      <c r="J1368" s="8" t="s">
        <v>125</v>
      </c>
      <c r="K1368" s="8" t="s">
        <v>53</v>
      </c>
      <c r="L1368" s="10">
        <v>1</v>
      </c>
      <c r="M1368" s="13">
        <v>8500.0</v>
      </c>
      <c r="N1368" s="13"/>
      <c r="O1368" s="15">
        <f>IF(M1368&gt;0, N1368/M1368, 0)</f>
        <v>0</v>
      </c>
      <c r="P1368" s="13">
        <f>M1368-N1368</f>
        <v>8500</v>
      </c>
      <c r="Q1368" s="13">
        <f>L1368*M1368</f>
        <v>8500</v>
      </c>
      <c r="R1368" s="13">
        <f>L1368*N1368</f>
        <v>0</v>
      </c>
      <c r="S1368" s="13">
        <f>L1368*P1368</f>
        <v>8500</v>
      </c>
      <c r="T1368" s="13"/>
      <c r="U1368" s="13">
        <f>L1368*T1368</f>
        <v>0</v>
      </c>
      <c r="V1368" s="13">
        <f>S1368-U1368</f>
        <v>8500</v>
      </c>
      <c r="W1368" s="15">
        <f>IF(S1368&gt;0, V1368/S1368, 0)</f>
        <v>1</v>
      </c>
      <c r="X1368" s="6" t="s">
        <v>39</v>
      </c>
      <c r="Y1368" s="8" t="s">
        <v>40</v>
      </c>
      <c r="Z1368" s="8" t="s">
        <v>41</v>
      </c>
      <c r="AA1368" s="8" t="s">
        <v>42</v>
      </c>
      <c r="AB1368" s="6" t="s">
        <v>42</v>
      </c>
    </row>
    <row r="1369" spans="1:28">
      <c r="A1369" s="9">
        <v>1362</v>
      </c>
      <c r="B1369" s="9" t="s">
        <v>1689</v>
      </c>
      <c r="C1369" s="9" t="s">
        <v>1678</v>
      </c>
      <c r="D1369" s="9" t="s">
        <v>652</v>
      </c>
      <c r="E1369" s="9" t="s">
        <v>33</v>
      </c>
      <c r="F1369" s="7" t="s">
        <v>50</v>
      </c>
      <c r="G1369" s="7" t="s">
        <v>35</v>
      </c>
      <c r="H1369" s="7" t="s">
        <v>36</v>
      </c>
      <c r="I1369" s="9">
        <v>152</v>
      </c>
      <c r="J1369" s="9" t="s">
        <v>151</v>
      </c>
      <c r="K1369" s="9" t="s">
        <v>53</v>
      </c>
      <c r="L1369" s="11">
        <v>2</v>
      </c>
      <c r="M1369" s="14">
        <v>8000.0</v>
      </c>
      <c r="N1369" s="14"/>
      <c r="O1369" s="16">
        <f>IF(M1369&gt;0, N1369/M1369, 0)</f>
        <v>0</v>
      </c>
      <c r="P1369" s="14">
        <f>M1369-N1369</f>
        <v>8000</v>
      </c>
      <c r="Q1369" s="14">
        <f>L1369*M1369</f>
        <v>16000</v>
      </c>
      <c r="R1369" s="14">
        <f>L1369*N1369</f>
        <v>0</v>
      </c>
      <c r="S1369" s="14">
        <f>L1369*P1369</f>
        <v>16000</v>
      </c>
      <c r="T1369" s="14"/>
      <c r="U1369" s="14">
        <f>L1369*T1369</f>
        <v>0</v>
      </c>
      <c r="V1369" s="14">
        <f>S1369-U1369</f>
        <v>16000</v>
      </c>
      <c r="W1369" s="16">
        <f>IF(S1369&gt;0, V1369/S1369, 0)</f>
        <v>1</v>
      </c>
      <c r="X1369" s="7" t="s">
        <v>39</v>
      </c>
      <c r="Y1369" s="9" t="s">
        <v>40</v>
      </c>
      <c r="Z1369" s="9" t="s">
        <v>41</v>
      </c>
      <c r="AA1369" s="9" t="s">
        <v>42</v>
      </c>
      <c r="AB1369" s="7" t="s">
        <v>42</v>
      </c>
    </row>
    <row r="1370" spans="1:28">
      <c r="A1370" s="8">
        <v>1363</v>
      </c>
      <c r="B1370" s="8" t="s">
        <v>1690</v>
      </c>
      <c r="C1370" s="8" t="s">
        <v>1678</v>
      </c>
      <c r="D1370" s="8" t="s">
        <v>652</v>
      </c>
      <c r="E1370" s="8" t="s">
        <v>68</v>
      </c>
      <c r="F1370" s="6" t="s">
        <v>50</v>
      </c>
      <c r="G1370" s="6" t="s">
        <v>56</v>
      </c>
      <c r="H1370" s="6" t="s">
        <v>56</v>
      </c>
      <c r="I1370" s="8">
        <v>122</v>
      </c>
      <c r="J1370" s="8" t="s">
        <v>113</v>
      </c>
      <c r="K1370" s="8" t="s">
        <v>38</v>
      </c>
      <c r="L1370" s="10">
        <v>2</v>
      </c>
      <c r="M1370" s="13">
        <v>8000.0</v>
      </c>
      <c r="N1370" s="13"/>
      <c r="O1370" s="15">
        <f>IF(M1370&gt;0, N1370/M1370, 0)</f>
        <v>0</v>
      </c>
      <c r="P1370" s="13">
        <f>M1370-N1370</f>
        <v>8000</v>
      </c>
      <c r="Q1370" s="13">
        <f>L1370*M1370</f>
        <v>16000</v>
      </c>
      <c r="R1370" s="13">
        <f>L1370*N1370</f>
        <v>0</v>
      </c>
      <c r="S1370" s="13">
        <f>L1370*P1370</f>
        <v>16000</v>
      </c>
      <c r="T1370" s="13"/>
      <c r="U1370" s="13">
        <f>L1370*T1370</f>
        <v>0</v>
      </c>
      <c r="V1370" s="13">
        <f>S1370-U1370</f>
        <v>16000</v>
      </c>
      <c r="W1370" s="15">
        <f>IF(S1370&gt;0, V1370/S1370, 0)</f>
        <v>1</v>
      </c>
      <c r="X1370" s="6" t="s">
        <v>39</v>
      </c>
      <c r="Y1370" s="8" t="s">
        <v>40</v>
      </c>
      <c r="Z1370" s="8" t="s">
        <v>71</v>
      </c>
      <c r="AA1370" s="8" t="s">
        <v>42</v>
      </c>
      <c r="AB1370" s="6" t="s">
        <v>42</v>
      </c>
    </row>
    <row r="1371" spans="1:28">
      <c r="A1371" s="9">
        <v>1364</v>
      </c>
      <c r="B1371" s="9" t="s">
        <v>1691</v>
      </c>
      <c r="C1371" s="9" t="s">
        <v>1678</v>
      </c>
      <c r="D1371" s="9" t="s">
        <v>652</v>
      </c>
      <c r="E1371" s="9" t="s">
        <v>33</v>
      </c>
      <c r="F1371" s="7" t="s">
        <v>50</v>
      </c>
      <c r="G1371" s="7" t="s">
        <v>69</v>
      </c>
      <c r="H1371" s="7" t="s">
        <v>69</v>
      </c>
      <c r="I1371" s="9">
        <v>128</v>
      </c>
      <c r="J1371" s="9" t="s">
        <v>110</v>
      </c>
      <c r="K1371" s="9" t="s">
        <v>38</v>
      </c>
      <c r="L1371" s="11">
        <v>2</v>
      </c>
      <c r="M1371" s="14">
        <v>17000.0</v>
      </c>
      <c r="N1371" s="14"/>
      <c r="O1371" s="16">
        <f>IF(M1371&gt;0, N1371/M1371, 0)</f>
        <v>0</v>
      </c>
      <c r="P1371" s="14">
        <f>M1371-N1371</f>
        <v>17000</v>
      </c>
      <c r="Q1371" s="14">
        <f>L1371*M1371</f>
        <v>34000</v>
      </c>
      <c r="R1371" s="14">
        <f>L1371*N1371</f>
        <v>0</v>
      </c>
      <c r="S1371" s="14">
        <f>L1371*P1371</f>
        <v>34000</v>
      </c>
      <c r="T1371" s="14"/>
      <c r="U1371" s="14">
        <f>L1371*T1371</f>
        <v>0</v>
      </c>
      <c r="V1371" s="14">
        <f>S1371-U1371</f>
        <v>34000</v>
      </c>
      <c r="W1371" s="16">
        <f>IF(S1371&gt;0, V1371/S1371, 0)</f>
        <v>1</v>
      </c>
      <c r="X1371" s="7" t="s">
        <v>39</v>
      </c>
      <c r="Y1371" s="9" t="s">
        <v>40</v>
      </c>
      <c r="Z1371" s="9" t="s">
        <v>41</v>
      </c>
      <c r="AA1371" s="9" t="s">
        <v>42</v>
      </c>
      <c r="AB1371" s="7" t="s">
        <v>42</v>
      </c>
    </row>
    <row r="1372" spans="1:28">
      <c r="A1372" s="8">
        <v>1365</v>
      </c>
      <c r="B1372" s="8" t="s">
        <v>1692</v>
      </c>
      <c r="C1372" s="8" t="s">
        <v>1678</v>
      </c>
      <c r="D1372" s="8" t="s">
        <v>652</v>
      </c>
      <c r="E1372" s="8" t="s">
        <v>33</v>
      </c>
      <c r="F1372" s="6" t="s">
        <v>50</v>
      </c>
      <c r="G1372" s="6" t="s">
        <v>63</v>
      </c>
      <c r="H1372" s="6" t="s">
        <v>148</v>
      </c>
      <c r="I1372" s="8">
        <v>122</v>
      </c>
      <c r="J1372" s="8" t="s">
        <v>241</v>
      </c>
      <c r="K1372" s="8" t="s">
        <v>38</v>
      </c>
      <c r="L1372" s="10">
        <v>3</v>
      </c>
      <c r="M1372" s="13">
        <v>9000.0</v>
      </c>
      <c r="N1372" s="13"/>
      <c r="O1372" s="15">
        <f>IF(M1372&gt;0, N1372/M1372, 0)</f>
        <v>0</v>
      </c>
      <c r="P1372" s="13">
        <f>M1372-N1372</f>
        <v>9000</v>
      </c>
      <c r="Q1372" s="13">
        <f>L1372*M1372</f>
        <v>27000</v>
      </c>
      <c r="R1372" s="13">
        <f>L1372*N1372</f>
        <v>0</v>
      </c>
      <c r="S1372" s="13">
        <f>L1372*P1372</f>
        <v>27000</v>
      </c>
      <c r="T1372" s="13"/>
      <c r="U1372" s="13">
        <f>L1372*T1372</f>
        <v>0</v>
      </c>
      <c r="V1372" s="13">
        <f>S1372-U1372</f>
        <v>27000</v>
      </c>
      <c r="W1372" s="15">
        <f>IF(S1372&gt;0, V1372/S1372, 0)</f>
        <v>1</v>
      </c>
      <c r="X1372" s="6" t="s">
        <v>39</v>
      </c>
      <c r="Y1372" s="8" t="s">
        <v>40</v>
      </c>
      <c r="Z1372" s="8" t="s">
        <v>41</v>
      </c>
      <c r="AA1372" s="8" t="s">
        <v>42</v>
      </c>
      <c r="AB1372" s="6" t="s">
        <v>42</v>
      </c>
    </row>
    <row r="1373" spans="1:28">
      <c r="A1373" s="9">
        <v>1366</v>
      </c>
      <c r="B1373" s="9" t="s">
        <v>1693</v>
      </c>
      <c r="C1373" s="9" t="s">
        <v>1678</v>
      </c>
      <c r="D1373" s="9" t="s">
        <v>652</v>
      </c>
      <c r="E1373" s="9" t="s">
        <v>33</v>
      </c>
      <c r="F1373" s="7" t="s">
        <v>50</v>
      </c>
      <c r="G1373" s="7" t="s">
        <v>51</v>
      </c>
      <c r="H1373" s="7" t="s">
        <v>51</v>
      </c>
      <c r="I1373" s="9">
        <v>122</v>
      </c>
      <c r="J1373" s="9" t="s">
        <v>82</v>
      </c>
      <c r="K1373" s="9" t="s">
        <v>53</v>
      </c>
      <c r="L1373" s="11">
        <v>3</v>
      </c>
      <c r="M1373" s="14">
        <v>8000.0</v>
      </c>
      <c r="N1373" s="14"/>
      <c r="O1373" s="16">
        <f>IF(M1373&gt;0, N1373/M1373, 0)</f>
        <v>0</v>
      </c>
      <c r="P1373" s="14">
        <f>M1373-N1373</f>
        <v>8000</v>
      </c>
      <c r="Q1373" s="14">
        <f>L1373*M1373</f>
        <v>24000</v>
      </c>
      <c r="R1373" s="14">
        <f>L1373*N1373</f>
        <v>0</v>
      </c>
      <c r="S1373" s="14">
        <f>L1373*P1373</f>
        <v>24000</v>
      </c>
      <c r="T1373" s="14"/>
      <c r="U1373" s="14">
        <f>L1373*T1373</f>
        <v>0</v>
      </c>
      <c r="V1373" s="14">
        <f>S1373-U1373</f>
        <v>24000</v>
      </c>
      <c r="W1373" s="16">
        <f>IF(S1373&gt;0, V1373/S1373, 0)</f>
        <v>1</v>
      </c>
      <c r="X1373" s="7" t="s">
        <v>39</v>
      </c>
      <c r="Y1373" s="9" t="s">
        <v>40</v>
      </c>
      <c r="Z1373" s="9" t="s">
        <v>41</v>
      </c>
      <c r="AA1373" s="9" t="s">
        <v>42</v>
      </c>
      <c r="AB1373" s="7" t="s">
        <v>42</v>
      </c>
    </row>
    <row r="1374" spans="1:28">
      <c r="A1374" s="8">
        <v>1367</v>
      </c>
      <c r="B1374" s="8" t="s">
        <v>1694</v>
      </c>
      <c r="C1374" s="8" t="s">
        <v>1678</v>
      </c>
      <c r="D1374" s="8" t="s">
        <v>652</v>
      </c>
      <c r="E1374" s="8" t="s">
        <v>33</v>
      </c>
      <c r="F1374" s="6" t="s">
        <v>50</v>
      </c>
      <c r="G1374" s="6" t="s">
        <v>45</v>
      </c>
      <c r="H1374" s="6" t="s">
        <v>46</v>
      </c>
      <c r="I1374" s="8">
        <v>128</v>
      </c>
      <c r="J1374" s="8" t="s">
        <v>183</v>
      </c>
      <c r="K1374" s="8" t="s">
        <v>38</v>
      </c>
      <c r="L1374" s="10">
        <v>1</v>
      </c>
      <c r="M1374" s="13">
        <v>18000.0</v>
      </c>
      <c r="N1374" s="13"/>
      <c r="O1374" s="15">
        <f>IF(M1374&gt;0, N1374/M1374, 0)</f>
        <v>0</v>
      </c>
      <c r="P1374" s="13">
        <f>M1374-N1374</f>
        <v>18000</v>
      </c>
      <c r="Q1374" s="13">
        <f>L1374*M1374</f>
        <v>18000</v>
      </c>
      <c r="R1374" s="13">
        <f>L1374*N1374</f>
        <v>0</v>
      </c>
      <c r="S1374" s="13">
        <f>L1374*P1374</f>
        <v>18000</v>
      </c>
      <c r="T1374" s="13"/>
      <c r="U1374" s="13">
        <f>L1374*T1374</f>
        <v>0</v>
      </c>
      <c r="V1374" s="13">
        <f>S1374-U1374</f>
        <v>18000</v>
      </c>
      <c r="W1374" s="15">
        <f>IF(S1374&gt;0, V1374/S1374, 0)</f>
        <v>1</v>
      </c>
      <c r="X1374" s="6" t="s">
        <v>39</v>
      </c>
      <c r="Y1374" s="8" t="s">
        <v>40</v>
      </c>
      <c r="Z1374" s="8" t="s">
        <v>41</v>
      </c>
      <c r="AA1374" s="8" t="s">
        <v>42</v>
      </c>
      <c r="AB1374" s="6" t="s">
        <v>42</v>
      </c>
    </row>
    <row r="1375" spans="1:28">
      <c r="A1375" s="9">
        <v>1368</v>
      </c>
      <c r="B1375" s="9" t="s">
        <v>1695</v>
      </c>
      <c r="C1375" s="9" t="s">
        <v>1678</v>
      </c>
      <c r="D1375" s="9" t="s">
        <v>652</v>
      </c>
      <c r="E1375" s="9" t="s">
        <v>33</v>
      </c>
      <c r="F1375" s="7" t="s">
        <v>50</v>
      </c>
      <c r="G1375" s="7" t="s">
        <v>35</v>
      </c>
      <c r="H1375" s="7" t="s">
        <v>73</v>
      </c>
      <c r="I1375" s="9">
        <v>122</v>
      </c>
      <c r="J1375" s="9" t="s">
        <v>102</v>
      </c>
      <c r="K1375" s="9" t="s">
        <v>53</v>
      </c>
      <c r="L1375" s="11">
        <v>3</v>
      </c>
      <c r="M1375" s="14">
        <v>8000.0</v>
      </c>
      <c r="N1375" s="14"/>
      <c r="O1375" s="16">
        <f>IF(M1375&gt;0, N1375/M1375, 0)</f>
        <v>0</v>
      </c>
      <c r="P1375" s="14">
        <f>M1375-N1375</f>
        <v>8000</v>
      </c>
      <c r="Q1375" s="14">
        <f>L1375*M1375</f>
        <v>24000</v>
      </c>
      <c r="R1375" s="14">
        <f>L1375*N1375</f>
        <v>0</v>
      </c>
      <c r="S1375" s="14">
        <f>L1375*P1375</f>
        <v>24000</v>
      </c>
      <c r="T1375" s="14"/>
      <c r="U1375" s="14">
        <f>L1375*T1375</f>
        <v>0</v>
      </c>
      <c r="V1375" s="14">
        <f>S1375-U1375</f>
        <v>24000</v>
      </c>
      <c r="W1375" s="16">
        <f>IF(S1375&gt;0, V1375/S1375, 0)</f>
        <v>1</v>
      </c>
      <c r="X1375" s="7" t="s">
        <v>39</v>
      </c>
      <c r="Y1375" s="9" t="s">
        <v>40</v>
      </c>
      <c r="Z1375" s="9" t="s">
        <v>41</v>
      </c>
      <c r="AA1375" s="9" t="s">
        <v>42</v>
      </c>
      <c r="AB1375" s="7" t="s">
        <v>42</v>
      </c>
    </row>
    <row r="1376" spans="1:28">
      <c r="A1376" s="8">
        <v>1369</v>
      </c>
      <c r="B1376" s="8" t="s">
        <v>1696</v>
      </c>
      <c r="C1376" s="8" t="s">
        <v>1678</v>
      </c>
      <c r="D1376" s="8" t="s">
        <v>652</v>
      </c>
      <c r="E1376" s="8" t="s">
        <v>33</v>
      </c>
      <c r="F1376" s="6" t="s">
        <v>50</v>
      </c>
      <c r="G1376" s="6" t="s">
        <v>35</v>
      </c>
      <c r="H1376" s="6" t="s">
        <v>36</v>
      </c>
      <c r="I1376" s="8">
        <v>122</v>
      </c>
      <c r="J1376" s="8" t="s">
        <v>105</v>
      </c>
      <c r="K1376" s="8" t="s">
        <v>53</v>
      </c>
      <c r="L1376" s="10">
        <v>3</v>
      </c>
      <c r="M1376" s="13">
        <v>7000.0</v>
      </c>
      <c r="N1376" s="13"/>
      <c r="O1376" s="15">
        <f>IF(M1376&gt;0, N1376/M1376, 0)</f>
        <v>0</v>
      </c>
      <c r="P1376" s="13">
        <f>M1376-N1376</f>
        <v>7000</v>
      </c>
      <c r="Q1376" s="13">
        <f>L1376*M1376</f>
        <v>21000</v>
      </c>
      <c r="R1376" s="13">
        <f>L1376*N1376</f>
        <v>0</v>
      </c>
      <c r="S1376" s="13">
        <f>L1376*P1376</f>
        <v>21000</v>
      </c>
      <c r="T1376" s="13"/>
      <c r="U1376" s="13">
        <f>L1376*T1376</f>
        <v>0</v>
      </c>
      <c r="V1376" s="13">
        <f>S1376-U1376</f>
        <v>21000</v>
      </c>
      <c r="W1376" s="15">
        <f>IF(S1376&gt;0, V1376/S1376, 0)</f>
        <v>1</v>
      </c>
      <c r="X1376" s="6" t="s">
        <v>39</v>
      </c>
      <c r="Y1376" s="8" t="s">
        <v>40</v>
      </c>
      <c r="Z1376" s="8" t="s">
        <v>41</v>
      </c>
      <c r="AA1376" s="8" t="s">
        <v>42</v>
      </c>
      <c r="AB1376" s="6" t="s">
        <v>42</v>
      </c>
    </row>
    <row r="1377" spans="1:28">
      <c r="A1377" s="9">
        <v>1370</v>
      </c>
      <c r="B1377" s="9" t="s">
        <v>1697</v>
      </c>
      <c r="C1377" s="9" t="s">
        <v>1678</v>
      </c>
      <c r="D1377" s="9" t="s">
        <v>652</v>
      </c>
      <c r="E1377" s="9" t="s">
        <v>33</v>
      </c>
      <c r="F1377" s="7" t="s">
        <v>50</v>
      </c>
      <c r="G1377" s="7" t="s">
        <v>69</v>
      </c>
      <c r="H1377" s="7" t="s">
        <v>69</v>
      </c>
      <c r="I1377" s="9">
        <v>146</v>
      </c>
      <c r="J1377" s="9" t="s">
        <v>382</v>
      </c>
      <c r="K1377" s="9" t="s">
        <v>38</v>
      </c>
      <c r="L1377" s="11">
        <v>2</v>
      </c>
      <c r="M1377" s="14">
        <v>17000.0</v>
      </c>
      <c r="N1377" s="14"/>
      <c r="O1377" s="16">
        <f>IF(M1377&gt;0, N1377/M1377, 0)</f>
        <v>0</v>
      </c>
      <c r="P1377" s="14">
        <f>M1377-N1377</f>
        <v>17000</v>
      </c>
      <c r="Q1377" s="14">
        <f>L1377*M1377</f>
        <v>34000</v>
      </c>
      <c r="R1377" s="14">
        <f>L1377*N1377</f>
        <v>0</v>
      </c>
      <c r="S1377" s="14">
        <f>L1377*P1377</f>
        <v>34000</v>
      </c>
      <c r="T1377" s="14"/>
      <c r="U1377" s="14">
        <f>L1377*T1377</f>
        <v>0</v>
      </c>
      <c r="V1377" s="14">
        <f>S1377-U1377</f>
        <v>34000</v>
      </c>
      <c r="W1377" s="16">
        <f>IF(S1377&gt;0, V1377/S1377, 0)</f>
        <v>1</v>
      </c>
      <c r="X1377" s="7" t="s">
        <v>39</v>
      </c>
      <c r="Y1377" s="9" t="s">
        <v>40</v>
      </c>
      <c r="Z1377" s="9" t="s">
        <v>41</v>
      </c>
      <c r="AA1377" s="9" t="s">
        <v>42</v>
      </c>
      <c r="AB1377" s="7" t="s">
        <v>42</v>
      </c>
    </row>
    <row r="1378" spans="1:28">
      <c r="A1378" s="8">
        <v>1371</v>
      </c>
      <c r="B1378" s="8" t="s">
        <v>1698</v>
      </c>
      <c r="C1378" s="8" t="s">
        <v>1678</v>
      </c>
      <c r="D1378" s="8" t="s">
        <v>652</v>
      </c>
      <c r="E1378" s="8" t="s">
        <v>68</v>
      </c>
      <c r="F1378" s="6" t="s">
        <v>50</v>
      </c>
      <c r="G1378" s="6" t="s">
        <v>63</v>
      </c>
      <c r="H1378" s="6" t="s">
        <v>148</v>
      </c>
      <c r="I1378" s="8">
        <v>140</v>
      </c>
      <c r="J1378" s="8" t="s">
        <v>221</v>
      </c>
      <c r="K1378" s="8" t="s">
        <v>38</v>
      </c>
      <c r="L1378" s="10">
        <v>3</v>
      </c>
      <c r="M1378" s="13">
        <v>10000.0</v>
      </c>
      <c r="N1378" s="13"/>
      <c r="O1378" s="15">
        <f>IF(M1378&gt;0, N1378/M1378, 0)</f>
        <v>0</v>
      </c>
      <c r="P1378" s="13">
        <f>M1378-N1378</f>
        <v>10000</v>
      </c>
      <c r="Q1378" s="13">
        <f>L1378*M1378</f>
        <v>30000</v>
      </c>
      <c r="R1378" s="13">
        <f>L1378*N1378</f>
        <v>0</v>
      </c>
      <c r="S1378" s="13">
        <f>L1378*P1378</f>
        <v>30000</v>
      </c>
      <c r="T1378" s="13"/>
      <c r="U1378" s="13">
        <f>L1378*T1378</f>
        <v>0</v>
      </c>
      <c r="V1378" s="13">
        <f>S1378-U1378</f>
        <v>30000</v>
      </c>
      <c r="W1378" s="15">
        <f>IF(S1378&gt;0, V1378/S1378, 0)</f>
        <v>1</v>
      </c>
      <c r="X1378" s="6" t="s">
        <v>39</v>
      </c>
      <c r="Y1378" s="8" t="s">
        <v>40</v>
      </c>
      <c r="Z1378" s="8" t="s">
        <v>71</v>
      </c>
      <c r="AA1378" s="8" t="s">
        <v>42</v>
      </c>
      <c r="AB1378" s="6" t="s">
        <v>42</v>
      </c>
    </row>
    <row r="1379" spans="1:28">
      <c r="A1379" s="9">
        <v>1372</v>
      </c>
      <c r="B1379" s="9" t="s">
        <v>1699</v>
      </c>
      <c r="C1379" s="9" t="s">
        <v>1678</v>
      </c>
      <c r="D1379" s="9" t="s">
        <v>652</v>
      </c>
      <c r="E1379" s="9" t="s">
        <v>33</v>
      </c>
      <c r="F1379" s="7" t="s">
        <v>50</v>
      </c>
      <c r="G1379" s="7" t="s">
        <v>56</v>
      </c>
      <c r="H1379" s="7" t="s">
        <v>56</v>
      </c>
      <c r="I1379" s="9">
        <v>140</v>
      </c>
      <c r="J1379" s="9" t="s">
        <v>597</v>
      </c>
      <c r="K1379" s="9" t="s">
        <v>38</v>
      </c>
      <c r="L1379" s="11">
        <v>2</v>
      </c>
      <c r="M1379" s="14">
        <v>7000.0</v>
      </c>
      <c r="N1379" s="14"/>
      <c r="O1379" s="16">
        <f>IF(M1379&gt;0, N1379/M1379, 0)</f>
        <v>0</v>
      </c>
      <c r="P1379" s="14">
        <f>M1379-N1379</f>
        <v>7000</v>
      </c>
      <c r="Q1379" s="14">
        <f>L1379*M1379</f>
        <v>14000</v>
      </c>
      <c r="R1379" s="14">
        <f>L1379*N1379</f>
        <v>0</v>
      </c>
      <c r="S1379" s="14">
        <f>L1379*P1379</f>
        <v>14000</v>
      </c>
      <c r="T1379" s="14"/>
      <c r="U1379" s="14">
        <f>L1379*T1379</f>
        <v>0</v>
      </c>
      <c r="V1379" s="14">
        <f>S1379-U1379</f>
        <v>14000</v>
      </c>
      <c r="W1379" s="16">
        <f>IF(S1379&gt;0, V1379/S1379, 0)</f>
        <v>1</v>
      </c>
      <c r="X1379" s="7" t="s">
        <v>39</v>
      </c>
      <c r="Y1379" s="9" t="s">
        <v>40</v>
      </c>
      <c r="Z1379" s="9" t="s">
        <v>41</v>
      </c>
      <c r="AA1379" s="9" t="s">
        <v>42</v>
      </c>
      <c r="AB1379" s="7" t="s">
        <v>42</v>
      </c>
    </row>
    <row r="1380" spans="1:28">
      <c r="A1380" s="8">
        <v>1373</v>
      </c>
      <c r="B1380" s="8" t="s">
        <v>1700</v>
      </c>
      <c r="C1380" s="8" t="s">
        <v>1678</v>
      </c>
      <c r="D1380" s="8" t="s">
        <v>652</v>
      </c>
      <c r="E1380" s="8" t="s">
        <v>33</v>
      </c>
      <c r="F1380" s="6" t="s">
        <v>50</v>
      </c>
      <c r="G1380" s="6" t="s">
        <v>45</v>
      </c>
      <c r="H1380" s="6" t="s">
        <v>46</v>
      </c>
      <c r="I1380" s="8">
        <v>146</v>
      </c>
      <c r="J1380" s="8" t="s">
        <v>140</v>
      </c>
      <c r="K1380" s="8" t="s">
        <v>38</v>
      </c>
      <c r="L1380" s="10">
        <v>1</v>
      </c>
      <c r="M1380" s="13">
        <v>18000.0</v>
      </c>
      <c r="N1380" s="13"/>
      <c r="O1380" s="15">
        <f>IF(M1380&gt;0, N1380/M1380, 0)</f>
        <v>0</v>
      </c>
      <c r="P1380" s="13">
        <f>M1380-N1380</f>
        <v>18000</v>
      </c>
      <c r="Q1380" s="13">
        <f>L1380*M1380</f>
        <v>18000</v>
      </c>
      <c r="R1380" s="13">
        <f>L1380*N1380</f>
        <v>0</v>
      </c>
      <c r="S1380" s="13">
        <f>L1380*P1380</f>
        <v>18000</v>
      </c>
      <c r="T1380" s="13"/>
      <c r="U1380" s="13">
        <f>L1380*T1380</f>
        <v>0</v>
      </c>
      <c r="V1380" s="13">
        <f>S1380-U1380</f>
        <v>18000</v>
      </c>
      <c r="W1380" s="15">
        <f>IF(S1380&gt;0, V1380/S1380, 0)</f>
        <v>1</v>
      </c>
      <c r="X1380" s="6" t="s">
        <v>39</v>
      </c>
      <c r="Y1380" s="8" t="s">
        <v>40</v>
      </c>
      <c r="Z1380" s="8" t="s">
        <v>41</v>
      </c>
      <c r="AA1380" s="8" t="s">
        <v>42</v>
      </c>
      <c r="AB1380" s="6" t="s">
        <v>42</v>
      </c>
    </row>
    <row r="1381" spans="1:28">
      <c r="A1381" s="9">
        <v>1374</v>
      </c>
      <c r="B1381" s="9" t="s">
        <v>1701</v>
      </c>
      <c r="C1381" s="9" t="s">
        <v>1678</v>
      </c>
      <c r="D1381" s="9" t="s">
        <v>652</v>
      </c>
      <c r="E1381" s="9" t="s">
        <v>33</v>
      </c>
      <c r="F1381" s="7" t="s">
        <v>50</v>
      </c>
      <c r="G1381" s="7" t="s">
        <v>51</v>
      </c>
      <c r="H1381" s="7" t="s">
        <v>51</v>
      </c>
      <c r="I1381" s="9">
        <v>140</v>
      </c>
      <c r="J1381" s="9" t="s">
        <v>279</v>
      </c>
      <c r="K1381" s="9" t="s">
        <v>53</v>
      </c>
      <c r="L1381" s="11">
        <v>3</v>
      </c>
      <c r="M1381" s="14">
        <v>8000.0</v>
      </c>
      <c r="N1381" s="14"/>
      <c r="O1381" s="16">
        <f>IF(M1381&gt;0, N1381/M1381, 0)</f>
        <v>0</v>
      </c>
      <c r="P1381" s="14">
        <f>M1381-N1381</f>
        <v>8000</v>
      </c>
      <c r="Q1381" s="14">
        <f>L1381*M1381</f>
        <v>24000</v>
      </c>
      <c r="R1381" s="14">
        <f>L1381*N1381</f>
        <v>0</v>
      </c>
      <c r="S1381" s="14">
        <f>L1381*P1381</f>
        <v>24000</v>
      </c>
      <c r="T1381" s="14"/>
      <c r="U1381" s="14">
        <f>L1381*T1381</f>
        <v>0</v>
      </c>
      <c r="V1381" s="14">
        <f>S1381-U1381</f>
        <v>24000</v>
      </c>
      <c r="W1381" s="16">
        <f>IF(S1381&gt;0, V1381/S1381, 0)</f>
        <v>1</v>
      </c>
      <c r="X1381" s="7" t="s">
        <v>39</v>
      </c>
      <c r="Y1381" s="9" t="s">
        <v>40</v>
      </c>
      <c r="Z1381" s="9" t="s">
        <v>41</v>
      </c>
      <c r="AA1381" s="9" t="s">
        <v>42</v>
      </c>
      <c r="AB1381" s="7" t="s">
        <v>42</v>
      </c>
    </row>
    <row r="1382" spans="1:28">
      <c r="A1382" s="8">
        <v>1375</v>
      </c>
      <c r="B1382" s="8" t="s">
        <v>1702</v>
      </c>
      <c r="C1382" s="8" t="s">
        <v>1678</v>
      </c>
      <c r="D1382" s="8" t="s">
        <v>652</v>
      </c>
      <c r="E1382" s="8" t="s">
        <v>33</v>
      </c>
      <c r="F1382" s="6" t="s">
        <v>50</v>
      </c>
      <c r="G1382" s="6" t="s">
        <v>35</v>
      </c>
      <c r="H1382" s="6" t="s">
        <v>73</v>
      </c>
      <c r="I1382" s="8">
        <v>140</v>
      </c>
      <c r="J1382" s="8" t="s">
        <v>570</v>
      </c>
      <c r="K1382" s="8" t="s">
        <v>53</v>
      </c>
      <c r="L1382" s="10">
        <v>3</v>
      </c>
      <c r="M1382" s="13">
        <v>8000.0</v>
      </c>
      <c r="N1382" s="13"/>
      <c r="O1382" s="15">
        <f>IF(M1382&gt;0, N1382/M1382, 0)</f>
        <v>0</v>
      </c>
      <c r="P1382" s="13">
        <f>M1382-N1382</f>
        <v>8000</v>
      </c>
      <c r="Q1382" s="13">
        <f>L1382*M1382</f>
        <v>24000</v>
      </c>
      <c r="R1382" s="13">
        <f>L1382*N1382</f>
        <v>0</v>
      </c>
      <c r="S1382" s="13">
        <f>L1382*P1382</f>
        <v>24000</v>
      </c>
      <c r="T1382" s="13"/>
      <c r="U1382" s="13">
        <f>L1382*T1382</f>
        <v>0</v>
      </c>
      <c r="V1382" s="13">
        <f>S1382-U1382</f>
        <v>24000</v>
      </c>
      <c r="W1382" s="15">
        <f>IF(S1382&gt;0, V1382/S1382, 0)</f>
        <v>1</v>
      </c>
      <c r="X1382" s="6" t="s">
        <v>39</v>
      </c>
      <c r="Y1382" s="8" t="s">
        <v>40</v>
      </c>
      <c r="Z1382" s="8" t="s">
        <v>41</v>
      </c>
      <c r="AA1382" s="8" t="s">
        <v>42</v>
      </c>
      <c r="AB1382" s="6" t="s">
        <v>42</v>
      </c>
    </row>
    <row r="1383" spans="1:28">
      <c r="A1383" s="9">
        <v>1376</v>
      </c>
      <c r="B1383" s="9" t="s">
        <v>1703</v>
      </c>
      <c r="C1383" s="9" t="s">
        <v>1678</v>
      </c>
      <c r="D1383" s="9" t="s">
        <v>652</v>
      </c>
      <c r="E1383" s="9" t="s">
        <v>33</v>
      </c>
      <c r="F1383" s="7" t="s">
        <v>50</v>
      </c>
      <c r="G1383" s="7" t="s">
        <v>35</v>
      </c>
      <c r="H1383" s="7" t="s">
        <v>36</v>
      </c>
      <c r="I1383" s="9">
        <v>140</v>
      </c>
      <c r="J1383" s="9" t="s">
        <v>223</v>
      </c>
      <c r="K1383" s="9" t="s">
        <v>53</v>
      </c>
      <c r="L1383" s="11">
        <v>3</v>
      </c>
      <c r="M1383" s="14">
        <v>7000.0</v>
      </c>
      <c r="N1383" s="14"/>
      <c r="O1383" s="16">
        <f>IF(M1383&gt;0, N1383/M1383, 0)</f>
        <v>0</v>
      </c>
      <c r="P1383" s="14">
        <f>M1383-N1383</f>
        <v>7000</v>
      </c>
      <c r="Q1383" s="14">
        <f>L1383*M1383</f>
        <v>21000</v>
      </c>
      <c r="R1383" s="14">
        <f>L1383*N1383</f>
        <v>0</v>
      </c>
      <c r="S1383" s="14">
        <f>L1383*P1383</f>
        <v>21000</v>
      </c>
      <c r="T1383" s="14"/>
      <c r="U1383" s="14">
        <f>L1383*T1383</f>
        <v>0</v>
      </c>
      <c r="V1383" s="14">
        <f>S1383-U1383</f>
        <v>21000</v>
      </c>
      <c r="W1383" s="16">
        <f>IF(S1383&gt;0, V1383/S1383, 0)</f>
        <v>1</v>
      </c>
      <c r="X1383" s="7" t="s">
        <v>39</v>
      </c>
      <c r="Y1383" s="9" t="s">
        <v>40</v>
      </c>
      <c r="Z1383" s="9" t="s">
        <v>41</v>
      </c>
      <c r="AA1383" s="9" t="s">
        <v>42</v>
      </c>
      <c r="AB1383" s="7" t="s">
        <v>42</v>
      </c>
    </row>
    <row r="1384" spans="1:28">
      <c r="A1384" s="8">
        <v>1377</v>
      </c>
      <c r="B1384" s="8" t="s">
        <v>1704</v>
      </c>
      <c r="C1384" s="8" t="s">
        <v>1678</v>
      </c>
      <c r="D1384" s="8" t="s">
        <v>652</v>
      </c>
      <c r="E1384" s="8" t="s">
        <v>33</v>
      </c>
      <c r="F1384" s="6" t="s">
        <v>50</v>
      </c>
      <c r="G1384" s="6" t="s">
        <v>56</v>
      </c>
      <c r="H1384" s="6" t="s">
        <v>56</v>
      </c>
      <c r="I1384" s="8">
        <v>140</v>
      </c>
      <c r="J1384" s="8" t="s">
        <v>597</v>
      </c>
      <c r="K1384" s="8" t="s">
        <v>38</v>
      </c>
      <c r="L1384" s="10">
        <v>1</v>
      </c>
      <c r="M1384" s="13">
        <v>7000.0</v>
      </c>
      <c r="N1384" s="13"/>
      <c r="O1384" s="15">
        <f>IF(M1384&gt;0, N1384/M1384, 0)</f>
        <v>0</v>
      </c>
      <c r="P1384" s="13">
        <f>M1384-N1384</f>
        <v>7000</v>
      </c>
      <c r="Q1384" s="13">
        <f>L1384*M1384</f>
        <v>7000</v>
      </c>
      <c r="R1384" s="13">
        <f>L1384*N1384</f>
        <v>0</v>
      </c>
      <c r="S1384" s="13">
        <f>L1384*P1384</f>
        <v>7000</v>
      </c>
      <c r="T1384" s="13"/>
      <c r="U1384" s="13">
        <f>L1384*T1384</f>
        <v>0</v>
      </c>
      <c r="V1384" s="13">
        <f>S1384-U1384</f>
        <v>7000</v>
      </c>
      <c r="W1384" s="15">
        <f>IF(S1384&gt;0, V1384/S1384, 0)</f>
        <v>1</v>
      </c>
      <c r="X1384" s="6" t="s">
        <v>39</v>
      </c>
      <c r="Y1384" s="8" t="s">
        <v>40</v>
      </c>
      <c r="Z1384" s="8" t="s">
        <v>41</v>
      </c>
      <c r="AA1384" s="8" t="s">
        <v>42</v>
      </c>
      <c r="AB1384" s="6" t="s">
        <v>42</v>
      </c>
    </row>
    <row r="1385" spans="1:28">
      <c r="A1385" s="9">
        <v>1378</v>
      </c>
      <c r="B1385" s="9" t="s">
        <v>1705</v>
      </c>
      <c r="C1385" s="9" t="s">
        <v>1678</v>
      </c>
      <c r="D1385" s="9" t="s">
        <v>652</v>
      </c>
      <c r="E1385" s="9" t="s">
        <v>33</v>
      </c>
      <c r="F1385" s="7" t="s">
        <v>50</v>
      </c>
      <c r="G1385" s="7" t="s">
        <v>35</v>
      </c>
      <c r="H1385" s="7" t="s">
        <v>73</v>
      </c>
      <c r="I1385" s="9">
        <v>146</v>
      </c>
      <c r="J1385" s="9" t="s">
        <v>340</v>
      </c>
      <c r="K1385" s="9" t="s">
        <v>53</v>
      </c>
      <c r="L1385" s="11">
        <v>1</v>
      </c>
      <c r="M1385" s="14">
        <v>8000.0</v>
      </c>
      <c r="N1385" s="14"/>
      <c r="O1385" s="16">
        <f>IF(M1385&gt;0, N1385/M1385, 0)</f>
        <v>0</v>
      </c>
      <c r="P1385" s="14">
        <f>M1385-N1385</f>
        <v>8000</v>
      </c>
      <c r="Q1385" s="14">
        <f>L1385*M1385</f>
        <v>8000</v>
      </c>
      <c r="R1385" s="14">
        <f>L1385*N1385</f>
        <v>0</v>
      </c>
      <c r="S1385" s="14">
        <f>L1385*P1385</f>
        <v>8000</v>
      </c>
      <c r="T1385" s="14"/>
      <c r="U1385" s="14">
        <f>L1385*T1385</f>
        <v>0</v>
      </c>
      <c r="V1385" s="14">
        <f>S1385-U1385</f>
        <v>8000</v>
      </c>
      <c r="W1385" s="16">
        <f>IF(S1385&gt;0, V1385/S1385, 0)</f>
        <v>1</v>
      </c>
      <c r="X1385" s="7" t="s">
        <v>39</v>
      </c>
      <c r="Y1385" s="9" t="s">
        <v>40</v>
      </c>
      <c r="Z1385" s="9" t="s">
        <v>41</v>
      </c>
      <c r="AA1385" s="9" t="s">
        <v>42</v>
      </c>
      <c r="AB1385" s="7" t="s">
        <v>42</v>
      </c>
    </row>
    <row r="1386" spans="1:28">
      <c r="A1386" s="8">
        <v>1379</v>
      </c>
      <c r="B1386" s="8" t="s">
        <v>1706</v>
      </c>
      <c r="C1386" s="8" t="s">
        <v>1678</v>
      </c>
      <c r="D1386" s="8" t="s">
        <v>652</v>
      </c>
      <c r="E1386" s="8" t="s">
        <v>33</v>
      </c>
      <c r="F1386" s="6" t="s">
        <v>50</v>
      </c>
      <c r="G1386" s="6" t="s">
        <v>35</v>
      </c>
      <c r="H1386" s="6" t="s">
        <v>36</v>
      </c>
      <c r="I1386" s="8">
        <v>146</v>
      </c>
      <c r="J1386" s="8" t="s">
        <v>257</v>
      </c>
      <c r="K1386" s="8" t="s">
        <v>53</v>
      </c>
      <c r="L1386" s="10">
        <v>1</v>
      </c>
      <c r="M1386" s="13">
        <v>7000.0</v>
      </c>
      <c r="N1386" s="13"/>
      <c r="O1386" s="15">
        <f>IF(M1386&gt;0, N1386/M1386, 0)</f>
        <v>0</v>
      </c>
      <c r="P1386" s="13">
        <f>M1386-N1386</f>
        <v>7000</v>
      </c>
      <c r="Q1386" s="13">
        <f>L1386*M1386</f>
        <v>7000</v>
      </c>
      <c r="R1386" s="13">
        <f>L1386*N1386</f>
        <v>0</v>
      </c>
      <c r="S1386" s="13">
        <f>L1386*P1386</f>
        <v>7000</v>
      </c>
      <c r="T1386" s="13"/>
      <c r="U1386" s="13">
        <f>L1386*T1386</f>
        <v>0</v>
      </c>
      <c r="V1386" s="13">
        <f>S1386-U1386</f>
        <v>7000</v>
      </c>
      <c r="W1386" s="15">
        <f>IF(S1386&gt;0, V1386/S1386, 0)</f>
        <v>1</v>
      </c>
      <c r="X1386" s="6" t="s">
        <v>39</v>
      </c>
      <c r="Y1386" s="8" t="s">
        <v>40</v>
      </c>
      <c r="Z1386" s="8" t="s">
        <v>41</v>
      </c>
      <c r="AA1386" s="8" t="s">
        <v>42</v>
      </c>
      <c r="AB1386" s="6" t="s">
        <v>42</v>
      </c>
    </row>
    <row r="1387" spans="1:28">
      <c r="A1387" s="9">
        <v>1380</v>
      </c>
      <c r="B1387" s="9" t="s">
        <v>1707</v>
      </c>
      <c r="C1387" s="9" t="s">
        <v>1678</v>
      </c>
      <c r="D1387" s="9" t="s">
        <v>652</v>
      </c>
      <c r="E1387" s="9" t="s">
        <v>33</v>
      </c>
      <c r="F1387" s="7" t="s">
        <v>50</v>
      </c>
      <c r="G1387" s="7" t="s">
        <v>45</v>
      </c>
      <c r="H1387" s="7" t="s">
        <v>46</v>
      </c>
      <c r="I1387" s="9">
        <v>116</v>
      </c>
      <c r="J1387" s="9" t="s">
        <v>594</v>
      </c>
      <c r="K1387" s="9" t="s">
        <v>38</v>
      </c>
      <c r="L1387" s="11">
        <v>1</v>
      </c>
      <c r="M1387" s="14">
        <v>18000.0</v>
      </c>
      <c r="N1387" s="14"/>
      <c r="O1387" s="16">
        <f>IF(M1387&gt;0, N1387/M1387, 0)</f>
        <v>0</v>
      </c>
      <c r="P1387" s="14">
        <f>M1387-N1387</f>
        <v>18000</v>
      </c>
      <c r="Q1387" s="14">
        <f>L1387*M1387</f>
        <v>18000</v>
      </c>
      <c r="R1387" s="14">
        <f>L1387*N1387</f>
        <v>0</v>
      </c>
      <c r="S1387" s="14">
        <f>L1387*P1387</f>
        <v>18000</v>
      </c>
      <c r="T1387" s="14"/>
      <c r="U1387" s="14">
        <f>L1387*T1387</f>
        <v>0</v>
      </c>
      <c r="V1387" s="14">
        <f>S1387-U1387</f>
        <v>18000</v>
      </c>
      <c r="W1387" s="16">
        <f>IF(S1387&gt;0, V1387/S1387, 0)</f>
        <v>1</v>
      </c>
      <c r="X1387" s="7" t="s">
        <v>39</v>
      </c>
      <c r="Y1387" s="9" t="s">
        <v>40</v>
      </c>
      <c r="Z1387" s="9" t="s">
        <v>41</v>
      </c>
      <c r="AA1387" s="9" t="s">
        <v>42</v>
      </c>
      <c r="AB1387" s="7" t="s">
        <v>42</v>
      </c>
    </row>
    <row r="1388" spans="1:28">
      <c r="A1388" s="8">
        <v>1381</v>
      </c>
      <c r="B1388" s="8" t="s">
        <v>1708</v>
      </c>
      <c r="C1388" s="8" t="s">
        <v>1678</v>
      </c>
      <c r="D1388" s="8" t="s">
        <v>652</v>
      </c>
      <c r="E1388" s="8" t="s">
        <v>33</v>
      </c>
      <c r="F1388" s="6" t="s">
        <v>50</v>
      </c>
      <c r="G1388" s="6" t="s">
        <v>69</v>
      </c>
      <c r="H1388" s="6" t="s">
        <v>69</v>
      </c>
      <c r="I1388" s="8">
        <v>116</v>
      </c>
      <c r="J1388" s="8" t="s">
        <v>87</v>
      </c>
      <c r="K1388" s="8" t="s">
        <v>38</v>
      </c>
      <c r="L1388" s="10">
        <v>1</v>
      </c>
      <c r="M1388" s="13">
        <v>16000.0</v>
      </c>
      <c r="N1388" s="13"/>
      <c r="O1388" s="15">
        <f>IF(M1388&gt;0, N1388/M1388, 0)</f>
        <v>0</v>
      </c>
      <c r="P1388" s="13">
        <f>M1388-N1388</f>
        <v>16000</v>
      </c>
      <c r="Q1388" s="13">
        <f>L1388*M1388</f>
        <v>16000</v>
      </c>
      <c r="R1388" s="13">
        <f>L1388*N1388</f>
        <v>0</v>
      </c>
      <c r="S1388" s="13">
        <f>L1388*P1388</f>
        <v>16000</v>
      </c>
      <c r="T1388" s="13"/>
      <c r="U1388" s="13">
        <f>L1388*T1388</f>
        <v>0</v>
      </c>
      <c r="V1388" s="13">
        <f>S1388-U1388</f>
        <v>16000</v>
      </c>
      <c r="W1388" s="15">
        <f>IF(S1388&gt;0, V1388/S1388, 0)</f>
        <v>1</v>
      </c>
      <c r="X1388" s="6" t="s">
        <v>39</v>
      </c>
      <c r="Y1388" s="8" t="s">
        <v>40</v>
      </c>
      <c r="Z1388" s="8" t="s">
        <v>41</v>
      </c>
      <c r="AA1388" s="8" t="s">
        <v>42</v>
      </c>
      <c r="AB1388" s="6" t="s">
        <v>42</v>
      </c>
    </row>
    <row r="1389" spans="1:28">
      <c r="A1389" s="9">
        <v>1382</v>
      </c>
      <c r="B1389" s="9" t="s">
        <v>1709</v>
      </c>
      <c r="C1389" s="9" t="s">
        <v>1678</v>
      </c>
      <c r="D1389" s="9" t="s">
        <v>652</v>
      </c>
      <c r="E1389" s="9" t="s">
        <v>33</v>
      </c>
      <c r="F1389" s="7" t="s">
        <v>50</v>
      </c>
      <c r="G1389" s="7" t="s">
        <v>35</v>
      </c>
      <c r="H1389" s="7" t="s">
        <v>36</v>
      </c>
      <c r="I1389" s="9">
        <v>122</v>
      </c>
      <c r="J1389" s="9" t="s">
        <v>105</v>
      </c>
      <c r="K1389" s="9" t="s">
        <v>53</v>
      </c>
      <c r="L1389" s="11">
        <v>1</v>
      </c>
      <c r="M1389" s="14">
        <v>7000.0</v>
      </c>
      <c r="N1389" s="14"/>
      <c r="O1389" s="16">
        <f>IF(M1389&gt;0, N1389/M1389, 0)</f>
        <v>0</v>
      </c>
      <c r="P1389" s="14">
        <f>M1389-N1389</f>
        <v>7000</v>
      </c>
      <c r="Q1389" s="14">
        <f>L1389*M1389</f>
        <v>7000</v>
      </c>
      <c r="R1389" s="14">
        <f>L1389*N1389</f>
        <v>0</v>
      </c>
      <c r="S1389" s="14">
        <f>L1389*P1389</f>
        <v>7000</v>
      </c>
      <c r="T1389" s="14"/>
      <c r="U1389" s="14">
        <f>L1389*T1389</f>
        <v>0</v>
      </c>
      <c r="V1389" s="14">
        <f>S1389-U1389</f>
        <v>7000</v>
      </c>
      <c r="W1389" s="16">
        <f>IF(S1389&gt;0, V1389/S1389, 0)</f>
        <v>1</v>
      </c>
      <c r="X1389" s="7" t="s">
        <v>39</v>
      </c>
      <c r="Y1389" s="9" t="s">
        <v>40</v>
      </c>
      <c r="Z1389" s="9" t="s">
        <v>41</v>
      </c>
      <c r="AA1389" s="9" t="s">
        <v>42</v>
      </c>
      <c r="AB1389" s="7" t="s">
        <v>42</v>
      </c>
    </row>
    <row r="1390" spans="1:28">
      <c r="A1390" s="8">
        <v>1383</v>
      </c>
      <c r="B1390" s="8" t="s">
        <v>1710</v>
      </c>
      <c r="C1390" s="8" t="s">
        <v>1678</v>
      </c>
      <c r="D1390" s="8" t="s">
        <v>652</v>
      </c>
      <c r="E1390" s="8" t="s">
        <v>33</v>
      </c>
      <c r="F1390" s="6" t="s">
        <v>34</v>
      </c>
      <c r="G1390" s="6" t="s">
        <v>45</v>
      </c>
      <c r="H1390" s="6" t="s">
        <v>46</v>
      </c>
      <c r="I1390" s="8">
        <v>182</v>
      </c>
      <c r="J1390" s="8" t="s">
        <v>807</v>
      </c>
      <c r="K1390" s="8" t="s">
        <v>38</v>
      </c>
      <c r="L1390" s="10">
        <v>1</v>
      </c>
      <c r="M1390" s="13">
        <v>18000.0</v>
      </c>
      <c r="N1390" s="13"/>
      <c r="O1390" s="15">
        <f>IF(M1390&gt;0, N1390/M1390, 0)</f>
        <v>0</v>
      </c>
      <c r="P1390" s="13">
        <f>M1390-N1390</f>
        <v>18000</v>
      </c>
      <c r="Q1390" s="13">
        <f>L1390*M1390</f>
        <v>18000</v>
      </c>
      <c r="R1390" s="13">
        <f>L1390*N1390</f>
        <v>0</v>
      </c>
      <c r="S1390" s="13">
        <f>L1390*P1390</f>
        <v>18000</v>
      </c>
      <c r="T1390" s="13"/>
      <c r="U1390" s="13">
        <f>L1390*T1390</f>
        <v>0</v>
      </c>
      <c r="V1390" s="13">
        <f>S1390-U1390</f>
        <v>18000</v>
      </c>
      <c r="W1390" s="15">
        <f>IF(S1390&gt;0, V1390/S1390, 0)</f>
        <v>1</v>
      </c>
      <c r="X1390" s="6" t="s">
        <v>39</v>
      </c>
      <c r="Y1390" s="8" t="s">
        <v>40</v>
      </c>
      <c r="Z1390" s="8" t="s">
        <v>41</v>
      </c>
      <c r="AA1390" s="8" t="s">
        <v>42</v>
      </c>
      <c r="AB1390" s="6" t="s">
        <v>42</v>
      </c>
    </row>
    <row r="1391" spans="1:28">
      <c r="A1391" s="9">
        <v>1384</v>
      </c>
      <c r="B1391" s="9" t="s">
        <v>1711</v>
      </c>
      <c r="C1391" s="9" t="s">
        <v>1678</v>
      </c>
      <c r="D1391" s="9" t="s">
        <v>652</v>
      </c>
      <c r="E1391" s="9" t="s">
        <v>33</v>
      </c>
      <c r="F1391" s="7" t="s">
        <v>34</v>
      </c>
      <c r="G1391" s="7" t="s">
        <v>63</v>
      </c>
      <c r="H1391" s="7" t="s">
        <v>148</v>
      </c>
      <c r="I1391" s="9">
        <v>182</v>
      </c>
      <c r="J1391" s="9" t="s">
        <v>739</v>
      </c>
      <c r="K1391" s="9" t="s">
        <v>38</v>
      </c>
      <c r="L1391" s="11">
        <v>1</v>
      </c>
      <c r="M1391" s="14">
        <v>9500.0</v>
      </c>
      <c r="N1391" s="14"/>
      <c r="O1391" s="16">
        <f>IF(M1391&gt;0, N1391/M1391, 0)</f>
        <v>0</v>
      </c>
      <c r="P1391" s="14">
        <f>M1391-N1391</f>
        <v>9500</v>
      </c>
      <c r="Q1391" s="14">
        <f>L1391*M1391</f>
        <v>9500</v>
      </c>
      <c r="R1391" s="14">
        <f>L1391*N1391</f>
        <v>0</v>
      </c>
      <c r="S1391" s="14">
        <f>L1391*P1391</f>
        <v>9500</v>
      </c>
      <c r="T1391" s="14"/>
      <c r="U1391" s="14">
        <f>L1391*T1391</f>
        <v>0</v>
      </c>
      <c r="V1391" s="14">
        <f>S1391-U1391</f>
        <v>9500</v>
      </c>
      <c r="W1391" s="16">
        <f>IF(S1391&gt;0, V1391/S1391, 0)</f>
        <v>1</v>
      </c>
      <c r="X1391" s="7" t="s">
        <v>39</v>
      </c>
      <c r="Y1391" s="9" t="s">
        <v>40</v>
      </c>
      <c r="Z1391" s="9" t="s">
        <v>41</v>
      </c>
      <c r="AA1391" s="9" t="s">
        <v>42</v>
      </c>
      <c r="AB1391" s="7" t="s">
        <v>42</v>
      </c>
    </row>
    <row r="1392" spans="1:28">
      <c r="A1392" s="8">
        <v>1385</v>
      </c>
      <c r="B1392" s="8" t="s">
        <v>1712</v>
      </c>
      <c r="C1392" s="8" t="s">
        <v>1678</v>
      </c>
      <c r="D1392" s="8" t="s">
        <v>652</v>
      </c>
      <c r="E1392" s="8" t="s">
        <v>33</v>
      </c>
      <c r="F1392" s="6" t="s">
        <v>34</v>
      </c>
      <c r="G1392" s="6" t="s">
        <v>56</v>
      </c>
      <c r="H1392" s="6" t="s">
        <v>56</v>
      </c>
      <c r="I1392" s="8">
        <v>176</v>
      </c>
      <c r="J1392" s="8" t="s">
        <v>665</v>
      </c>
      <c r="K1392" s="8" t="s">
        <v>38</v>
      </c>
      <c r="L1392" s="10">
        <v>1</v>
      </c>
      <c r="M1392" s="13">
        <v>7500.0</v>
      </c>
      <c r="N1392" s="13"/>
      <c r="O1392" s="15">
        <f>IF(M1392&gt;0, N1392/M1392, 0)</f>
        <v>0</v>
      </c>
      <c r="P1392" s="13">
        <f>M1392-N1392</f>
        <v>7500</v>
      </c>
      <c r="Q1392" s="13">
        <f>L1392*M1392</f>
        <v>7500</v>
      </c>
      <c r="R1392" s="13">
        <f>L1392*N1392</f>
        <v>0</v>
      </c>
      <c r="S1392" s="13">
        <f>L1392*P1392</f>
        <v>7500</v>
      </c>
      <c r="T1392" s="13"/>
      <c r="U1392" s="13">
        <f>L1392*T1392</f>
        <v>0</v>
      </c>
      <c r="V1392" s="13">
        <f>S1392-U1392</f>
        <v>7500</v>
      </c>
      <c r="W1392" s="15">
        <f>IF(S1392&gt;0, V1392/S1392, 0)</f>
        <v>1</v>
      </c>
      <c r="X1392" s="6" t="s">
        <v>39</v>
      </c>
      <c r="Y1392" s="8" t="s">
        <v>40</v>
      </c>
      <c r="Z1392" s="8" t="s">
        <v>41</v>
      </c>
      <c r="AA1392" s="8" t="s">
        <v>42</v>
      </c>
      <c r="AB1392" s="6" t="s">
        <v>42</v>
      </c>
    </row>
    <row r="1393" spans="1:28">
      <c r="A1393" s="9">
        <v>1386</v>
      </c>
      <c r="B1393" s="9" t="s">
        <v>1713</v>
      </c>
      <c r="C1393" s="9" t="s">
        <v>1678</v>
      </c>
      <c r="D1393" s="9" t="s">
        <v>652</v>
      </c>
      <c r="E1393" s="9" t="s">
        <v>33</v>
      </c>
      <c r="F1393" s="7" t="s">
        <v>34</v>
      </c>
      <c r="G1393" s="7" t="s">
        <v>69</v>
      </c>
      <c r="H1393" s="7" t="s">
        <v>69</v>
      </c>
      <c r="I1393" s="9">
        <v>188</v>
      </c>
      <c r="J1393" s="9" t="s">
        <v>917</v>
      </c>
      <c r="K1393" s="9" t="s">
        <v>38</v>
      </c>
      <c r="L1393" s="11">
        <v>1</v>
      </c>
      <c r="M1393" s="14">
        <v>16500.0</v>
      </c>
      <c r="N1393" s="14"/>
      <c r="O1393" s="16">
        <f>IF(M1393&gt;0, N1393/M1393, 0)</f>
        <v>0</v>
      </c>
      <c r="P1393" s="14">
        <f>M1393-N1393</f>
        <v>16500</v>
      </c>
      <c r="Q1393" s="14">
        <f>L1393*M1393</f>
        <v>16500</v>
      </c>
      <c r="R1393" s="14">
        <f>L1393*N1393</f>
        <v>0</v>
      </c>
      <c r="S1393" s="14">
        <f>L1393*P1393</f>
        <v>16500</v>
      </c>
      <c r="T1393" s="14"/>
      <c r="U1393" s="14">
        <f>L1393*T1393</f>
        <v>0</v>
      </c>
      <c r="V1393" s="14">
        <f>S1393-U1393</f>
        <v>16500</v>
      </c>
      <c r="W1393" s="16">
        <f>IF(S1393&gt;0, V1393/S1393, 0)</f>
        <v>1</v>
      </c>
      <c r="X1393" s="7" t="s">
        <v>39</v>
      </c>
      <c r="Y1393" s="9" t="s">
        <v>40</v>
      </c>
      <c r="Z1393" s="9" t="s">
        <v>41</v>
      </c>
      <c r="AA1393" s="9" t="s">
        <v>42</v>
      </c>
      <c r="AB1393" s="7" t="s">
        <v>42</v>
      </c>
    </row>
    <row r="1394" spans="1:28">
      <c r="A1394" s="8">
        <v>1387</v>
      </c>
      <c r="B1394" s="8" t="s">
        <v>1714</v>
      </c>
      <c r="C1394" s="8" t="s">
        <v>1678</v>
      </c>
      <c r="D1394" s="8" t="s">
        <v>652</v>
      </c>
      <c r="E1394" s="8" t="s">
        <v>33</v>
      </c>
      <c r="F1394" s="6" t="s">
        <v>34</v>
      </c>
      <c r="G1394" s="6" t="s">
        <v>51</v>
      </c>
      <c r="H1394" s="6" t="s">
        <v>51</v>
      </c>
      <c r="I1394" s="8">
        <v>182</v>
      </c>
      <c r="J1394" s="8" t="s">
        <v>321</v>
      </c>
      <c r="K1394" s="8" t="s">
        <v>38</v>
      </c>
      <c r="L1394" s="10">
        <v>1</v>
      </c>
      <c r="M1394" s="13">
        <v>8500.0</v>
      </c>
      <c r="N1394" s="13"/>
      <c r="O1394" s="15">
        <f>IF(M1394&gt;0, N1394/M1394, 0)</f>
        <v>0</v>
      </c>
      <c r="P1394" s="13">
        <f>M1394-N1394</f>
        <v>8500</v>
      </c>
      <c r="Q1394" s="13">
        <f>L1394*M1394</f>
        <v>8500</v>
      </c>
      <c r="R1394" s="13">
        <f>L1394*N1394</f>
        <v>0</v>
      </c>
      <c r="S1394" s="13">
        <f>L1394*P1394</f>
        <v>8500</v>
      </c>
      <c r="T1394" s="13"/>
      <c r="U1394" s="13">
        <f>L1394*T1394</f>
        <v>0</v>
      </c>
      <c r="V1394" s="13">
        <f>S1394-U1394</f>
        <v>8500</v>
      </c>
      <c r="W1394" s="15">
        <f>IF(S1394&gt;0, V1394/S1394, 0)</f>
        <v>1</v>
      </c>
      <c r="X1394" s="6" t="s">
        <v>39</v>
      </c>
      <c r="Y1394" s="8" t="s">
        <v>40</v>
      </c>
      <c r="Z1394" s="8" t="s">
        <v>41</v>
      </c>
      <c r="AA1394" s="8" t="s">
        <v>42</v>
      </c>
      <c r="AB1394" s="6" t="s">
        <v>42</v>
      </c>
    </row>
    <row r="1395" spans="1:28">
      <c r="A1395" s="9">
        <v>1388</v>
      </c>
      <c r="B1395" s="9" t="s">
        <v>1715</v>
      </c>
      <c r="C1395" s="9" t="s">
        <v>1678</v>
      </c>
      <c r="D1395" s="9" t="s">
        <v>652</v>
      </c>
      <c r="E1395" s="9" t="s">
        <v>33</v>
      </c>
      <c r="F1395" s="7" t="s">
        <v>34</v>
      </c>
      <c r="G1395" s="7" t="s">
        <v>35</v>
      </c>
      <c r="H1395" s="7" t="s">
        <v>73</v>
      </c>
      <c r="I1395" s="9">
        <v>182</v>
      </c>
      <c r="J1395" s="9" t="s">
        <v>354</v>
      </c>
      <c r="K1395" s="9" t="s">
        <v>38</v>
      </c>
      <c r="L1395" s="11">
        <v>1</v>
      </c>
      <c r="M1395" s="14">
        <v>9000.0</v>
      </c>
      <c r="N1395" s="14"/>
      <c r="O1395" s="16">
        <f>IF(M1395&gt;0, N1395/M1395, 0)</f>
        <v>0</v>
      </c>
      <c r="P1395" s="14">
        <f>M1395-N1395</f>
        <v>9000</v>
      </c>
      <c r="Q1395" s="14">
        <f>L1395*M1395</f>
        <v>9000</v>
      </c>
      <c r="R1395" s="14">
        <f>L1395*N1395</f>
        <v>0</v>
      </c>
      <c r="S1395" s="14">
        <f>L1395*P1395</f>
        <v>9000</v>
      </c>
      <c r="T1395" s="14"/>
      <c r="U1395" s="14">
        <f>L1395*T1395</f>
        <v>0</v>
      </c>
      <c r="V1395" s="14">
        <f>S1395-U1395</f>
        <v>9000</v>
      </c>
      <c r="W1395" s="16">
        <f>IF(S1395&gt;0, V1395/S1395, 0)</f>
        <v>1</v>
      </c>
      <c r="X1395" s="7" t="s">
        <v>39</v>
      </c>
      <c r="Y1395" s="9" t="s">
        <v>40</v>
      </c>
      <c r="Z1395" s="9" t="s">
        <v>41</v>
      </c>
      <c r="AA1395" s="9" t="s">
        <v>42</v>
      </c>
      <c r="AB1395" s="7" t="s">
        <v>42</v>
      </c>
    </row>
    <row r="1396" spans="1:28">
      <c r="A1396" s="8">
        <v>1389</v>
      </c>
      <c r="B1396" s="8" t="s">
        <v>1716</v>
      </c>
      <c r="C1396" s="8" t="s">
        <v>1678</v>
      </c>
      <c r="D1396" s="8" t="s">
        <v>652</v>
      </c>
      <c r="E1396" s="8" t="s">
        <v>33</v>
      </c>
      <c r="F1396" s="6" t="s">
        <v>34</v>
      </c>
      <c r="G1396" s="6" t="s">
        <v>35</v>
      </c>
      <c r="H1396" s="6" t="s">
        <v>36</v>
      </c>
      <c r="I1396" s="8">
        <v>182</v>
      </c>
      <c r="J1396" s="8" t="s">
        <v>335</v>
      </c>
      <c r="K1396" s="8" t="s">
        <v>38</v>
      </c>
      <c r="L1396" s="10">
        <v>1</v>
      </c>
      <c r="M1396" s="13">
        <v>8000.0</v>
      </c>
      <c r="N1396" s="13"/>
      <c r="O1396" s="15">
        <f>IF(M1396&gt;0, N1396/M1396, 0)</f>
        <v>0</v>
      </c>
      <c r="P1396" s="13">
        <f>M1396-N1396</f>
        <v>8000</v>
      </c>
      <c r="Q1396" s="13">
        <f>L1396*M1396</f>
        <v>8000</v>
      </c>
      <c r="R1396" s="13">
        <f>L1396*N1396</f>
        <v>0</v>
      </c>
      <c r="S1396" s="13">
        <f>L1396*P1396</f>
        <v>8000</v>
      </c>
      <c r="T1396" s="13"/>
      <c r="U1396" s="13">
        <f>L1396*T1396</f>
        <v>0</v>
      </c>
      <c r="V1396" s="13">
        <f>S1396-U1396</f>
        <v>8000</v>
      </c>
      <c r="W1396" s="15">
        <f>IF(S1396&gt;0, V1396/S1396, 0)</f>
        <v>1</v>
      </c>
      <c r="X1396" s="6" t="s">
        <v>39</v>
      </c>
      <c r="Y1396" s="8" t="s">
        <v>40</v>
      </c>
      <c r="Z1396" s="8" t="s">
        <v>41</v>
      </c>
      <c r="AA1396" s="8" t="s">
        <v>42</v>
      </c>
      <c r="AB1396" s="6" t="s">
        <v>42</v>
      </c>
    </row>
    <row r="1397" spans="1:28">
      <c r="A1397" s="9">
        <v>1390</v>
      </c>
      <c r="B1397" s="9" t="s">
        <v>1717</v>
      </c>
      <c r="C1397" s="9" t="s">
        <v>1718</v>
      </c>
      <c r="D1397" s="9" t="s">
        <v>652</v>
      </c>
      <c r="E1397" s="9" t="s">
        <v>33</v>
      </c>
      <c r="F1397" s="7" t="s">
        <v>50</v>
      </c>
      <c r="G1397" s="7" t="s">
        <v>69</v>
      </c>
      <c r="H1397" s="7" t="s">
        <v>69</v>
      </c>
      <c r="I1397" s="9">
        <v>134</v>
      </c>
      <c r="J1397" s="9" t="s">
        <v>209</v>
      </c>
      <c r="K1397" s="9" t="s">
        <v>38</v>
      </c>
      <c r="L1397" s="11">
        <v>1</v>
      </c>
      <c r="M1397" s="14">
        <v>17000.0</v>
      </c>
      <c r="N1397" s="14"/>
      <c r="O1397" s="16">
        <f>IF(M1397&gt;0, N1397/M1397, 0)</f>
        <v>0</v>
      </c>
      <c r="P1397" s="14">
        <f>M1397-N1397</f>
        <v>17000</v>
      </c>
      <c r="Q1397" s="14">
        <f>L1397*M1397</f>
        <v>17000</v>
      </c>
      <c r="R1397" s="14">
        <f>L1397*N1397</f>
        <v>0</v>
      </c>
      <c r="S1397" s="14">
        <f>L1397*P1397</f>
        <v>17000</v>
      </c>
      <c r="T1397" s="14"/>
      <c r="U1397" s="14">
        <f>L1397*T1397</f>
        <v>0</v>
      </c>
      <c r="V1397" s="14">
        <f>S1397-U1397</f>
        <v>17000</v>
      </c>
      <c r="W1397" s="16">
        <f>IF(S1397&gt;0, V1397/S1397, 0)</f>
        <v>1</v>
      </c>
      <c r="X1397" s="7" t="s">
        <v>39</v>
      </c>
      <c r="Y1397" s="9" t="s">
        <v>40</v>
      </c>
      <c r="Z1397" s="9" t="s">
        <v>41</v>
      </c>
      <c r="AA1397" s="9" t="s">
        <v>42</v>
      </c>
      <c r="AB1397" s="7" t="s">
        <v>42</v>
      </c>
    </row>
    <row r="1398" spans="1:28">
      <c r="A1398" s="8">
        <v>1391</v>
      </c>
      <c r="B1398" s="8" t="s">
        <v>1719</v>
      </c>
      <c r="C1398" s="8" t="s">
        <v>1718</v>
      </c>
      <c r="D1398" s="8" t="s">
        <v>652</v>
      </c>
      <c r="E1398" s="8" t="s">
        <v>33</v>
      </c>
      <c r="F1398" s="6" t="s">
        <v>50</v>
      </c>
      <c r="G1398" s="6" t="s">
        <v>51</v>
      </c>
      <c r="H1398" s="6" t="s">
        <v>51</v>
      </c>
      <c r="I1398" s="8">
        <v>134</v>
      </c>
      <c r="J1398" s="8" t="s">
        <v>175</v>
      </c>
      <c r="K1398" s="8" t="s">
        <v>53</v>
      </c>
      <c r="L1398" s="10">
        <v>1</v>
      </c>
      <c r="M1398" s="13">
        <v>8000.0</v>
      </c>
      <c r="N1398" s="13"/>
      <c r="O1398" s="15">
        <f>IF(M1398&gt;0, N1398/M1398, 0)</f>
        <v>0</v>
      </c>
      <c r="P1398" s="13">
        <f>M1398-N1398</f>
        <v>8000</v>
      </c>
      <c r="Q1398" s="13">
        <f>L1398*M1398</f>
        <v>8000</v>
      </c>
      <c r="R1398" s="13">
        <f>L1398*N1398</f>
        <v>0</v>
      </c>
      <c r="S1398" s="13">
        <f>L1398*P1398</f>
        <v>8000</v>
      </c>
      <c r="T1398" s="13"/>
      <c r="U1398" s="13">
        <f>L1398*T1398</f>
        <v>0</v>
      </c>
      <c r="V1398" s="13">
        <f>S1398-U1398</f>
        <v>8000</v>
      </c>
      <c r="W1398" s="15">
        <f>IF(S1398&gt;0, V1398/S1398, 0)</f>
        <v>1</v>
      </c>
      <c r="X1398" s="6" t="s">
        <v>39</v>
      </c>
      <c r="Y1398" s="8" t="s">
        <v>40</v>
      </c>
      <c r="Z1398" s="8" t="s">
        <v>41</v>
      </c>
      <c r="AA1398" s="8" t="s">
        <v>42</v>
      </c>
      <c r="AB1398" s="6" t="s">
        <v>42</v>
      </c>
    </row>
    <row r="1399" spans="1:28">
      <c r="A1399" s="9">
        <v>1392</v>
      </c>
      <c r="B1399" s="9" t="s">
        <v>1720</v>
      </c>
      <c r="C1399" s="9" t="s">
        <v>1718</v>
      </c>
      <c r="D1399" s="9" t="s">
        <v>652</v>
      </c>
      <c r="E1399" s="9" t="s">
        <v>33</v>
      </c>
      <c r="F1399" s="7" t="s">
        <v>50</v>
      </c>
      <c r="G1399" s="7" t="s">
        <v>35</v>
      </c>
      <c r="H1399" s="7" t="s">
        <v>73</v>
      </c>
      <c r="I1399" s="9">
        <v>134</v>
      </c>
      <c r="J1399" s="9" t="s">
        <v>146</v>
      </c>
      <c r="K1399" s="9" t="s">
        <v>53</v>
      </c>
      <c r="L1399" s="11">
        <v>1</v>
      </c>
      <c r="M1399" s="14">
        <v>8000.0</v>
      </c>
      <c r="N1399" s="14"/>
      <c r="O1399" s="16">
        <f>IF(M1399&gt;0, N1399/M1399, 0)</f>
        <v>0</v>
      </c>
      <c r="P1399" s="14">
        <f>M1399-N1399</f>
        <v>8000</v>
      </c>
      <c r="Q1399" s="14">
        <f>L1399*M1399</f>
        <v>8000</v>
      </c>
      <c r="R1399" s="14">
        <f>L1399*N1399</f>
        <v>0</v>
      </c>
      <c r="S1399" s="14">
        <f>L1399*P1399</f>
        <v>8000</v>
      </c>
      <c r="T1399" s="14"/>
      <c r="U1399" s="14">
        <f>L1399*T1399</f>
        <v>0</v>
      </c>
      <c r="V1399" s="14">
        <f>S1399-U1399</f>
        <v>8000</v>
      </c>
      <c r="W1399" s="16">
        <f>IF(S1399&gt;0, V1399/S1399, 0)</f>
        <v>1</v>
      </c>
      <c r="X1399" s="7" t="s">
        <v>39</v>
      </c>
      <c r="Y1399" s="9" t="s">
        <v>40</v>
      </c>
      <c r="Z1399" s="9" t="s">
        <v>41</v>
      </c>
      <c r="AA1399" s="9" t="s">
        <v>42</v>
      </c>
      <c r="AB1399" s="7" t="s">
        <v>42</v>
      </c>
    </row>
    <row r="1400" spans="1:28">
      <c r="A1400" s="8">
        <v>1393</v>
      </c>
      <c r="B1400" s="8" t="s">
        <v>1721</v>
      </c>
      <c r="C1400" s="8" t="s">
        <v>1718</v>
      </c>
      <c r="D1400" s="8" t="s">
        <v>652</v>
      </c>
      <c r="E1400" s="8" t="s">
        <v>33</v>
      </c>
      <c r="F1400" s="6" t="s">
        <v>50</v>
      </c>
      <c r="G1400" s="6" t="s">
        <v>35</v>
      </c>
      <c r="H1400" s="6" t="s">
        <v>36</v>
      </c>
      <c r="I1400" s="8">
        <v>134</v>
      </c>
      <c r="J1400" s="8" t="s">
        <v>177</v>
      </c>
      <c r="K1400" s="8" t="s">
        <v>53</v>
      </c>
      <c r="L1400" s="10">
        <v>1</v>
      </c>
      <c r="M1400" s="13">
        <v>7000.0</v>
      </c>
      <c r="N1400" s="13"/>
      <c r="O1400" s="15">
        <f>IF(M1400&gt;0, N1400/M1400, 0)</f>
        <v>0</v>
      </c>
      <c r="P1400" s="13">
        <f>M1400-N1400</f>
        <v>7000</v>
      </c>
      <c r="Q1400" s="13">
        <f>L1400*M1400</f>
        <v>7000</v>
      </c>
      <c r="R1400" s="13">
        <f>L1400*N1400</f>
        <v>0</v>
      </c>
      <c r="S1400" s="13">
        <f>L1400*P1400</f>
        <v>7000</v>
      </c>
      <c r="T1400" s="13"/>
      <c r="U1400" s="13">
        <f>L1400*T1400</f>
        <v>0</v>
      </c>
      <c r="V1400" s="13">
        <f>S1400-U1400</f>
        <v>7000</v>
      </c>
      <c r="W1400" s="15">
        <f>IF(S1400&gt;0, V1400/S1400, 0)</f>
        <v>1</v>
      </c>
      <c r="X1400" s="6" t="s">
        <v>39</v>
      </c>
      <c r="Y1400" s="8" t="s">
        <v>40</v>
      </c>
      <c r="Z1400" s="8" t="s">
        <v>41</v>
      </c>
      <c r="AA1400" s="8" t="s">
        <v>42</v>
      </c>
      <c r="AB1400" s="6" t="s">
        <v>42</v>
      </c>
    </row>
    <row r="1401" spans="1:28">
      <c r="A1401" s="9">
        <v>1394</v>
      </c>
      <c r="B1401" s="9" t="s">
        <v>1722</v>
      </c>
      <c r="C1401" s="9" t="s">
        <v>1718</v>
      </c>
      <c r="D1401" s="9" t="s">
        <v>652</v>
      </c>
      <c r="E1401" s="9" t="s">
        <v>33</v>
      </c>
      <c r="F1401" s="7" t="s">
        <v>50</v>
      </c>
      <c r="G1401" s="7" t="s">
        <v>51</v>
      </c>
      <c r="H1401" s="7" t="s">
        <v>51</v>
      </c>
      <c r="I1401" s="9">
        <v>164</v>
      </c>
      <c r="J1401" s="9" t="s">
        <v>404</v>
      </c>
      <c r="K1401" s="9" t="s">
        <v>53</v>
      </c>
      <c r="L1401" s="11">
        <v>1</v>
      </c>
      <c r="M1401" s="14">
        <v>8000.0</v>
      </c>
      <c r="N1401" s="14"/>
      <c r="O1401" s="16">
        <f>IF(M1401&gt;0, N1401/M1401, 0)</f>
        <v>0</v>
      </c>
      <c r="P1401" s="14">
        <f>M1401-N1401</f>
        <v>8000</v>
      </c>
      <c r="Q1401" s="14">
        <f>L1401*M1401</f>
        <v>8000</v>
      </c>
      <c r="R1401" s="14">
        <f>L1401*N1401</f>
        <v>0</v>
      </c>
      <c r="S1401" s="14">
        <f>L1401*P1401</f>
        <v>8000</v>
      </c>
      <c r="T1401" s="14"/>
      <c r="U1401" s="14">
        <f>L1401*T1401</f>
        <v>0</v>
      </c>
      <c r="V1401" s="14">
        <f>S1401-U1401</f>
        <v>8000</v>
      </c>
      <c r="W1401" s="16">
        <f>IF(S1401&gt;0, V1401/S1401, 0)</f>
        <v>1</v>
      </c>
      <c r="X1401" s="7" t="s">
        <v>39</v>
      </c>
      <c r="Y1401" s="9" t="s">
        <v>40</v>
      </c>
      <c r="Z1401" s="9" t="s">
        <v>41</v>
      </c>
      <c r="AA1401" s="9" t="s">
        <v>42</v>
      </c>
      <c r="AB1401" s="7" t="s">
        <v>42</v>
      </c>
    </row>
    <row r="1402" spans="1:28">
      <c r="A1402" s="8">
        <v>1395</v>
      </c>
      <c r="B1402" s="8" t="s">
        <v>1723</v>
      </c>
      <c r="C1402" s="8" t="s">
        <v>1718</v>
      </c>
      <c r="D1402" s="8" t="s">
        <v>652</v>
      </c>
      <c r="E1402" s="8" t="s">
        <v>33</v>
      </c>
      <c r="F1402" s="6" t="s">
        <v>50</v>
      </c>
      <c r="G1402" s="6" t="s">
        <v>35</v>
      </c>
      <c r="H1402" s="6" t="s">
        <v>73</v>
      </c>
      <c r="I1402" s="8">
        <v>134</v>
      </c>
      <c r="J1402" s="8" t="s">
        <v>146</v>
      </c>
      <c r="K1402" s="8" t="s">
        <v>53</v>
      </c>
      <c r="L1402" s="10">
        <v>1</v>
      </c>
      <c r="M1402" s="13">
        <v>8000.0</v>
      </c>
      <c r="N1402" s="13"/>
      <c r="O1402" s="15">
        <f>IF(M1402&gt;0, N1402/M1402, 0)</f>
        <v>0</v>
      </c>
      <c r="P1402" s="13">
        <f>M1402-N1402</f>
        <v>8000</v>
      </c>
      <c r="Q1402" s="13">
        <f>L1402*M1402</f>
        <v>8000</v>
      </c>
      <c r="R1402" s="13">
        <f>L1402*N1402</f>
        <v>0</v>
      </c>
      <c r="S1402" s="13">
        <f>L1402*P1402</f>
        <v>8000</v>
      </c>
      <c r="T1402" s="13"/>
      <c r="U1402" s="13">
        <f>L1402*T1402</f>
        <v>0</v>
      </c>
      <c r="V1402" s="13">
        <f>S1402-U1402</f>
        <v>8000</v>
      </c>
      <c r="W1402" s="15">
        <f>IF(S1402&gt;0, V1402/S1402, 0)</f>
        <v>1</v>
      </c>
      <c r="X1402" s="6" t="s">
        <v>39</v>
      </c>
      <c r="Y1402" s="8" t="s">
        <v>40</v>
      </c>
      <c r="Z1402" s="8" t="s">
        <v>41</v>
      </c>
      <c r="AA1402" s="8" t="s">
        <v>42</v>
      </c>
      <c r="AB1402" s="6" t="s">
        <v>42</v>
      </c>
    </row>
    <row r="1403" spans="1:28">
      <c r="A1403" s="9">
        <v>1396</v>
      </c>
      <c r="B1403" s="9" t="s">
        <v>1724</v>
      </c>
      <c r="C1403" s="9" t="s">
        <v>1718</v>
      </c>
      <c r="D1403" s="9" t="s">
        <v>652</v>
      </c>
      <c r="E1403" s="9" t="s">
        <v>33</v>
      </c>
      <c r="F1403" s="7" t="s">
        <v>50</v>
      </c>
      <c r="G1403" s="7" t="s">
        <v>35</v>
      </c>
      <c r="H1403" s="7" t="s">
        <v>36</v>
      </c>
      <c r="I1403" s="9">
        <v>140</v>
      </c>
      <c r="J1403" s="9" t="s">
        <v>223</v>
      </c>
      <c r="K1403" s="9" t="s">
        <v>53</v>
      </c>
      <c r="L1403" s="11">
        <v>1</v>
      </c>
      <c r="M1403" s="14">
        <v>7000.0</v>
      </c>
      <c r="N1403" s="14"/>
      <c r="O1403" s="16">
        <f>IF(M1403&gt;0, N1403/M1403, 0)</f>
        <v>0</v>
      </c>
      <c r="P1403" s="14">
        <f>M1403-N1403</f>
        <v>7000</v>
      </c>
      <c r="Q1403" s="14">
        <f>L1403*M1403</f>
        <v>7000</v>
      </c>
      <c r="R1403" s="14">
        <f>L1403*N1403</f>
        <v>0</v>
      </c>
      <c r="S1403" s="14">
        <f>L1403*P1403</f>
        <v>7000</v>
      </c>
      <c r="T1403" s="14"/>
      <c r="U1403" s="14">
        <f>L1403*T1403</f>
        <v>0</v>
      </c>
      <c r="V1403" s="14">
        <f>S1403-U1403</f>
        <v>7000</v>
      </c>
      <c r="W1403" s="16">
        <f>IF(S1403&gt;0, V1403/S1403, 0)</f>
        <v>1</v>
      </c>
      <c r="X1403" s="7" t="s">
        <v>39</v>
      </c>
      <c r="Y1403" s="9" t="s">
        <v>40</v>
      </c>
      <c r="Z1403" s="9" t="s">
        <v>41</v>
      </c>
      <c r="AA1403" s="9" t="s">
        <v>42</v>
      </c>
      <c r="AB1403" s="7" t="s">
        <v>42</v>
      </c>
    </row>
    <row r="1404" spans="1:28">
      <c r="A1404" s="8">
        <v>1397</v>
      </c>
      <c r="B1404" s="8" t="s">
        <v>1725</v>
      </c>
      <c r="C1404" s="8" t="s">
        <v>1718</v>
      </c>
      <c r="D1404" s="8" t="s">
        <v>652</v>
      </c>
      <c r="E1404" s="8" t="s">
        <v>33</v>
      </c>
      <c r="F1404" s="6" t="s">
        <v>34</v>
      </c>
      <c r="G1404" s="6" t="s">
        <v>45</v>
      </c>
      <c r="H1404" s="6" t="s">
        <v>46</v>
      </c>
      <c r="I1404" s="8">
        <v>140</v>
      </c>
      <c r="J1404" s="8" t="s">
        <v>1726</v>
      </c>
      <c r="K1404" s="8" t="s">
        <v>38</v>
      </c>
      <c r="L1404" s="10">
        <v>1</v>
      </c>
      <c r="M1404" s="13">
        <v>18000.0</v>
      </c>
      <c r="N1404" s="13"/>
      <c r="O1404" s="15">
        <f>IF(M1404&gt;0, N1404/M1404, 0)</f>
        <v>0</v>
      </c>
      <c r="P1404" s="13">
        <f>M1404-N1404</f>
        <v>18000</v>
      </c>
      <c r="Q1404" s="13">
        <f>L1404*M1404</f>
        <v>18000</v>
      </c>
      <c r="R1404" s="13">
        <f>L1404*N1404</f>
        <v>0</v>
      </c>
      <c r="S1404" s="13">
        <f>L1404*P1404</f>
        <v>18000</v>
      </c>
      <c r="T1404" s="13"/>
      <c r="U1404" s="13">
        <f>L1404*T1404</f>
        <v>0</v>
      </c>
      <c r="V1404" s="13">
        <f>S1404-U1404</f>
        <v>18000</v>
      </c>
      <c r="W1404" s="15">
        <f>IF(S1404&gt;0, V1404/S1404, 0)</f>
        <v>1</v>
      </c>
      <c r="X1404" s="6" t="s">
        <v>39</v>
      </c>
      <c r="Y1404" s="8" t="s">
        <v>40</v>
      </c>
      <c r="Z1404" s="8" t="s">
        <v>41</v>
      </c>
      <c r="AA1404" s="8" t="s">
        <v>42</v>
      </c>
      <c r="AB1404" s="6" t="s">
        <v>42</v>
      </c>
    </row>
    <row r="1405" spans="1:28">
      <c r="A1405" s="9">
        <v>1398</v>
      </c>
      <c r="B1405" s="9" t="s">
        <v>1727</v>
      </c>
      <c r="C1405" s="9" t="s">
        <v>1718</v>
      </c>
      <c r="D1405" s="9" t="s">
        <v>652</v>
      </c>
      <c r="E1405" s="9" t="s">
        <v>33</v>
      </c>
      <c r="F1405" s="7" t="s">
        <v>34</v>
      </c>
      <c r="G1405" s="7" t="s">
        <v>45</v>
      </c>
      <c r="H1405" s="7" t="s">
        <v>46</v>
      </c>
      <c r="I1405" s="9">
        <v>164</v>
      </c>
      <c r="J1405" s="9" t="s">
        <v>318</v>
      </c>
      <c r="K1405" s="9" t="s">
        <v>38</v>
      </c>
      <c r="L1405" s="11">
        <v>1</v>
      </c>
      <c r="M1405" s="14">
        <v>18000.0</v>
      </c>
      <c r="N1405" s="14"/>
      <c r="O1405" s="16">
        <f>IF(M1405&gt;0, N1405/M1405, 0)</f>
        <v>0</v>
      </c>
      <c r="P1405" s="14">
        <f>M1405-N1405</f>
        <v>18000</v>
      </c>
      <c r="Q1405" s="14">
        <f>L1405*M1405</f>
        <v>18000</v>
      </c>
      <c r="R1405" s="14">
        <f>L1405*N1405</f>
        <v>0</v>
      </c>
      <c r="S1405" s="14">
        <f>L1405*P1405</f>
        <v>18000</v>
      </c>
      <c r="T1405" s="14"/>
      <c r="U1405" s="14">
        <f>L1405*T1405</f>
        <v>0</v>
      </c>
      <c r="V1405" s="14">
        <f>S1405-U1405</f>
        <v>18000</v>
      </c>
      <c r="W1405" s="16">
        <f>IF(S1405&gt;0, V1405/S1405, 0)</f>
        <v>1</v>
      </c>
      <c r="X1405" s="7" t="s">
        <v>39</v>
      </c>
      <c r="Y1405" s="9" t="s">
        <v>40</v>
      </c>
      <c r="Z1405" s="9" t="s">
        <v>41</v>
      </c>
      <c r="AA1405" s="9" t="s">
        <v>42</v>
      </c>
      <c r="AB1405" s="7" t="s">
        <v>42</v>
      </c>
    </row>
    <row r="1406" spans="1:28">
      <c r="A1406" s="8">
        <v>1399</v>
      </c>
      <c r="B1406" s="8" t="s">
        <v>1728</v>
      </c>
      <c r="C1406" s="8" t="s">
        <v>1718</v>
      </c>
      <c r="D1406" s="8" t="s">
        <v>652</v>
      </c>
      <c r="E1406" s="8" t="s">
        <v>33</v>
      </c>
      <c r="F1406" s="6" t="s">
        <v>34</v>
      </c>
      <c r="G1406" s="6" t="s">
        <v>51</v>
      </c>
      <c r="H1406" s="6" t="s">
        <v>51</v>
      </c>
      <c r="I1406" s="8">
        <v>158</v>
      </c>
      <c r="J1406" s="8" t="s">
        <v>122</v>
      </c>
      <c r="K1406" s="8" t="s">
        <v>38</v>
      </c>
      <c r="L1406" s="10">
        <v>1</v>
      </c>
      <c r="M1406" s="13">
        <v>8500.0</v>
      </c>
      <c r="N1406" s="13"/>
      <c r="O1406" s="15">
        <f>IF(M1406&gt;0, N1406/M1406, 0)</f>
        <v>0</v>
      </c>
      <c r="P1406" s="13">
        <f>M1406-N1406</f>
        <v>8500</v>
      </c>
      <c r="Q1406" s="13">
        <f>L1406*M1406</f>
        <v>8500</v>
      </c>
      <c r="R1406" s="13">
        <f>L1406*N1406</f>
        <v>0</v>
      </c>
      <c r="S1406" s="13">
        <f>L1406*P1406</f>
        <v>8500</v>
      </c>
      <c r="T1406" s="13"/>
      <c r="U1406" s="13">
        <f>L1406*T1406</f>
        <v>0</v>
      </c>
      <c r="V1406" s="13">
        <f>S1406-U1406</f>
        <v>8500</v>
      </c>
      <c r="W1406" s="15">
        <f>IF(S1406&gt;0, V1406/S1406, 0)</f>
        <v>1</v>
      </c>
      <c r="X1406" s="6" t="s">
        <v>39</v>
      </c>
      <c r="Y1406" s="8" t="s">
        <v>40</v>
      </c>
      <c r="Z1406" s="8" t="s">
        <v>41</v>
      </c>
      <c r="AA1406" s="8" t="s">
        <v>42</v>
      </c>
      <c r="AB1406" s="6" t="s">
        <v>42</v>
      </c>
    </row>
    <row r="1407" spans="1:28">
      <c r="A1407" s="9">
        <v>1400</v>
      </c>
      <c r="B1407" s="9" t="s">
        <v>1729</v>
      </c>
      <c r="C1407" s="9" t="s">
        <v>1718</v>
      </c>
      <c r="D1407" s="9" t="s">
        <v>652</v>
      </c>
      <c r="E1407" s="9" t="s">
        <v>33</v>
      </c>
      <c r="F1407" s="7" t="s">
        <v>34</v>
      </c>
      <c r="G1407" s="7" t="s">
        <v>35</v>
      </c>
      <c r="H1407" s="7" t="s">
        <v>36</v>
      </c>
      <c r="I1407" s="9">
        <v>158</v>
      </c>
      <c r="J1407" s="9" t="s">
        <v>37</v>
      </c>
      <c r="K1407" s="9" t="s">
        <v>38</v>
      </c>
      <c r="L1407" s="11">
        <v>3</v>
      </c>
      <c r="M1407" s="14">
        <v>8000.0</v>
      </c>
      <c r="N1407" s="14"/>
      <c r="O1407" s="16">
        <f>IF(M1407&gt;0, N1407/M1407, 0)</f>
        <v>0</v>
      </c>
      <c r="P1407" s="14">
        <f>M1407-N1407</f>
        <v>8000</v>
      </c>
      <c r="Q1407" s="14">
        <f>L1407*M1407</f>
        <v>24000</v>
      </c>
      <c r="R1407" s="14">
        <f>L1407*N1407</f>
        <v>0</v>
      </c>
      <c r="S1407" s="14">
        <f>L1407*P1407</f>
        <v>24000</v>
      </c>
      <c r="T1407" s="14"/>
      <c r="U1407" s="14">
        <f>L1407*T1407</f>
        <v>0</v>
      </c>
      <c r="V1407" s="14">
        <f>S1407-U1407</f>
        <v>24000</v>
      </c>
      <c r="W1407" s="16">
        <f>IF(S1407&gt;0, V1407/S1407, 0)</f>
        <v>1</v>
      </c>
      <c r="X1407" s="7" t="s">
        <v>39</v>
      </c>
      <c r="Y1407" s="9" t="s">
        <v>40</v>
      </c>
      <c r="Z1407" s="9" t="s">
        <v>41</v>
      </c>
      <c r="AA1407" s="9" t="s">
        <v>42</v>
      </c>
      <c r="AB1407" s="7" t="s">
        <v>42</v>
      </c>
    </row>
    <row r="1408" spans="1:28">
      <c r="A1408" s="8">
        <v>1401</v>
      </c>
      <c r="B1408" s="8" t="s">
        <v>1730</v>
      </c>
      <c r="C1408" s="8" t="s">
        <v>1718</v>
      </c>
      <c r="D1408" s="8" t="s">
        <v>652</v>
      </c>
      <c r="E1408" s="8" t="s">
        <v>33</v>
      </c>
      <c r="F1408" s="6" t="s">
        <v>34</v>
      </c>
      <c r="G1408" s="6" t="s">
        <v>69</v>
      </c>
      <c r="H1408" s="6" t="s">
        <v>69</v>
      </c>
      <c r="I1408" s="8">
        <v>176</v>
      </c>
      <c r="J1408" s="8" t="s">
        <v>203</v>
      </c>
      <c r="K1408" s="8" t="s">
        <v>38</v>
      </c>
      <c r="L1408" s="10">
        <v>2</v>
      </c>
      <c r="M1408" s="13">
        <v>16500.0</v>
      </c>
      <c r="N1408" s="13"/>
      <c r="O1408" s="15">
        <f>IF(M1408&gt;0, N1408/M1408, 0)</f>
        <v>0</v>
      </c>
      <c r="P1408" s="13">
        <f>M1408-N1408</f>
        <v>16500</v>
      </c>
      <c r="Q1408" s="13">
        <f>L1408*M1408</f>
        <v>33000</v>
      </c>
      <c r="R1408" s="13">
        <f>L1408*N1408</f>
        <v>0</v>
      </c>
      <c r="S1408" s="13">
        <f>L1408*P1408</f>
        <v>33000</v>
      </c>
      <c r="T1408" s="13"/>
      <c r="U1408" s="13">
        <f>L1408*T1408</f>
        <v>0</v>
      </c>
      <c r="V1408" s="13">
        <f>S1408-U1408</f>
        <v>33000</v>
      </c>
      <c r="W1408" s="15">
        <f>IF(S1408&gt;0, V1408/S1408, 0)</f>
        <v>1</v>
      </c>
      <c r="X1408" s="6" t="s">
        <v>39</v>
      </c>
      <c r="Y1408" s="8" t="s">
        <v>40</v>
      </c>
      <c r="Z1408" s="8" t="s">
        <v>41</v>
      </c>
      <c r="AA1408" s="8" t="s">
        <v>42</v>
      </c>
      <c r="AB1408" s="6" t="s">
        <v>42</v>
      </c>
    </row>
    <row r="1409" spans="1:28">
      <c r="A1409" s="9">
        <v>1402</v>
      </c>
      <c r="B1409" s="9" t="s">
        <v>1731</v>
      </c>
      <c r="C1409" s="9" t="s">
        <v>1718</v>
      </c>
      <c r="D1409" s="9" t="s">
        <v>652</v>
      </c>
      <c r="E1409" s="9" t="s">
        <v>33</v>
      </c>
      <c r="F1409" s="7" t="s">
        <v>34</v>
      </c>
      <c r="G1409" s="7" t="s">
        <v>51</v>
      </c>
      <c r="H1409" s="7" t="s">
        <v>51</v>
      </c>
      <c r="I1409" s="9">
        <v>176</v>
      </c>
      <c r="J1409" s="9" t="s">
        <v>418</v>
      </c>
      <c r="K1409" s="9" t="s">
        <v>38</v>
      </c>
      <c r="L1409" s="11">
        <v>2</v>
      </c>
      <c r="M1409" s="14">
        <v>8500.0</v>
      </c>
      <c r="N1409" s="14"/>
      <c r="O1409" s="16">
        <f>IF(M1409&gt;0, N1409/M1409, 0)</f>
        <v>0</v>
      </c>
      <c r="P1409" s="14">
        <f>M1409-N1409</f>
        <v>8500</v>
      </c>
      <c r="Q1409" s="14">
        <f>L1409*M1409</f>
        <v>17000</v>
      </c>
      <c r="R1409" s="14">
        <f>L1409*N1409</f>
        <v>0</v>
      </c>
      <c r="S1409" s="14">
        <f>L1409*P1409</f>
        <v>17000</v>
      </c>
      <c r="T1409" s="14"/>
      <c r="U1409" s="14">
        <f>L1409*T1409</f>
        <v>0</v>
      </c>
      <c r="V1409" s="14">
        <f>S1409-U1409</f>
        <v>17000</v>
      </c>
      <c r="W1409" s="16">
        <f>IF(S1409&gt;0, V1409/S1409, 0)</f>
        <v>1</v>
      </c>
      <c r="X1409" s="7" t="s">
        <v>39</v>
      </c>
      <c r="Y1409" s="9" t="s">
        <v>40</v>
      </c>
      <c r="Z1409" s="9" t="s">
        <v>41</v>
      </c>
      <c r="AA1409" s="9" t="s">
        <v>42</v>
      </c>
      <c r="AB1409" s="7" t="s">
        <v>42</v>
      </c>
    </row>
    <row r="1410" spans="1:28">
      <c r="A1410" s="8">
        <v>1403</v>
      </c>
      <c r="B1410" s="8" t="s">
        <v>1732</v>
      </c>
      <c r="C1410" s="8" t="s">
        <v>1718</v>
      </c>
      <c r="D1410" s="8" t="s">
        <v>652</v>
      </c>
      <c r="E1410" s="8" t="s">
        <v>33</v>
      </c>
      <c r="F1410" s="6" t="s">
        <v>34</v>
      </c>
      <c r="G1410" s="6" t="s">
        <v>35</v>
      </c>
      <c r="H1410" s="6" t="s">
        <v>73</v>
      </c>
      <c r="I1410" s="8">
        <v>176</v>
      </c>
      <c r="J1410" s="8" t="s">
        <v>420</v>
      </c>
      <c r="K1410" s="8" t="s">
        <v>38</v>
      </c>
      <c r="L1410" s="10">
        <v>2</v>
      </c>
      <c r="M1410" s="13">
        <v>9000.0</v>
      </c>
      <c r="N1410" s="13"/>
      <c r="O1410" s="15">
        <f>IF(M1410&gt;0, N1410/M1410, 0)</f>
        <v>0</v>
      </c>
      <c r="P1410" s="13">
        <f>M1410-N1410</f>
        <v>9000</v>
      </c>
      <c r="Q1410" s="13">
        <f>L1410*M1410</f>
        <v>18000</v>
      </c>
      <c r="R1410" s="13">
        <f>L1410*N1410</f>
        <v>0</v>
      </c>
      <c r="S1410" s="13">
        <f>L1410*P1410</f>
        <v>18000</v>
      </c>
      <c r="T1410" s="13"/>
      <c r="U1410" s="13">
        <f>L1410*T1410</f>
        <v>0</v>
      </c>
      <c r="V1410" s="13">
        <f>S1410-U1410</f>
        <v>18000</v>
      </c>
      <c r="W1410" s="15">
        <f>IF(S1410&gt;0, V1410/S1410, 0)</f>
        <v>1</v>
      </c>
      <c r="X1410" s="6" t="s">
        <v>39</v>
      </c>
      <c r="Y1410" s="8" t="s">
        <v>40</v>
      </c>
      <c r="Z1410" s="8" t="s">
        <v>41</v>
      </c>
      <c r="AA1410" s="8" t="s">
        <v>42</v>
      </c>
      <c r="AB1410" s="6" t="s">
        <v>42</v>
      </c>
    </row>
    <row r="1411" spans="1:28">
      <c r="A1411" s="9">
        <v>1404</v>
      </c>
      <c r="B1411" s="9" t="s">
        <v>1733</v>
      </c>
      <c r="C1411" s="9" t="s">
        <v>1718</v>
      </c>
      <c r="D1411" s="9" t="s">
        <v>652</v>
      </c>
      <c r="E1411" s="9" t="s">
        <v>33</v>
      </c>
      <c r="F1411" s="7" t="s">
        <v>50</v>
      </c>
      <c r="G1411" s="7" t="s">
        <v>35</v>
      </c>
      <c r="H1411" s="7" t="s">
        <v>36</v>
      </c>
      <c r="I1411" s="9">
        <v>128</v>
      </c>
      <c r="J1411" s="9" t="s">
        <v>156</v>
      </c>
      <c r="K1411" s="9" t="s">
        <v>53</v>
      </c>
      <c r="L1411" s="11">
        <v>3</v>
      </c>
      <c r="M1411" s="14">
        <v>7000.0</v>
      </c>
      <c r="N1411" s="14"/>
      <c r="O1411" s="16">
        <f>IF(M1411&gt;0, N1411/M1411, 0)</f>
        <v>0</v>
      </c>
      <c r="P1411" s="14">
        <f>M1411-N1411</f>
        <v>7000</v>
      </c>
      <c r="Q1411" s="14">
        <f>L1411*M1411</f>
        <v>21000</v>
      </c>
      <c r="R1411" s="14">
        <f>L1411*N1411</f>
        <v>0</v>
      </c>
      <c r="S1411" s="14">
        <f>L1411*P1411</f>
        <v>21000</v>
      </c>
      <c r="T1411" s="14"/>
      <c r="U1411" s="14">
        <f>L1411*T1411</f>
        <v>0</v>
      </c>
      <c r="V1411" s="14">
        <f>S1411-U1411</f>
        <v>21000</v>
      </c>
      <c r="W1411" s="16">
        <f>IF(S1411&gt;0, V1411/S1411, 0)</f>
        <v>1</v>
      </c>
      <c r="X1411" s="7" t="s">
        <v>39</v>
      </c>
      <c r="Y1411" s="9" t="s">
        <v>40</v>
      </c>
      <c r="Z1411" s="9" t="s">
        <v>41</v>
      </c>
      <c r="AA1411" s="9" t="s">
        <v>42</v>
      </c>
      <c r="AB1411" s="7" t="s">
        <v>42</v>
      </c>
    </row>
    <row r="1412" spans="1:28">
      <c r="A1412" s="8">
        <v>1405</v>
      </c>
      <c r="B1412" s="8" t="s">
        <v>1734</v>
      </c>
      <c r="C1412" s="8" t="s">
        <v>1735</v>
      </c>
      <c r="D1412" s="8" t="s">
        <v>652</v>
      </c>
      <c r="E1412" s="8" t="s">
        <v>33</v>
      </c>
      <c r="F1412" s="6" t="s">
        <v>34</v>
      </c>
      <c r="G1412" s="6" t="s">
        <v>35</v>
      </c>
      <c r="H1412" s="6" t="s">
        <v>36</v>
      </c>
      <c r="I1412" s="8">
        <v>176</v>
      </c>
      <c r="J1412" s="8" t="s">
        <v>352</v>
      </c>
      <c r="K1412" s="8" t="s">
        <v>38</v>
      </c>
      <c r="L1412" s="10">
        <v>2</v>
      </c>
      <c r="M1412" s="13">
        <v>8000.0</v>
      </c>
      <c r="N1412" s="13"/>
      <c r="O1412" s="15">
        <f>IF(M1412&gt;0, N1412/M1412, 0)</f>
        <v>0</v>
      </c>
      <c r="P1412" s="13">
        <f>M1412-N1412</f>
        <v>8000</v>
      </c>
      <c r="Q1412" s="13">
        <f>L1412*M1412</f>
        <v>16000</v>
      </c>
      <c r="R1412" s="13">
        <f>L1412*N1412</f>
        <v>0</v>
      </c>
      <c r="S1412" s="13">
        <f>L1412*P1412</f>
        <v>16000</v>
      </c>
      <c r="T1412" s="13"/>
      <c r="U1412" s="13">
        <f>L1412*T1412</f>
        <v>0</v>
      </c>
      <c r="V1412" s="13">
        <f>S1412-U1412</f>
        <v>16000</v>
      </c>
      <c r="W1412" s="15">
        <f>IF(S1412&gt;0, V1412/S1412, 0)</f>
        <v>1</v>
      </c>
      <c r="X1412" s="6" t="s">
        <v>39</v>
      </c>
      <c r="Y1412" s="8" t="s">
        <v>40</v>
      </c>
      <c r="Z1412" s="8" t="s">
        <v>41</v>
      </c>
      <c r="AA1412" s="8" t="s">
        <v>42</v>
      </c>
      <c r="AB1412" s="6" t="s">
        <v>42</v>
      </c>
    </row>
    <row r="1413" spans="1:28">
      <c r="A1413" s="9">
        <v>1406</v>
      </c>
      <c r="B1413" s="9" t="s">
        <v>1736</v>
      </c>
      <c r="C1413" s="9" t="s">
        <v>1735</v>
      </c>
      <c r="D1413" s="9" t="s">
        <v>652</v>
      </c>
      <c r="E1413" s="9" t="s">
        <v>68</v>
      </c>
      <c r="F1413" s="7" t="s">
        <v>133</v>
      </c>
      <c r="G1413" s="7" t="s">
        <v>56</v>
      </c>
      <c r="H1413" s="7" t="s">
        <v>1737</v>
      </c>
      <c r="I1413" s="9">
        <v>134</v>
      </c>
      <c r="J1413" s="9" t="s">
        <v>1738</v>
      </c>
      <c r="K1413" s="9" t="s">
        <v>42</v>
      </c>
      <c r="L1413" s="11">
        <v>1</v>
      </c>
      <c r="M1413" s="14">
        <v>9000.0</v>
      </c>
      <c r="N1413" s="14"/>
      <c r="O1413" s="16">
        <f>IF(M1413&gt;0, N1413/M1413, 0)</f>
        <v>0</v>
      </c>
      <c r="P1413" s="14">
        <f>M1413-N1413</f>
        <v>9000</v>
      </c>
      <c r="Q1413" s="14">
        <f>L1413*M1413</f>
        <v>9000</v>
      </c>
      <c r="R1413" s="14">
        <f>L1413*N1413</f>
        <v>0</v>
      </c>
      <c r="S1413" s="14">
        <f>L1413*P1413</f>
        <v>9000</v>
      </c>
      <c r="T1413" s="14"/>
      <c r="U1413" s="14">
        <f>L1413*T1413</f>
        <v>0</v>
      </c>
      <c r="V1413" s="14">
        <f>S1413-U1413</f>
        <v>9000</v>
      </c>
      <c r="W1413" s="16">
        <f>IF(S1413&gt;0, V1413/S1413, 0)</f>
        <v>1</v>
      </c>
      <c r="X1413" s="7" t="s">
        <v>39</v>
      </c>
      <c r="Y1413" s="9" t="s">
        <v>40</v>
      </c>
      <c r="Z1413" s="9" t="s">
        <v>71</v>
      </c>
      <c r="AA1413" s="9" t="s">
        <v>42</v>
      </c>
      <c r="AB1413" s="7" t="s">
        <v>42</v>
      </c>
    </row>
    <row r="1414" spans="1:28">
      <c r="A1414" s="8">
        <v>1407</v>
      </c>
      <c r="B1414" s="8" t="s">
        <v>1739</v>
      </c>
      <c r="C1414" s="8" t="s">
        <v>1735</v>
      </c>
      <c r="D1414" s="8" t="s">
        <v>652</v>
      </c>
      <c r="E1414" s="8" t="s">
        <v>33</v>
      </c>
      <c r="F1414" s="6" t="s">
        <v>50</v>
      </c>
      <c r="G1414" s="6" t="s">
        <v>69</v>
      </c>
      <c r="H1414" s="6" t="s">
        <v>69</v>
      </c>
      <c r="I1414" s="8">
        <v>140</v>
      </c>
      <c r="J1414" s="8" t="s">
        <v>225</v>
      </c>
      <c r="K1414" s="8" t="s">
        <v>38</v>
      </c>
      <c r="L1414" s="10">
        <v>1</v>
      </c>
      <c r="M1414" s="13">
        <v>17000.0</v>
      </c>
      <c r="N1414" s="13"/>
      <c r="O1414" s="15">
        <f>IF(M1414&gt;0, N1414/M1414, 0)</f>
        <v>0</v>
      </c>
      <c r="P1414" s="13">
        <f>M1414-N1414</f>
        <v>17000</v>
      </c>
      <c r="Q1414" s="13">
        <f>L1414*M1414</f>
        <v>17000</v>
      </c>
      <c r="R1414" s="13">
        <f>L1414*N1414</f>
        <v>0</v>
      </c>
      <c r="S1414" s="13">
        <f>L1414*P1414</f>
        <v>17000</v>
      </c>
      <c r="T1414" s="13"/>
      <c r="U1414" s="13">
        <f>L1414*T1414</f>
        <v>0</v>
      </c>
      <c r="V1414" s="13">
        <f>S1414-U1414</f>
        <v>17000</v>
      </c>
      <c r="W1414" s="15">
        <f>IF(S1414&gt;0, V1414/S1414, 0)</f>
        <v>1</v>
      </c>
      <c r="X1414" s="6" t="s">
        <v>39</v>
      </c>
      <c r="Y1414" s="8" t="s">
        <v>40</v>
      </c>
      <c r="Z1414" s="8" t="s">
        <v>41</v>
      </c>
      <c r="AA1414" s="8" t="s">
        <v>42</v>
      </c>
      <c r="AB1414" s="6" t="s">
        <v>42</v>
      </c>
    </row>
    <row r="1415" spans="1:28">
      <c r="A1415" s="9">
        <v>1408</v>
      </c>
      <c r="B1415" s="9" t="s">
        <v>1740</v>
      </c>
      <c r="C1415" s="9" t="s">
        <v>1735</v>
      </c>
      <c r="D1415" s="9" t="s">
        <v>652</v>
      </c>
      <c r="E1415" s="9" t="s">
        <v>33</v>
      </c>
      <c r="F1415" s="7" t="s">
        <v>50</v>
      </c>
      <c r="G1415" s="7" t="s">
        <v>69</v>
      </c>
      <c r="H1415" s="7" t="s">
        <v>69</v>
      </c>
      <c r="I1415" s="9">
        <v>134</v>
      </c>
      <c r="J1415" s="9" t="s">
        <v>209</v>
      </c>
      <c r="K1415" s="9" t="s">
        <v>38</v>
      </c>
      <c r="L1415" s="11">
        <v>2</v>
      </c>
      <c r="M1415" s="14">
        <v>17000.0</v>
      </c>
      <c r="N1415" s="14"/>
      <c r="O1415" s="16">
        <f>IF(M1415&gt;0, N1415/M1415, 0)</f>
        <v>0</v>
      </c>
      <c r="P1415" s="14">
        <f>M1415-N1415</f>
        <v>17000</v>
      </c>
      <c r="Q1415" s="14">
        <f>L1415*M1415</f>
        <v>34000</v>
      </c>
      <c r="R1415" s="14">
        <f>L1415*N1415</f>
        <v>0</v>
      </c>
      <c r="S1415" s="14">
        <f>L1415*P1415</f>
        <v>34000</v>
      </c>
      <c r="T1415" s="14"/>
      <c r="U1415" s="14">
        <f>L1415*T1415</f>
        <v>0</v>
      </c>
      <c r="V1415" s="14">
        <f>S1415-U1415</f>
        <v>34000</v>
      </c>
      <c r="W1415" s="16">
        <f>IF(S1415&gt;0, V1415/S1415, 0)</f>
        <v>1</v>
      </c>
      <c r="X1415" s="7" t="s">
        <v>39</v>
      </c>
      <c r="Y1415" s="9" t="s">
        <v>40</v>
      </c>
      <c r="Z1415" s="9" t="s">
        <v>41</v>
      </c>
      <c r="AA1415" s="9" t="s">
        <v>42</v>
      </c>
      <c r="AB1415" s="7" t="s">
        <v>42</v>
      </c>
    </row>
    <row r="1416" spans="1:28">
      <c r="A1416" s="8">
        <v>1409</v>
      </c>
      <c r="B1416" s="8" t="s">
        <v>1741</v>
      </c>
      <c r="C1416" s="8" t="s">
        <v>1735</v>
      </c>
      <c r="D1416" s="8" t="s">
        <v>652</v>
      </c>
      <c r="E1416" s="8" t="s">
        <v>33</v>
      </c>
      <c r="F1416" s="6" t="s">
        <v>50</v>
      </c>
      <c r="G1416" s="6" t="s">
        <v>69</v>
      </c>
      <c r="H1416" s="6" t="s">
        <v>69</v>
      </c>
      <c r="I1416" s="8">
        <v>128</v>
      </c>
      <c r="J1416" s="8" t="s">
        <v>110</v>
      </c>
      <c r="K1416" s="8" t="s">
        <v>38</v>
      </c>
      <c r="L1416" s="10">
        <v>1</v>
      </c>
      <c r="M1416" s="13">
        <v>17000.0</v>
      </c>
      <c r="N1416" s="13"/>
      <c r="O1416" s="15">
        <f>IF(M1416&gt;0, N1416/M1416, 0)</f>
        <v>0</v>
      </c>
      <c r="P1416" s="13">
        <f>M1416-N1416</f>
        <v>17000</v>
      </c>
      <c r="Q1416" s="13">
        <f>L1416*M1416</f>
        <v>17000</v>
      </c>
      <c r="R1416" s="13">
        <f>L1416*N1416</f>
        <v>0</v>
      </c>
      <c r="S1416" s="13">
        <f>L1416*P1416</f>
        <v>17000</v>
      </c>
      <c r="T1416" s="13"/>
      <c r="U1416" s="13">
        <f>L1416*T1416</f>
        <v>0</v>
      </c>
      <c r="V1416" s="13">
        <f>S1416-U1416</f>
        <v>17000</v>
      </c>
      <c r="W1416" s="15">
        <f>IF(S1416&gt;0, V1416/S1416, 0)</f>
        <v>1</v>
      </c>
      <c r="X1416" s="6" t="s">
        <v>39</v>
      </c>
      <c r="Y1416" s="8" t="s">
        <v>40</v>
      </c>
      <c r="Z1416" s="8" t="s">
        <v>41</v>
      </c>
      <c r="AA1416" s="8" t="s">
        <v>42</v>
      </c>
      <c r="AB1416" s="6" t="s">
        <v>42</v>
      </c>
    </row>
    <row r="1417" spans="1:28">
      <c r="A1417" s="9">
        <v>1410</v>
      </c>
      <c r="B1417" s="9" t="s">
        <v>1742</v>
      </c>
      <c r="C1417" s="9" t="s">
        <v>1735</v>
      </c>
      <c r="D1417" s="9" t="s">
        <v>652</v>
      </c>
      <c r="E1417" s="9" t="s">
        <v>33</v>
      </c>
      <c r="F1417" s="7" t="s">
        <v>50</v>
      </c>
      <c r="G1417" s="7" t="s">
        <v>51</v>
      </c>
      <c r="H1417" s="7" t="s">
        <v>51</v>
      </c>
      <c r="I1417" s="9">
        <v>128</v>
      </c>
      <c r="J1417" s="9" t="s">
        <v>390</v>
      </c>
      <c r="K1417" s="9" t="s">
        <v>53</v>
      </c>
      <c r="L1417" s="11">
        <v>2</v>
      </c>
      <c r="M1417" s="14">
        <v>8000.0</v>
      </c>
      <c r="N1417" s="14"/>
      <c r="O1417" s="16">
        <f>IF(M1417&gt;0, N1417/M1417, 0)</f>
        <v>0</v>
      </c>
      <c r="P1417" s="14">
        <f>M1417-N1417</f>
        <v>8000</v>
      </c>
      <c r="Q1417" s="14">
        <f>L1417*M1417</f>
        <v>16000</v>
      </c>
      <c r="R1417" s="14">
        <f>L1417*N1417</f>
        <v>0</v>
      </c>
      <c r="S1417" s="14">
        <f>L1417*P1417</f>
        <v>16000</v>
      </c>
      <c r="T1417" s="14"/>
      <c r="U1417" s="14">
        <f>L1417*T1417</f>
        <v>0</v>
      </c>
      <c r="V1417" s="14">
        <f>S1417-U1417</f>
        <v>16000</v>
      </c>
      <c r="W1417" s="16">
        <f>IF(S1417&gt;0, V1417/S1417, 0)</f>
        <v>1</v>
      </c>
      <c r="X1417" s="7" t="s">
        <v>39</v>
      </c>
      <c r="Y1417" s="9" t="s">
        <v>40</v>
      </c>
      <c r="Z1417" s="9" t="s">
        <v>41</v>
      </c>
      <c r="AA1417" s="9" t="s">
        <v>42</v>
      </c>
      <c r="AB1417" s="7" t="s">
        <v>42</v>
      </c>
    </row>
    <row r="1418" spans="1:28">
      <c r="A1418" s="8">
        <v>1411</v>
      </c>
      <c r="B1418" s="8" t="s">
        <v>1743</v>
      </c>
      <c r="C1418" s="8" t="s">
        <v>1735</v>
      </c>
      <c r="D1418" s="8" t="s">
        <v>652</v>
      </c>
      <c r="E1418" s="8" t="s">
        <v>33</v>
      </c>
      <c r="F1418" s="6" t="s">
        <v>50</v>
      </c>
      <c r="G1418" s="6" t="s">
        <v>35</v>
      </c>
      <c r="H1418" s="6" t="s">
        <v>73</v>
      </c>
      <c r="I1418" s="8">
        <v>128</v>
      </c>
      <c r="J1418" s="8" t="s">
        <v>185</v>
      </c>
      <c r="K1418" s="8" t="s">
        <v>53</v>
      </c>
      <c r="L1418" s="10">
        <v>1</v>
      </c>
      <c r="M1418" s="13">
        <v>8000.0</v>
      </c>
      <c r="N1418" s="13"/>
      <c r="O1418" s="15">
        <f>IF(M1418&gt;0, N1418/M1418, 0)</f>
        <v>0</v>
      </c>
      <c r="P1418" s="13">
        <f>M1418-N1418</f>
        <v>8000</v>
      </c>
      <c r="Q1418" s="13">
        <f>L1418*M1418</f>
        <v>8000</v>
      </c>
      <c r="R1418" s="13">
        <f>L1418*N1418</f>
        <v>0</v>
      </c>
      <c r="S1418" s="13">
        <f>L1418*P1418</f>
        <v>8000</v>
      </c>
      <c r="T1418" s="13"/>
      <c r="U1418" s="13">
        <f>L1418*T1418</f>
        <v>0</v>
      </c>
      <c r="V1418" s="13">
        <f>S1418-U1418</f>
        <v>8000</v>
      </c>
      <c r="W1418" s="15">
        <f>IF(S1418&gt;0, V1418/S1418, 0)</f>
        <v>1</v>
      </c>
      <c r="X1418" s="6" t="s">
        <v>39</v>
      </c>
      <c r="Y1418" s="8" t="s">
        <v>40</v>
      </c>
      <c r="Z1418" s="8" t="s">
        <v>41</v>
      </c>
      <c r="AA1418" s="8" t="s">
        <v>42</v>
      </c>
      <c r="AB1418" s="6" t="s">
        <v>42</v>
      </c>
    </row>
    <row r="1419" spans="1:28">
      <c r="A1419" s="9">
        <v>1412</v>
      </c>
      <c r="B1419" s="9" t="s">
        <v>1744</v>
      </c>
      <c r="C1419" s="9" t="s">
        <v>1735</v>
      </c>
      <c r="D1419" s="9" t="s">
        <v>652</v>
      </c>
      <c r="E1419" s="9" t="s">
        <v>33</v>
      </c>
      <c r="F1419" s="7" t="s">
        <v>50</v>
      </c>
      <c r="G1419" s="7" t="s">
        <v>51</v>
      </c>
      <c r="H1419" s="7" t="s">
        <v>51</v>
      </c>
      <c r="I1419" s="9">
        <v>134</v>
      </c>
      <c r="J1419" s="9" t="s">
        <v>175</v>
      </c>
      <c r="K1419" s="9" t="s">
        <v>53</v>
      </c>
      <c r="L1419" s="11">
        <v>2</v>
      </c>
      <c r="M1419" s="14">
        <v>8000.0</v>
      </c>
      <c r="N1419" s="14"/>
      <c r="O1419" s="16">
        <f>IF(M1419&gt;0, N1419/M1419, 0)</f>
        <v>0</v>
      </c>
      <c r="P1419" s="14">
        <f>M1419-N1419</f>
        <v>8000</v>
      </c>
      <c r="Q1419" s="14">
        <f>L1419*M1419</f>
        <v>16000</v>
      </c>
      <c r="R1419" s="14">
        <f>L1419*N1419</f>
        <v>0</v>
      </c>
      <c r="S1419" s="14">
        <f>L1419*P1419</f>
        <v>16000</v>
      </c>
      <c r="T1419" s="14"/>
      <c r="U1419" s="14">
        <f>L1419*T1419</f>
        <v>0</v>
      </c>
      <c r="V1419" s="14">
        <f>S1419-U1419</f>
        <v>16000</v>
      </c>
      <c r="W1419" s="16">
        <f>IF(S1419&gt;0, V1419/S1419, 0)</f>
        <v>1</v>
      </c>
      <c r="X1419" s="7" t="s">
        <v>39</v>
      </c>
      <c r="Y1419" s="9" t="s">
        <v>40</v>
      </c>
      <c r="Z1419" s="9" t="s">
        <v>41</v>
      </c>
      <c r="AA1419" s="9" t="s">
        <v>42</v>
      </c>
      <c r="AB1419" s="7" t="s">
        <v>42</v>
      </c>
    </row>
    <row r="1420" spans="1:28">
      <c r="A1420" s="8">
        <v>1413</v>
      </c>
      <c r="B1420" s="8" t="s">
        <v>1745</v>
      </c>
      <c r="C1420" s="8" t="s">
        <v>1735</v>
      </c>
      <c r="D1420" s="8" t="s">
        <v>652</v>
      </c>
      <c r="E1420" s="8" t="s">
        <v>33</v>
      </c>
      <c r="F1420" s="6" t="s">
        <v>50</v>
      </c>
      <c r="G1420" s="6" t="s">
        <v>51</v>
      </c>
      <c r="H1420" s="6" t="s">
        <v>51</v>
      </c>
      <c r="I1420" s="8">
        <v>134</v>
      </c>
      <c r="J1420" s="8" t="s">
        <v>175</v>
      </c>
      <c r="K1420" s="8" t="s">
        <v>53</v>
      </c>
      <c r="L1420" s="10">
        <v>2</v>
      </c>
      <c r="M1420" s="13">
        <v>8900.0</v>
      </c>
      <c r="N1420" s="13"/>
      <c r="O1420" s="15">
        <f>IF(M1420&gt;0, N1420/M1420, 0)</f>
        <v>0</v>
      </c>
      <c r="P1420" s="13">
        <f>M1420-N1420</f>
        <v>8900</v>
      </c>
      <c r="Q1420" s="13">
        <f>L1420*M1420</f>
        <v>17800</v>
      </c>
      <c r="R1420" s="13">
        <f>L1420*N1420</f>
        <v>0</v>
      </c>
      <c r="S1420" s="13">
        <f>L1420*P1420</f>
        <v>17800</v>
      </c>
      <c r="T1420" s="13"/>
      <c r="U1420" s="13">
        <f>L1420*T1420</f>
        <v>0</v>
      </c>
      <c r="V1420" s="13">
        <f>S1420-U1420</f>
        <v>17800</v>
      </c>
      <c r="W1420" s="15">
        <f>IF(S1420&gt;0, V1420/S1420, 0)</f>
        <v>1</v>
      </c>
      <c r="X1420" s="6" t="s">
        <v>39</v>
      </c>
      <c r="Y1420" s="8" t="s">
        <v>40</v>
      </c>
      <c r="Z1420" s="8" t="s">
        <v>41</v>
      </c>
      <c r="AA1420" s="8" t="s">
        <v>42</v>
      </c>
      <c r="AB1420" s="6" t="s">
        <v>42</v>
      </c>
    </row>
    <row r="1421" spans="1:28">
      <c r="A1421" s="9">
        <v>1414</v>
      </c>
      <c r="B1421" s="9" t="s">
        <v>1746</v>
      </c>
      <c r="C1421" s="9" t="s">
        <v>1735</v>
      </c>
      <c r="D1421" s="9" t="s">
        <v>652</v>
      </c>
      <c r="E1421" s="9" t="s">
        <v>33</v>
      </c>
      <c r="F1421" s="7" t="s">
        <v>50</v>
      </c>
      <c r="G1421" s="7" t="s">
        <v>35</v>
      </c>
      <c r="H1421" s="7" t="s">
        <v>36</v>
      </c>
      <c r="I1421" s="9">
        <v>134</v>
      </c>
      <c r="J1421" s="9" t="s">
        <v>177</v>
      </c>
      <c r="K1421" s="9" t="s">
        <v>53</v>
      </c>
      <c r="L1421" s="11">
        <v>3</v>
      </c>
      <c r="M1421" s="14">
        <v>7000.0</v>
      </c>
      <c r="N1421" s="14"/>
      <c r="O1421" s="16">
        <f>IF(M1421&gt;0, N1421/M1421, 0)</f>
        <v>0</v>
      </c>
      <c r="P1421" s="14">
        <f>M1421-N1421</f>
        <v>7000</v>
      </c>
      <c r="Q1421" s="14">
        <f>L1421*M1421</f>
        <v>21000</v>
      </c>
      <c r="R1421" s="14">
        <f>L1421*N1421</f>
        <v>0</v>
      </c>
      <c r="S1421" s="14">
        <f>L1421*P1421</f>
        <v>21000</v>
      </c>
      <c r="T1421" s="14"/>
      <c r="U1421" s="14">
        <f>L1421*T1421</f>
        <v>0</v>
      </c>
      <c r="V1421" s="14">
        <f>S1421-U1421</f>
        <v>21000</v>
      </c>
      <c r="W1421" s="16">
        <f>IF(S1421&gt;0, V1421/S1421, 0)</f>
        <v>1</v>
      </c>
      <c r="X1421" s="7" t="s">
        <v>39</v>
      </c>
      <c r="Y1421" s="9" t="s">
        <v>40</v>
      </c>
      <c r="Z1421" s="9" t="s">
        <v>41</v>
      </c>
      <c r="AA1421" s="9" t="s">
        <v>42</v>
      </c>
      <c r="AB1421" s="7" t="s">
        <v>42</v>
      </c>
    </row>
    <row r="1422" spans="1:28">
      <c r="A1422" s="8">
        <v>1415</v>
      </c>
      <c r="B1422" s="8" t="s">
        <v>1747</v>
      </c>
      <c r="C1422" s="8" t="s">
        <v>1735</v>
      </c>
      <c r="D1422" s="8" t="s">
        <v>652</v>
      </c>
      <c r="E1422" s="8" t="s">
        <v>68</v>
      </c>
      <c r="F1422" s="6" t="s">
        <v>50</v>
      </c>
      <c r="G1422" s="6" t="s">
        <v>56</v>
      </c>
      <c r="H1422" s="6" t="s">
        <v>56</v>
      </c>
      <c r="I1422" s="8">
        <v>128</v>
      </c>
      <c r="J1422" s="8" t="s">
        <v>577</v>
      </c>
      <c r="K1422" s="8" t="s">
        <v>38</v>
      </c>
      <c r="L1422" s="10">
        <v>1</v>
      </c>
      <c r="M1422" s="13">
        <v>8000.0</v>
      </c>
      <c r="N1422" s="13"/>
      <c r="O1422" s="15">
        <f>IF(M1422&gt;0, N1422/M1422, 0)</f>
        <v>0</v>
      </c>
      <c r="P1422" s="13">
        <f>M1422-N1422</f>
        <v>8000</v>
      </c>
      <c r="Q1422" s="13">
        <f>L1422*M1422</f>
        <v>8000</v>
      </c>
      <c r="R1422" s="13">
        <f>L1422*N1422</f>
        <v>0</v>
      </c>
      <c r="S1422" s="13">
        <f>L1422*P1422</f>
        <v>8000</v>
      </c>
      <c r="T1422" s="13"/>
      <c r="U1422" s="13">
        <f>L1422*T1422</f>
        <v>0</v>
      </c>
      <c r="V1422" s="13">
        <f>S1422-U1422</f>
        <v>8000</v>
      </c>
      <c r="W1422" s="15">
        <f>IF(S1422&gt;0, V1422/S1422, 0)</f>
        <v>1</v>
      </c>
      <c r="X1422" s="6" t="s">
        <v>39</v>
      </c>
      <c r="Y1422" s="8" t="s">
        <v>40</v>
      </c>
      <c r="Z1422" s="8" t="s">
        <v>71</v>
      </c>
      <c r="AA1422" s="8" t="s">
        <v>42</v>
      </c>
      <c r="AB1422" s="6" t="s">
        <v>42</v>
      </c>
    </row>
    <row r="1423" spans="1:28">
      <c r="A1423" s="9">
        <v>1416</v>
      </c>
      <c r="B1423" s="9" t="s">
        <v>1748</v>
      </c>
      <c r="C1423" s="9" t="s">
        <v>1735</v>
      </c>
      <c r="D1423" s="9" t="s">
        <v>652</v>
      </c>
      <c r="E1423" s="9" t="s">
        <v>33</v>
      </c>
      <c r="F1423" s="7" t="s">
        <v>50</v>
      </c>
      <c r="G1423" s="7" t="s">
        <v>69</v>
      </c>
      <c r="H1423" s="7" t="s">
        <v>69</v>
      </c>
      <c r="I1423" s="9">
        <v>134</v>
      </c>
      <c r="J1423" s="9" t="s">
        <v>209</v>
      </c>
      <c r="K1423" s="9" t="s">
        <v>38</v>
      </c>
      <c r="L1423" s="11">
        <v>1</v>
      </c>
      <c r="M1423" s="14">
        <v>17000.0</v>
      </c>
      <c r="N1423" s="14"/>
      <c r="O1423" s="16">
        <f>IF(M1423&gt;0, N1423/M1423, 0)</f>
        <v>0</v>
      </c>
      <c r="P1423" s="14">
        <f>M1423-N1423</f>
        <v>17000</v>
      </c>
      <c r="Q1423" s="14">
        <f>L1423*M1423</f>
        <v>17000</v>
      </c>
      <c r="R1423" s="14">
        <f>L1423*N1423</f>
        <v>0</v>
      </c>
      <c r="S1423" s="14">
        <f>L1423*P1423</f>
        <v>17000</v>
      </c>
      <c r="T1423" s="14"/>
      <c r="U1423" s="14">
        <f>L1423*T1423</f>
        <v>0</v>
      </c>
      <c r="V1423" s="14">
        <f>S1423-U1423</f>
        <v>17000</v>
      </c>
      <c r="W1423" s="16">
        <f>IF(S1423&gt;0, V1423/S1423, 0)</f>
        <v>1</v>
      </c>
      <c r="X1423" s="7" t="s">
        <v>39</v>
      </c>
      <c r="Y1423" s="9" t="s">
        <v>40</v>
      </c>
      <c r="Z1423" s="9" t="s">
        <v>41</v>
      </c>
      <c r="AA1423" s="9" t="s">
        <v>42</v>
      </c>
      <c r="AB1423" s="7" t="s">
        <v>42</v>
      </c>
    </row>
    <row r="1424" spans="1:28">
      <c r="A1424" s="8">
        <v>1417</v>
      </c>
      <c r="B1424" s="8" t="s">
        <v>1749</v>
      </c>
      <c r="C1424" s="8" t="s">
        <v>1735</v>
      </c>
      <c r="D1424" s="8" t="s">
        <v>652</v>
      </c>
      <c r="E1424" s="8" t="s">
        <v>33</v>
      </c>
      <c r="F1424" s="6" t="s">
        <v>50</v>
      </c>
      <c r="G1424" s="6" t="s">
        <v>45</v>
      </c>
      <c r="H1424" s="6" t="s">
        <v>46</v>
      </c>
      <c r="I1424" s="8">
        <v>134</v>
      </c>
      <c r="J1424" s="8" t="s">
        <v>376</v>
      </c>
      <c r="K1424" s="8" t="s">
        <v>38</v>
      </c>
      <c r="L1424" s="10">
        <v>1</v>
      </c>
      <c r="M1424" s="13">
        <v>18000.0</v>
      </c>
      <c r="N1424" s="13"/>
      <c r="O1424" s="15">
        <f>IF(M1424&gt;0, N1424/M1424, 0)</f>
        <v>0</v>
      </c>
      <c r="P1424" s="13">
        <f>M1424-N1424</f>
        <v>18000</v>
      </c>
      <c r="Q1424" s="13">
        <f>L1424*M1424</f>
        <v>18000</v>
      </c>
      <c r="R1424" s="13">
        <f>L1424*N1424</f>
        <v>0</v>
      </c>
      <c r="S1424" s="13">
        <f>L1424*P1424</f>
        <v>18000</v>
      </c>
      <c r="T1424" s="13"/>
      <c r="U1424" s="13">
        <f>L1424*T1424</f>
        <v>0</v>
      </c>
      <c r="V1424" s="13">
        <f>S1424-U1424</f>
        <v>18000</v>
      </c>
      <c r="W1424" s="15">
        <f>IF(S1424&gt;0, V1424/S1424, 0)</f>
        <v>1</v>
      </c>
      <c r="X1424" s="6" t="s">
        <v>39</v>
      </c>
      <c r="Y1424" s="8" t="s">
        <v>40</v>
      </c>
      <c r="Z1424" s="8" t="s">
        <v>41</v>
      </c>
      <c r="AA1424" s="8" t="s">
        <v>42</v>
      </c>
      <c r="AB1424" s="6" t="s">
        <v>42</v>
      </c>
    </row>
    <row r="1425" spans="1:28">
      <c r="A1425" s="9">
        <v>1418</v>
      </c>
      <c r="B1425" s="9" t="s">
        <v>1750</v>
      </c>
      <c r="C1425" s="9" t="s">
        <v>1735</v>
      </c>
      <c r="D1425" s="9" t="s">
        <v>652</v>
      </c>
      <c r="E1425" s="9" t="s">
        <v>33</v>
      </c>
      <c r="F1425" s="7" t="s">
        <v>50</v>
      </c>
      <c r="G1425" s="7" t="s">
        <v>51</v>
      </c>
      <c r="H1425" s="7" t="s">
        <v>51</v>
      </c>
      <c r="I1425" s="9">
        <v>134</v>
      </c>
      <c r="J1425" s="9" t="s">
        <v>175</v>
      </c>
      <c r="K1425" s="9" t="s">
        <v>53</v>
      </c>
      <c r="L1425" s="11">
        <v>1</v>
      </c>
      <c r="M1425" s="14">
        <v>9000.0</v>
      </c>
      <c r="N1425" s="14"/>
      <c r="O1425" s="16">
        <f>IF(M1425&gt;0, N1425/M1425, 0)</f>
        <v>0</v>
      </c>
      <c r="P1425" s="14">
        <f>M1425-N1425</f>
        <v>9000</v>
      </c>
      <c r="Q1425" s="14">
        <f>L1425*M1425</f>
        <v>9000</v>
      </c>
      <c r="R1425" s="14">
        <f>L1425*N1425</f>
        <v>0</v>
      </c>
      <c r="S1425" s="14">
        <f>L1425*P1425</f>
        <v>9000</v>
      </c>
      <c r="T1425" s="14"/>
      <c r="U1425" s="14">
        <f>L1425*T1425</f>
        <v>0</v>
      </c>
      <c r="V1425" s="14">
        <f>S1425-U1425</f>
        <v>9000</v>
      </c>
      <c r="W1425" s="16">
        <f>IF(S1425&gt;0, V1425/S1425, 0)</f>
        <v>1</v>
      </c>
      <c r="X1425" s="7" t="s">
        <v>39</v>
      </c>
      <c r="Y1425" s="9" t="s">
        <v>40</v>
      </c>
      <c r="Z1425" s="9" t="s">
        <v>41</v>
      </c>
      <c r="AA1425" s="9" t="s">
        <v>42</v>
      </c>
      <c r="AB1425" s="7" t="s">
        <v>42</v>
      </c>
    </row>
    <row r="1426" spans="1:28">
      <c r="A1426" s="8">
        <v>1419</v>
      </c>
      <c r="B1426" s="8" t="s">
        <v>1751</v>
      </c>
      <c r="C1426" s="8" t="s">
        <v>1735</v>
      </c>
      <c r="D1426" s="8" t="s">
        <v>652</v>
      </c>
      <c r="E1426" s="8" t="s">
        <v>33</v>
      </c>
      <c r="F1426" s="6" t="s">
        <v>50</v>
      </c>
      <c r="G1426" s="6" t="s">
        <v>35</v>
      </c>
      <c r="H1426" s="6" t="s">
        <v>73</v>
      </c>
      <c r="I1426" s="8">
        <v>140</v>
      </c>
      <c r="J1426" s="8" t="s">
        <v>570</v>
      </c>
      <c r="K1426" s="8" t="s">
        <v>53</v>
      </c>
      <c r="L1426" s="10">
        <v>2</v>
      </c>
      <c r="M1426" s="13">
        <v>8000.0</v>
      </c>
      <c r="N1426" s="13"/>
      <c r="O1426" s="15">
        <f>IF(M1426&gt;0, N1426/M1426, 0)</f>
        <v>0</v>
      </c>
      <c r="P1426" s="13">
        <f>M1426-N1426</f>
        <v>8000</v>
      </c>
      <c r="Q1426" s="13">
        <f>L1426*M1426</f>
        <v>16000</v>
      </c>
      <c r="R1426" s="13">
        <f>L1426*N1426</f>
        <v>0</v>
      </c>
      <c r="S1426" s="13">
        <f>L1426*P1426</f>
        <v>16000</v>
      </c>
      <c r="T1426" s="13"/>
      <c r="U1426" s="13">
        <f>L1426*T1426</f>
        <v>0</v>
      </c>
      <c r="V1426" s="13">
        <f>S1426-U1426</f>
        <v>16000</v>
      </c>
      <c r="W1426" s="15">
        <f>IF(S1426&gt;0, V1426/S1426, 0)</f>
        <v>1</v>
      </c>
      <c r="X1426" s="6" t="s">
        <v>39</v>
      </c>
      <c r="Y1426" s="8" t="s">
        <v>40</v>
      </c>
      <c r="Z1426" s="8" t="s">
        <v>41</v>
      </c>
      <c r="AA1426" s="8" t="s">
        <v>42</v>
      </c>
      <c r="AB1426" s="6" t="s">
        <v>42</v>
      </c>
    </row>
    <row r="1427" spans="1:28">
      <c r="A1427" s="9">
        <v>1420</v>
      </c>
      <c r="B1427" s="9" t="s">
        <v>1752</v>
      </c>
      <c r="C1427" s="9" t="s">
        <v>1735</v>
      </c>
      <c r="D1427" s="9" t="s">
        <v>652</v>
      </c>
      <c r="E1427" s="9" t="s">
        <v>33</v>
      </c>
      <c r="F1427" s="7" t="s">
        <v>50</v>
      </c>
      <c r="G1427" s="7" t="s">
        <v>35</v>
      </c>
      <c r="H1427" s="7" t="s">
        <v>36</v>
      </c>
      <c r="I1427" s="9">
        <v>140</v>
      </c>
      <c r="J1427" s="9" t="s">
        <v>223</v>
      </c>
      <c r="K1427" s="9" t="s">
        <v>53</v>
      </c>
      <c r="L1427" s="11">
        <v>2</v>
      </c>
      <c r="M1427" s="14">
        <v>7000.0</v>
      </c>
      <c r="N1427" s="14"/>
      <c r="O1427" s="16">
        <f>IF(M1427&gt;0, N1427/M1427, 0)</f>
        <v>0</v>
      </c>
      <c r="P1427" s="14">
        <f>M1427-N1427</f>
        <v>7000</v>
      </c>
      <c r="Q1427" s="14">
        <f>L1427*M1427</f>
        <v>14000</v>
      </c>
      <c r="R1427" s="14">
        <f>L1427*N1427</f>
        <v>0</v>
      </c>
      <c r="S1427" s="14">
        <f>L1427*P1427</f>
        <v>14000</v>
      </c>
      <c r="T1427" s="14"/>
      <c r="U1427" s="14">
        <f>L1427*T1427</f>
        <v>0</v>
      </c>
      <c r="V1427" s="14">
        <f>S1427-U1427</f>
        <v>14000</v>
      </c>
      <c r="W1427" s="16">
        <f>IF(S1427&gt;0, V1427/S1427, 0)</f>
        <v>1</v>
      </c>
      <c r="X1427" s="7" t="s">
        <v>39</v>
      </c>
      <c r="Y1427" s="9" t="s">
        <v>40</v>
      </c>
      <c r="Z1427" s="9" t="s">
        <v>41</v>
      </c>
      <c r="AA1427" s="9" t="s">
        <v>42</v>
      </c>
      <c r="AB1427" s="7" t="s">
        <v>42</v>
      </c>
    </row>
    <row r="1428" spans="1:28">
      <c r="A1428" s="8">
        <v>1421</v>
      </c>
      <c r="B1428" s="8" t="s">
        <v>1753</v>
      </c>
      <c r="C1428" s="8" t="s">
        <v>1735</v>
      </c>
      <c r="D1428" s="8" t="s">
        <v>652</v>
      </c>
      <c r="E1428" s="8" t="s">
        <v>33</v>
      </c>
      <c r="F1428" s="6" t="s">
        <v>50</v>
      </c>
      <c r="G1428" s="6" t="s">
        <v>69</v>
      </c>
      <c r="H1428" s="6" t="s">
        <v>69</v>
      </c>
      <c r="I1428" s="8">
        <v>140</v>
      </c>
      <c r="J1428" s="8" t="s">
        <v>225</v>
      </c>
      <c r="K1428" s="8" t="s">
        <v>38</v>
      </c>
      <c r="L1428" s="10">
        <v>1</v>
      </c>
      <c r="M1428" s="13">
        <v>17000.0</v>
      </c>
      <c r="N1428" s="13"/>
      <c r="O1428" s="15">
        <f>IF(M1428&gt;0, N1428/M1428, 0)</f>
        <v>0</v>
      </c>
      <c r="P1428" s="13">
        <f>M1428-N1428</f>
        <v>17000</v>
      </c>
      <c r="Q1428" s="13">
        <f>L1428*M1428</f>
        <v>17000</v>
      </c>
      <c r="R1428" s="13">
        <f>L1428*N1428</f>
        <v>0</v>
      </c>
      <c r="S1428" s="13">
        <f>L1428*P1428</f>
        <v>17000</v>
      </c>
      <c r="T1428" s="13"/>
      <c r="U1428" s="13">
        <f>L1428*T1428</f>
        <v>0</v>
      </c>
      <c r="V1428" s="13">
        <f>S1428-U1428</f>
        <v>17000</v>
      </c>
      <c r="W1428" s="15">
        <f>IF(S1428&gt;0, V1428/S1428, 0)</f>
        <v>1</v>
      </c>
      <c r="X1428" s="6" t="s">
        <v>39</v>
      </c>
      <c r="Y1428" s="8" t="s">
        <v>40</v>
      </c>
      <c r="Z1428" s="8" t="s">
        <v>41</v>
      </c>
      <c r="AA1428" s="8" t="s">
        <v>42</v>
      </c>
      <c r="AB1428" s="6" t="s">
        <v>42</v>
      </c>
    </row>
    <row r="1429" spans="1:28">
      <c r="A1429" s="9">
        <v>1422</v>
      </c>
      <c r="B1429" s="9" t="s">
        <v>1754</v>
      </c>
      <c r="C1429" s="9" t="s">
        <v>1735</v>
      </c>
      <c r="D1429" s="9" t="s">
        <v>652</v>
      </c>
      <c r="E1429" s="9" t="s">
        <v>33</v>
      </c>
      <c r="F1429" s="7" t="s">
        <v>50</v>
      </c>
      <c r="G1429" s="7" t="s">
        <v>51</v>
      </c>
      <c r="H1429" s="7" t="s">
        <v>51</v>
      </c>
      <c r="I1429" s="9">
        <v>140</v>
      </c>
      <c r="J1429" s="9" t="s">
        <v>279</v>
      </c>
      <c r="K1429" s="9" t="s">
        <v>53</v>
      </c>
      <c r="L1429" s="11">
        <v>2</v>
      </c>
      <c r="M1429" s="14">
        <v>8000.0</v>
      </c>
      <c r="N1429" s="14"/>
      <c r="O1429" s="16">
        <f>IF(M1429&gt;0, N1429/M1429, 0)</f>
        <v>0</v>
      </c>
      <c r="P1429" s="14">
        <f>M1429-N1429</f>
        <v>8000</v>
      </c>
      <c r="Q1429" s="14">
        <f>L1429*M1429</f>
        <v>16000</v>
      </c>
      <c r="R1429" s="14">
        <f>L1429*N1429</f>
        <v>0</v>
      </c>
      <c r="S1429" s="14">
        <f>L1429*P1429</f>
        <v>16000</v>
      </c>
      <c r="T1429" s="14"/>
      <c r="U1429" s="14">
        <f>L1429*T1429</f>
        <v>0</v>
      </c>
      <c r="V1429" s="14">
        <f>S1429-U1429</f>
        <v>16000</v>
      </c>
      <c r="W1429" s="16">
        <f>IF(S1429&gt;0, V1429/S1429, 0)</f>
        <v>1</v>
      </c>
      <c r="X1429" s="7" t="s">
        <v>39</v>
      </c>
      <c r="Y1429" s="9" t="s">
        <v>40</v>
      </c>
      <c r="Z1429" s="9" t="s">
        <v>41</v>
      </c>
      <c r="AA1429" s="9" t="s">
        <v>42</v>
      </c>
      <c r="AB1429" s="7" t="s">
        <v>42</v>
      </c>
    </row>
    <row r="1430" spans="1:28">
      <c r="A1430" s="8">
        <v>1423</v>
      </c>
      <c r="B1430" s="8" t="s">
        <v>1755</v>
      </c>
      <c r="C1430" s="8" t="s">
        <v>1735</v>
      </c>
      <c r="D1430" s="8" t="s">
        <v>652</v>
      </c>
      <c r="E1430" s="8" t="s">
        <v>33</v>
      </c>
      <c r="F1430" s="6" t="s">
        <v>50</v>
      </c>
      <c r="G1430" s="6" t="s">
        <v>45</v>
      </c>
      <c r="H1430" s="6" t="s">
        <v>46</v>
      </c>
      <c r="I1430" s="8">
        <v>140</v>
      </c>
      <c r="J1430" s="8" t="s">
        <v>414</v>
      </c>
      <c r="K1430" s="8" t="s">
        <v>38</v>
      </c>
      <c r="L1430" s="10">
        <v>1</v>
      </c>
      <c r="M1430" s="13">
        <v>18000.0</v>
      </c>
      <c r="N1430" s="13"/>
      <c r="O1430" s="15">
        <f>IF(M1430&gt;0, N1430/M1430, 0)</f>
        <v>0</v>
      </c>
      <c r="P1430" s="13">
        <f>M1430-N1430</f>
        <v>18000</v>
      </c>
      <c r="Q1430" s="13">
        <f>L1430*M1430</f>
        <v>18000</v>
      </c>
      <c r="R1430" s="13">
        <f>L1430*N1430</f>
        <v>0</v>
      </c>
      <c r="S1430" s="13">
        <f>L1430*P1430</f>
        <v>18000</v>
      </c>
      <c r="T1430" s="13"/>
      <c r="U1430" s="13">
        <f>L1430*T1430</f>
        <v>0</v>
      </c>
      <c r="V1430" s="13">
        <f>S1430-U1430</f>
        <v>18000</v>
      </c>
      <c r="W1430" s="15">
        <f>IF(S1430&gt;0, V1430/S1430, 0)</f>
        <v>1</v>
      </c>
      <c r="X1430" s="6" t="s">
        <v>39</v>
      </c>
      <c r="Y1430" s="8" t="s">
        <v>40</v>
      </c>
      <c r="Z1430" s="8" t="s">
        <v>41</v>
      </c>
      <c r="AA1430" s="8" t="s">
        <v>42</v>
      </c>
      <c r="AB1430" s="6" t="s">
        <v>42</v>
      </c>
    </row>
    <row r="1431" spans="1:28">
      <c r="A1431" s="9">
        <v>1424</v>
      </c>
      <c r="B1431" s="9" t="s">
        <v>1756</v>
      </c>
      <c r="C1431" s="9" t="s">
        <v>1735</v>
      </c>
      <c r="D1431" s="9" t="s">
        <v>652</v>
      </c>
      <c r="E1431" s="9" t="s">
        <v>33</v>
      </c>
      <c r="F1431" s="7" t="s">
        <v>50</v>
      </c>
      <c r="G1431" s="7" t="s">
        <v>56</v>
      </c>
      <c r="H1431" s="7" t="s">
        <v>56</v>
      </c>
      <c r="I1431" s="9">
        <v>140</v>
      </c>
      <c r="J1431" s="9" t="s">
        <v>597</v>
      </c>
      <c r="K1431" s="9" t="s">
        <v>38</v>
      </c>
      <c r="L1431" s="11">
        <v>1</v>
      </c>
      <c r="M1431" s="14">
        <v>7000.0</v>
      </c>
      <c r="N1431" s="14"/>
      <c r="O1431" s="16">
        <f>IF(M1431&gt;0, N1431/M1431, 0)</f>
        <v>0</v>
      </c>
      <c r="P1431" s="14">
        <f>M1431-N1431</f>
        <v>7000</v>
      </c>
      <c r="Q1431" s="14">
        <f>L1431*M1431</f>
        <v>7000</v>
      </c>
      <c r="R1431" s="14">
        <f>L1431*N1431</f>
        <v>0</v>
      </c>
      <c r="S1431" s="14">
        <f>L1431*P1431</f>
        <v>7000</v>
      </c>
      <c r="T1431" s="14"/>
      <c r="U1431" s="14">
        <f>L1431*T1431</f>
        <v>0</v>
      </c>
      <c r="V1431" s="14">
        <f>S1431-U1431</f>
        <v>7000</v>
      </c>
      <c r="W1431" s="16">
        <f>IF(S1431&gt;0, V1431/S1431, 0)</f>
        <v>1</v>
      </c>
      <c r="X1431" s="7" t="s">
        <v>39</v>
      </c>
      <c r="Y1431" s="9" t="s">
        <v>40</v>
      </c>
      <c r="Z1431" s="9" t="s">
        <v>41</v>
      </c>
      <c r="AA1431" s="9" t="s">
        <v>42</v>
      </c>
      <c r="AB1431" s="7" t="s">
        <v>42</v>
      </c>
    </row>
    <row r="1432" spans="1:28">
      <c r="A1432" s="8">
        <v>1425</v>
      </c>
      <c r="B1432" s="8" t="s">
        <v>1757</v>
      </c>
      <c r="C1432" s="8" t="s">
        <v>1735</v>
      </c>
      <c r="D1432" s="8" t="s">
        <v>652</v>
      </c>
      <c r="E1432" s="8" t="s">
        <v>33</v>
      </c>
      <c r="F1432" s="6" t="s">
        <v>50</v>
      </c>
      <c r="G1432" s="6" t="s">
        <v>35</v>
      </c>
      <c r="H1432" s="6" t="s">
        <v>73</v>
      </c>
      <c r="I1432" s="8">
        <v>140</v>
      </c>
      <c r="J1432" s="8" t="s">
        <v>570</v>
      </c>
      <c r="K1432" s="8" t="s">
        <v>53</v>
      </c>
      <c r="L1432" s="10">
        <v>1</v>
      </c>
      <c r="M1432" s="13">
        <v>8000.0</v>
      </c>
      <c r="N1432" s="13"/>
      <c r="O1432" s="15">
        <f>IF(M1432&gt;0, N1432/M1432, 0)</f>
        <v>0</v>
      </c>
      <c r="P1432" s="13">
        <f>M1432-N1432</f>
        <v>8000</v>
      </c>
      <c r="Q1432" s="13">
        <f>L1432*M1432</f>
        <v>8000</v>
      </c>
      <c r="R1432" s="13">
        <f>L1432*N1432</f>
        <v>0</v>
      </c>
      <c r="S1432" s="13">
        <f>L1432*P1432</f>
        <v>8000</v>
      </c>
      <c r="T1432" s="13"/>
      <c r="U1432" s="13">
        <f>L1432*T1432</f>
        <v>0</v>
      </c>
      <c r="V1432" s="13">
        <f>S1432-U1432</f>
        <v>8000</v>
      </c>
      <c r="W1432" s="15">
        <f>IF(S1432&gt;0, V1432/S1432, 0)</f>
        <v>1</v>
      </c>
      <c r="X1432" s="6" t="s">
        <v>39</v>
      </c>
      <c r="Y1432" s="8" t="s">
        <v>40</v>
      </c>
      <c r="Z1432" s="8" t="s">
        <v>41</v>
      </c>
      <c r="AA1432" s="8" t="s">
        <v>42</v>
      </c>
      <c r="AB1432" s="6" t="s">
        <v>42</v>
      </c>
    </row>
    <row r="1433" spans="1:28">
      <c r="A1433" s="9">
        <v>1426</v>
      </c>
      <c r="B1433" s="9" t="s">
        <v>1758</v>
      </c>
      <c r="C1433" s="9" t="s">
        <v>1735</v>
      </c>
      <c r="D1433" s="9" t="s">
        <v>652</v>
      </c>
      <c r="E1433" s="9" t="s">
        <v>33</v>
      </c>
      <c r="F1433" s="7" t="s">
        <v>50</v>
      </c>
      <c r="G1433" s="7" t="s">
        <v>35</v>
      </c>
      <c r="H1433" s="7" t="s">
        <v>36</v>
      </c>
      <c r="I1433" s="9">
        <v>146</v>
      </c>
      <c r="J1433" s="9" t="s">
        <v>257</v>
      </c>
      <c r="K1433" s="9" t="s">
        <v>53</v>
      </c>
      <c r="L1433" s="11">
        <v>1</v>
      </c>
      <c r="M1433" s="14">
        <v>7000.0</v>
      </c>
      <c r="N1433" s="14"/>
      <c r="O1433" s="16">
        <f>IF(M1433&gt;0, N1433/M1433, 0)</f>
        <v>0</v>
      </c>
      <c r="P1433" s="14">
        <f>M1433-N1433</f>
        <v>7000</v>
      </c>
      <c r="Q1433" s="14">
        <f>L1433*M1433</f>
        <v>7000</v>
      </c>
      <c r="R1433" s="14">
        <f>L1433*N1433</f>
        <v>0</v>
      </c>
      <c r="S1433" s="14">
        <f>L1433*P1433</f>
        <v>7000</v>
      </c>
      <c r="T1433" s="14"/>
      <c r="U1433" s="14">
        <f>L1433*T1433</f>
        <v>0</v>
      </c>
      <c r="V1433" s="14">
        <f>S1433-U1433</f>
        <v>7000</v>
      </c>
      <c r="W1433" s="16">
        <f>IF(S1433&gt;0, V1433/S1433, 0)</f>
        <v>1</v>
      </c>
      <c r="X1433" s="7" t="s">
        <v>39</v>
      </c>
      <c r="Y1433" s="9" t="s">
        <v>40</v>
      </c>
      <c r="Z1433" s="9" t="s">
        <v>41</v>
      </c>
      <c r="AA1433" s="9" t="s">
        <v>42</v>
      </c>
      <c r="AB1433" s="7" t="s">
        <v>42</v>
      </c>
    </row>
    <row r="1434" spans="1:28">
      <c r="A1434" s="8">
        <v>1427</v>
      </c>
      <c r="B1434" s="8" t="s">
        <v>1759</v>
      </c>
      <c r="C1434" s="8" t="s">
        <v>1735</v>
      </c>
      <c r="D1434" s="8" t="s">
        <v>652</v>
      </c>
      <c r="E1434" s="8" t="s">
        <v>33</v>
      </c>
      <c r="F1434" s="6" t="s">
        <v>50</v>
      </c>
      <c r="G1434" s="6" t="s">
        <v>35</v>
      </c>
      <c r="H1434" s="6" t="s">
        <v>36</v>
      </c>
      <c r="I1434" s="8">
        <v>140</v>
      </c>
      <c r="J1434" s="8" t="s">
        <v>223</v>
      </c>
      <c r="K1434" s="8" t="s">
        <v>53</v>
      </c>
      <c r="L1434" s="10">
        <v>2</v>
      </c>
      <c r="M1434" s="13">
        <v>7000.0</v>
      </c>
      <c r="N1434" s="13"/>
      <c r="O1434" s="15">
        <f>IF(M1434&gt;0, N1434/M1434, 0)</f>
        <v>0</v>
      </c>
      <c r="P1434" s="13">
        <f>M1434-N1434</f>
        <v>7000</v>
      </c>
      <c r="Q1434" s="13">
        <f>L1434*M1434</f>
        <v>14000</v>
      </c>
      <c r="R1434" s="13">
        <f>L1434*N1434</f>
        <v>0</v>
      </c>
      <c r="S1434" s="13">
        <f>L1434*P1434</f>
        <v>14000</v>
      </c>
      <c r="T1434" s="13"/>
      <c r="U1434" s="13">
        <f>L1434*T1434</f>
        <v>0</v>
      </c>
      <c r="V1434" s="13">
        <f>S1434-U1434</f>
        <v>14000</v>
      </c>
      <c r="W1434" s="15">
        <f>IF(S1434&gt;0, V1434/S1434, 0)</f>
        <v>1</v>
      </c>
      <c r="X1434" s="6" t="s">
        <v>39</v>
      </c>
      <c r="Y1434" s="8" t="s">
        <v>40</v>
      </c>
      <c r="Z1434" s="8" t="s">
        <v>41</v>
      </c>
      <c r="AA1434" s="8" t="s">
        <v>42</v>
      </c>
      <c r="AB1434" s="6" t="s">
        <v>42</v>
      </c>
    </row>
    <row r="1435" spans="1:28">
      <c r="A1435" s="9">
        <v>1428</v>
      </c>
      <c r="B1435" s="9" t="s">
        <v>1760</v>
      </c>
      <c r="C1435" s="9" t="s">
        <v>1735</v>
      </c>
      <c r="D1435" s="9" t="s">
        <v>652</v>
      </c>
      <c r="E1435" s="9" t="s">
        <v>33</v>
      </c>
      <c r="F1435" s="7" t="s">
        <v>50</v>
      </c>
      <c r="G1435" s="7" t="s">
        <v>69</v>
      </c>
      <c r="H1435" s="7" t="s">
        <v>69</v>
      </c>
      <c r="I1435" s="9">
        <v>134</v>
      </c>
      <c r="J1435" s="9" t="s">
        <v>209</v>
      </c>
      <c r="K1435" s="9" t="s">
        <v>38</v>
      </c>
      <c r="L1435" s="11">
        <v>1</v>
      </c>
      <c r="M1435" s="14">
        <v>17000.0</v>
      </c>
      <c r="N1435" s="14"/>
      <c r="O1435" s="16">
        <f>IF(M1435&gt;0, N1435/M1435, 0)</f>
        <v>0</v>
      </c>
      <c r="P1435" s="14">
        <f>M1435-N1435</f>
        <v>17000</v>
      </c>
      <c r="Q1435" s="14">
        <f>L1435*M1435</f>
        <v>17000</v>
      </c>
      <c r="R1435" s="14">
        <f>L1435*N1435</f>
        <v>0</v>
      </c>
      <c r="S1435" s="14">
        <f>L1435*P1435</f>
        <v>17000</v>
      </c>
      <c r="T1435" s="14"/>
      <c r="U1435" s="14">
        <f>L1435*T1435</f>
        <v>0</v>
      </c>
      <c r="V1435" s="14">
        <f>S1435-U1435</f>
        <v>17000</v>
      </c>
      <c r="W1435" s="16">
        <f>IF(S1435&gt;0, V1435/S1435, 0)</f>
        <v>1</v>
      </c>
      <c r="X1435" s="7" t="s">
        <v>39</v>
      </c>
      <c r="Y1435" s="9" t="s">
        <v>40</v>
      </c>
      <c r="Z1435" s="9" t="s">
        <v>41</v>
      </c>
      <c r="AA1435" s="9" t="s">
        <v>42</v>
      </c>
      <c r="AB1435" s="7" t="s">
        <v>42</v>
      </c>
    </row>
    <row r="1436" spans="1:28">
      <c r="A1436" s="8">
        <v>1429</v>
      </c>
      <c r="B1436" s="8" t="s">
        <v>1761</v>
      </c>
      <c r="C1436" s="8" t="s">
        <v>1735</v>
      </c>
      <c r="D1436" s="8" t="s">
        <v>652</v>
      </c>
      <c r="E1436" s="8" t="s">
        <v>68</v>
      </c>
      <c r="F1436" s="6" t="s">
        <v>50</v>
      </c>
      <c r="G1436" s="6" t="s">
        <v>63</v>
      </c>
      <c r="H1436" s="6" t="s">
        <v>148</v>
      </c>
      <c r="I1436" s="8">
        <v>128</v>
      </c>
      <c r="J1436" s="8" t="s">
        <v>165</v>
      </c>
      <c r="K1436" s="8" t="s">
        <v>38</v>
      </c>
      <c r="L1436" s="10">
        <v>1</v>
      </c>
      <c r="M1436" s="13">
        <v>10000.0</v>
      </c>
      <c r="N1436" s="13"/>
      <c r="O1436" s="15">
        <f>IF(M1436&gt;0, N1436/M1436, 0)</f>
        <v>0</v>
      </c>
      <c r="P1436" s="13">
        <f>M1436-N1436</f>
        <v>10000</v>
      </c>
      <c r="Q1436" s="13">
        <f>L1436*M1436</f>
        <v>10000</v>
      </c>
      <c r="R1436" s="13">
        <f>L1436*N1436</f>
        <v>0</v>
      </c>
      <c r="S1436" s="13">
        <f>L1436*P1436</f>
        <v>10000</v>
      </c>
      <c r="T1436" s="13"/>
      <c r="U1436" s="13">
        <f>L1436*T1436</f>
        <v>0</v>
      </c>
      <c r="V1436" s="13">
        <f>S1436-U1436</f>
        <v>10000</v>
      </c>
      <c r="W1436" s="15">
        <f>IF(S1436&gt;0, V1436/S1436, 0)</f>
        <v>1</v>
      </c>
      <c r="X1436" s="6" t="s">
        <v>39</v>
      </c>
      <c r="Y1436" s="8" t="s">
        <v>40</v>
      </c>
      <c r="Z1436" s="8" t="s">
        <v>71</v>
      </c>
      <c r="AA1436" s="8" t="s">
        <v>42</v>
      </c>
      <c r="AB1436" s="6" t="s">
        <v>42</v>
      </c>
    </row>
    <row r="1437" spans="1:28">
      <c r="A1437" s="9">
        <v>1430</v>
      </c>
      <c r="B1437" s="9" t="s">
        <v>1762</v>
      </c>
      <c r="C1437" s="9" t="s">
        <v>1735</v>
      </c>
      <c r="D1437" s="9" t="s">
        <v>652</v>
      </c>
      <c r="E1437" s="9" t="s">
        <v>68</v>
      </c>
      <c r="F1437" s="7" t="s">
        <v>50</v>
      </c>
      <c r="G1437" s="7" t="s">
        <v>56</v>
      </c>
      <c r="H1437" s="7" t="s">
        <v>56</v>
      </c>
      <c r="I1437" s="9">
        <v>128</v>
      </c>
      <c r="J1437" s="9" t="s">
        <v>577</v>
      </c>
      <c r="K1437" s="9" t="s">
        <v>38</v>
      </c>
      <c r="L1437" s="11">
        <v>2</v>
      </c>
      <c r="M1437" s="14">
        <v>8000.0</v>
      </c>
      <c r="N1437" s="14"/>
      <c r="O1437" s="16">
        <f>IF(M1437&gt;0, N1437/M1437, 0)</f>
        <v>0</v>
      </c>
      <c r="P1437" s="14">
        <f>M1437-N1437</f>
        <v>8000</v>
      </c>
      <c r="Q1437" s="14">
        <f>L1437*M1437</f>
        <v>16000</v>
      </c>
      <c r="R1437" s="14">
        <f>L1437*N1437</f>
        <v>0</v>
      </c>
      <c r="S1437" s="14">
        <f>L1437*P1437</f>
        <v>16000</v>
      </c>
      <c r="T1437" s="14"/>
      <c r="U1437" s="14">
        <f>L1437*T1437</f>
        <v>0</v>
      </c>
      <c r="V1437" s="14">
        <f>S1437-U1437</f>
        <v>16000</v>
      </c>
      <c r="W1437" s="16">
        <f>IF(S1437&gt;0, V1437/S1437, 0)</f>
        <v>1</v>
      </c>
      <c r="X1437" s="7" t="s">
        <v>39</v>
      </c>
      <c r="Y1437" s="9" t="s">
        <v>40</v>
      </c>
      <c r="Z1437" s="9" t="s">
        <v>71</v>
      </c>
      <c r="AA1437" s="9" t="s">
        <v>42</v>
      </c>
      <c r="AB1437" s="7" t="s">
        <v>42</v>
      </c>
    </row>
    <row r="1438" spans="1:28">
      <c r="A1438" s="8">
        <v>1431</v>
      </c>
      <c r="B1438" s="8" t="s">
        <v>1763</v>
      </c>
      <c r="C1438" s="8" t="s">
        <v>1764</v>
      </c>
      <c r="D1438" s="8" t="s">
        <v>652</v>
      </c>
      <c r="E1438" s="8" t="s">
        <v>33</v>
      </c>
      <c r="F1438" s="6" t="s">
        <v>50</v>
      </c>
      <c r="G1438" s="6" t="s">
        <v>51</v>
      </c>
      <c r="H1438" s="6" t="s">
        <v>51</v>
      </c>
      <c r="I1438" s="8">
        <v>134</v>
      </c>
      <c r="J1438" s="8" t="s">
        <v>175</v>
      </c>
      <c r="K1438" s="8" t="s">
        <v>53</v>
      </c>
      <c r="L1438" s="10">
        <v>2</v>
      </c>
      <c r="M1438" s="13">
        <v>8000.0</v>
      </c>
      <c r="N1438" s="13"/>
      <c r="O1438" s="15">
        <f>IF(M1438&gt;0, N1438/M1438, 0)</f>
        <v>0</v>
      </c>
      <c r="P1438" s="13">
        <f>M1438-N1438</f>
        <v>8000</v>
      </c>
      <c r="Q1438" s="13">
        <f>L1438*M1438</f>
        <v>16000</v>
      </c>
      <c r="R1438" s="13">
        <f>L1438*N1438</f>
        <v>0</v>
      </c>
      <c r="S1438" s="13">
        <f>L1438*P1438</f>
        <v>16000</v>
      </c>
      <c r="T1438" s="13"/>
      <c r="U1438" s="13">
        <f>L1438*T1438</f>
        <v>0</v>
      </c>
      <c r="V1438" s="13">
        <f>S1438-U1438</f>
        <v>16000</v>
      </c>
      <c r="W1438" s="15">
        <f>IF(S1438&gt;0, V1438/S1438, 0)</f>
        <v>1</v>
      </c>
      <c r="X1438" s="6" t="s">
        <v>39</v>
      </c>
      <c r="Y1438" s="8" t="s">
        <v>40</v>
      </c>
      <c r="Z1438" s="8" t="s">
        <v>41</v>
      </c>
      <c r="AA1438" s="8" t="s">
        <v>42</v>
      </c>
      <c r="AB1438" s="6" t="s">
        <v>42</v>
      </c>
    </row>
    <row r="1439" spans="1:28">
      <c r="A1439" s="9">
        <v>1432</v>
      </c>
      <c r="B1439" s="9" t="s">
        <v>1765</v>
      </c>
      <c r="C1439" s="9" t="s">
        <v>1764</v>
      </c>
      <c r="D1439" s="9" t="s">
        <v>652</v>
      </c>
      <c r="E1439" s="9" t="s">
        <v>33</v>
      </c>
      <c r="F1439" s="7" t="s">
        <v>50</v>
      </c>
      <c r="G1439" s="7" t="s">
        <v>35</v>
      </c>
      <c r="H1439" s="7" t="s">
        <v>73</v>
      </c>
      <c r="I1439" s="9">
        <v>134</v>
      </c>
      <c r="J1439" s="9" t="s">
        <v>146</v>
      </c>
      <c r="K1439" s="9" t="s">
        <v>53</v>
      </c>
      <c r="L1439" s="11">
        <v>3</v>
      </c>
      <c r="M1439" s="14">
        <v>8000.0</v>
      </c>
      <c r="N1439" s="14"/>
      <c r="O1439" s="16">
        <f>IF(M1439&gt;0, N1439/M1439, 0)</f>
        <v>0</v>
      </c>
      <c r="P1439" s="14">
        <f>M1439-N1439</f>
        <v>8000</v>
      </c>
      <c r="Q1439" s="14">
        <f>L1439*M1439</f>
        <v>24000</v>
      </c>
      <c r="R1439" s="14">
        <f>L1439*N1439</f>
        <v>0</v>
      </c>
      <c r="S1439" s="14">
        <f>L1439*P1439</f>
        <v>24000</v>
      </c>
      <c r="T1439" s="14"/>
      <c r="U1439" s="14">
        <f>L1439*T1439</f>
        <v>0</v>
      </c>
      <c r="V1439" s="14">
        <f>S1439-U1439</f>
        <v>24000</v>
      </c>
      <c r="W1439" s="16">
        <f>IF(S1439&gt;0, V1439/S1439, 0)</f>
        <v>1</v>
      </c>
      <c r="X1439" s="7" t="s">
        <v>39</v>
      </c>
      <c r="Y1439" s="9" t="s">
        <v>40</v>
      </c>
      <c r="Z1439" s="9" t="s">
        <v>41</v>
      </c>
      <c r="AA1439" s="9" t="s">
        <v>42</v>
      </c>
      <c r="AB1439" s="7" t="s">
        <v>42</v>
      </c>
    </row>
    <row r="1440" spans="1:28">
      <c r="A1440" s="8">
        <v>1433</v>
      </c>
      <c r="B1440" s="8" t="s">
        <v>1766</v>
      </c>
      <c r="C1440" s="8" t="s">
        <v>1764</v>
      </c>
      <c r="D1440" s="8" t="s">
        <v>652</v>
      </c>
      <c r="E1440" s="8" t="s">
        <v>33</v>
      </c>
      <c r="F1440" s="6" t="s">
        <v>50</v>
      </c>
      <c r="G1440" s="6" t="s">
        <v>35</v>
      </c>
      <c r="H1440" s="6" t="s">
        <v>36</v>
      </c>
      <c r="I1440" s="8">
        <v>134</v>
      </c>
      <c r="J1440" s="8" t="s">
        <v>177</v>
      </c>
      <c r="K1440" s="8" t="s">
        <v>53</v>
      </c>
      <c r="L1440" s="10">
        <v>3</v>
      </c>
      <c r="M1440" s="13">
        <v>7000.0</v>
      </c>
      <c r="N1440" s="13"/>
      <c r="O1440" s="15">
        <f>IF(M1440&gt;0, N1440/M1440, 0)</f>
        <v>0</v>
      </c>
      <c r="P1440" s="13">
        <f>M1440-N1440</f>
        <v>7000</v>
      </c>
      <c r="Q1440" s="13">
        <f>L1440*M1440</f>
        <v>21000</v>
      </c>
      <c r="R1440" s="13">
        <f>L1440*N1440</f>
        <v>0</v>
      </c>
      <c r="S1440" s="13">
        <f>L1440*P1440</f>
        <v>21000</v>
      </c>
      <c r="T1440" s="13"/>
      <c r="U1440" s="13">
        <f>L1440*T1440</f>
        <v>0</v>
      </c>
      <c r="V1440" s="13">
        <f>S1440-U1440</f>
        <v>21000</v>
      </c>
      <c r="W1440" s="15">
        <f>IF(S1440&gt;0, V1440/S1440, 0)</f>
        <v>1</v>
      </c>
      <c r="X1440" s="6" t="s">
        <v>39</v>
      </c>
      <c r="Y1440" s="8" t="s">
        <v>40</v>
      </c>
      <c r="Z1440" s="8" t="s">
        <v>41</v>
      </c>
      <c r="AA1440" s="8" t="s">
        <v>42</v>
      </c>
      <c r="AB1440" s="6" t="s">
        <v>42</v>
      </c>
    </row>
    <row r="1441" spans="1:28">
      <c r="A1441" s="9">
        <v>1434</v>
      </c>
      <c r="B1441" s="9" t="s">
        <v>1767</v>
      </c>
      <c r="C1441" s="9" t="s">
        <v>1764</v>
      </c>
      <c r="D1441" s="9" t="s">
        <v>652</v>
      </c>
      <c r="E1441" s="9" t="s">
        <v>68</v>
      </c>
      <c r="F1441" s="7" t="s">
        <v>34</v>
      </c>
      <c r="G1441" s="7" t="s">
        <v>63</v>
      </c>
      <c r="H1441" s="7" t="s">
        <v>148</v>
      </c>
      <c r="I1441" s="9">
        <v>134</v>
      </c>
      <c r="J1441" s="9" t="s">
        <v>1768</v>
      </c>
      <c r="K1441" s="9" t="s">
        <v>38</v>
      </c>
      <c r="L1441" s="11">
        <v>1</v>
      </c>
      <c r="M1441" s="14">
        <v>11000.0</v>
      </c>
      <c r="N1441" s="14"/>
      <c r="O1441" s="16">
        <f>IF(M1441&gt;0, N1441/M1441, 0)</f>
        <v>0</v>
      </c>
      <c r="P1441" s="14">
        <f>M1441-N1441</f>
        <v>11000</v>
      </c>
      <c r="Q1441" s="14">
        <f>L1441*M1441</f>
        <v>11000</v>
      </c>
      <c r="R1441" s="14">
        <f>L1441*N1441</f>
        <v>0</v>
      </c>
      <c r="S1441" s="14">
        <f>L1441*P1441</f>
        <v>11000</v>
      </c>
      <c r="T1441" s="14"/>
      <c r="U1441" s="14">
        <f>L1441*T1441</f>
        <v>0</v>
      </c>
      <c r="V1441" s="14">
        <f>S1441-U1441</f>
        <v>11000</v>
      </c>
      <c r="W1441" s="16">
        <f>IF(S1441&gt;0, V1441/S1441, 0)</f>
        <v>1</v>
      </c>
      <c r="X1441" s="7" t="s">
        <v>39</v>
      </c>
      <c r="Y1441" s="9" t="s">
        <v>40</v>
      </c>
      <c r="Z1441" s="9" t="s">
        <v>71</v>
      </c>
      <c r="AA1441" s="9" t="s">
        <v>42</v>
      </c>
      <c r="AB1441" s="7" t="s">
        <v>42</v>
      </c>
    </row>
    <row r="1442" spans="1:28">
      <c r="A1442" s="8">
        <v>1435</v>
      </c>
      <c r="B1442" s="8" t="s">
        <v>1769</v>
      </c>
      <c r="C1442" s="8" t="s">
        <v>1764</v>
      </c>
      <c r="D1442" s="8" t="s">
        <v>652</v>
      </c>
      <c r="E1442" s="8" t="s">
        <v>33</v>
      </c>
      <c r="F1442" s="6" t="s">
        <v>34</v>
      </c>
      <c r="G1442" s="6" t="s">
        <v>45</v>
      </c>
      <c r="H1442" s="6" t="s">
        <v>46</v>
      </c>
      <c r="I1442" s="8">
        <v>146</v>
      </c>
      <c r="J1442" s="8" t="s">
        <v>707</v>
      </c>
      <c r="K1442" s="8" t="s">
        <v>38</v>
      </c>
      <c r="L1442" s="10">
        <v>1</v>
      </c>
      <c r="M1442" s="13">
        <v>18000.0</v>
      </c>
      <c r="N1442" s="13"/>
      <c r="O1442" s="15">
        <f>IF(M1442&gt;0, N1442/M1442, 0)</f>
        <v>0</v>
      </c>
      <c r="P1442" s="13">
        <f>M1442-N1442</f>
        <v>18000</v>
      </c>
      <c r="Q1442" s="13">
        <f>L1442*M1442</f>
        <v>18000</v>
      </c>
      <c r="R1442" s="13">
        <f>L1442*N1442</f>
        <v>0</v>
      </c>
      <c r="S1442" s="13">
        <f>L1442*P1442</f>
        <v>18000</v>
      </c>
      <c r="T1442" s="13"/>
      <c r="U1442" s="13">
        <f>L1442*T1442</f>
        <v>0</v>
      </c>
      <c r="V1442" s="13">
        <f>S1442-U1442</f>
        <v>18000</v>
      </c>
      <c r="W1442" s="15">
        <f>IF(S1442&gt;0, V1442/S1442, 0)</f>
        <v>1</v>
      </c>
      <c r="X1442" s="6" t="s">
        <v>39</v>
      </c>
      <c r="Y1442" s="8" t="s">
        <v>40</v>
      </c>
      <c r="Z1442" s="8" t="s">
        <v>41</v>
      </c>
      <c r="AA1442" s="8" t="s">
        <v>42</v>
      </c>
      <c r="AB1442" s="6" t="s">
        <v>42</v>
      </c>
    </row>
    <row r="1443" spans="1:28">
      <c r="A1443" s="9">
        <v>1436</v>
      </c>
      <c r="B1443" s="9" t="s">
        <v>1770</v>
      </c>
      <c r="C1443" s="9" t="s">
        <v>1764</v>
      </c>
      <c r="D1443" s="9" t="s">
        <v>652</v>
      </c>
      <c r="E1443" s="9" t="s">
        <v>33</v>
      </c>
      <c r="F1443" s="7" t="s">
        <v>34</v>
      </c>
      <c r="G1443" s="7" t="s">
        <v>51</v>
      </c>
      <c r="H1443" s="7" t="s">
        <v>51</v>
      </c>
      <c r="I1443" s="9">
        <v>152</v>
      </c>
      <c r="J1443" s="9" t="s">
        <v>302</v>
      </c>
      <c r="K1443" s="9" t="s">
        <v>38</v>
      </c>
      <c r="L1443" s="11">
        <v>1</v>
      </c>
      <c r="M1443" s="14">
        <v>8500.0</v>
      </c>
      <c r="N1443" s="14"/>
      <c r="O1443" s="16">
        <f>IF(M1443&gt;0, N1443/M1443, 0)</f>
        <v>0</v>
      </c>
      <c r="P1443" s="14">
        <f>M1443-N1443</f>
        <v>8500</v>
      </c>
      <c r="Q1443" s="14">
        <f>L1443*M1443</f>
        <v>8500</v>
      </c>
      <c r="R1443" s="14">
        <f>L1443*N1443</f>
        <v>0</v>
      </c>
      <c r="S1443" s="14">
        <f>L1443*P1443</f>
        <v>8500</v>
      </c>
      <c r="T1443" s="14"/>
      <c r="U1443" s="14">
        <f>L1443*T1443</f>
        <v>0</v>
      </c>
      <c r="V1443" s="14">
        <f>S1443-U1443</f>
        <v>8500</v>
      </c>
      <c r="W1443" s="16">
        <f>IF(S1443&gt;0, V1443/S1443, 0)</f>
        <v>1</v>
      </c>
      <c r="X1443" s="7" t="s">
        <v>39</v>
      </c>
      <c r="Y1443" s="9" t="s">
        <v>40</v>
      </c>
      <c r="Z1443" s="9" t="s">
        <v>41</v>
      </c>
      <c r="AA1443" s="9" t="s">
        <v>42</v>
      </c>
      <c r="AB1443" s="7" t="s">
        <v>42</v>
      </c>
    </row>
    <row r="1444" spans="1:28">
      <c r="A1444" s="8">
        <v>1437</v>
      </c>
      <c r="B1444" s="8" t="s">
        <v>1771</v>
      </c>
      <c r="C1444" s="8" t="s">
        <v>1772</v>
      </c>
      <c r="D1444" s="8" t="s">
        <v>652</v>
      </c>
      <c r="E1444" s="8" t="s">
        <v>68</v>
      </c>
      <c r="F1444" s="6" t="s">
        <v>34</v>
      </c>
      <c r="G1444" s="6" t="s">
        <v>51</v>
      </c>
      <c r="H1444" s="6" t="s">
        <v>51</v>
      </c>
      <c r="I1444" s="8">
        <v>152</v>
      </c>
      <c r="J1444" s="8" t="s">
        <v>302</v>
      </c>
      <c r="K1444" s="8" t="s">
        <v>38</v>
      </c>
      <c r="L1444" s="10">
        <v>1</v>
      </c>
      <c r="M1444" s="13">
        <v>10000.0</v>
      </c>
      <c r="N1444" s="13"/>
      <c r="O1444" s="15">
        <f>IF(M1444&gt;0, N1444/M1444, 0)</f>
        <v>0</v>
      </c>
      <c r="P1444" s="13">
        <f>M1444-N1444</f>
        <v>10000</v>
      </c>
      <c r="Q1444" s="13">
        <f>L1444*M1444</f>
        <v>10000</v>
      </c>
      <c r="R1444" s="13">
        <f>L1444*N1444</f>
        <v>0</v>
      </c>
      <c r="S1444" s="13">
        <f>L1444*P1444</f>
        <v>10000</v>
      </c>
      <c r="T1444" s="13"/>
      <c r="U1444" s="13">
        <f>L1444*T1444</f>
        <v>0</v>
      </c>
      <c r="V1444" s="13">
        <f>S1444-U1444</f>
        <v>10000</v>
      </c>
      <c r="W1444" s="15">
        <f>IF(S1444&gt;0, V1444/S1444, 0)</f>
        <v>1</v>
      </c>
      <c r="X1444" s="6" t="s">
        <v>39</v>
      </c>
      <c r="Y1444" s="8" t="s">
        <v>40</v>
      </c>
      <c r="Z1444" s="8" t="s">
        <v>71</v>
      </c>
      <c r="AA1444" s="8" t="s">
        <v>42</v>
      </c>
      <c r="AB1444" s="6" t="s">
        <v>42</v>
      </c>
    </row>
    <row r="1445" spans="1:28">
      <c r="A1445" s="9">
        <v>1438</v>
      </c>
      <c r="B1445" s="9" t="s">
        <v>1773</v>
      </c>
      <c r="C1445" s="9" t="s">
        <v>1772</v>
      </c>
      <c r="D1445" s="9" t="s">
        <v>652</v>
      </c>
      <c r="E1445" s="9" t="s">
        <v>68</v>
      </c>
      <c r="F1445" s="7" t="s">
        <v>34</v>
      </c>
      <c r="G1445" s="7" t="s">
        <v>35</v>
      </c>
      <c r="H1445" s="7" t="s">
        <v>36</v>
      </c>
      <c r="I1445" s="9">
        <v>152</v>
      </c>
      <c r="J1445" s="9" t="s">
        <v>726</v>
      </c>
      <c r="K1445" s="9" t="s">
        <v>38</v>
      </c>
      <c r="L1445" s="11">
        <v>1</v>
      </c>
      <c r="M1445" s="14">
        <v>10000.0</v>
      </c>
      <c r="N1445" s="14"/>
      <c r="O1445" s="16">
        <f>IF(M1445&gt;0, N1445/M1445, 0)</f>
        <v>0</v>
      </c>
      <c r="P1445" s="14">
        <f>M1445-N1445</f>
        <v>10000</v>
      </c>
      <c r="Q1445" s="14">
        <f>L1445*M1445</f>
        <v>10000</v>
      </c>
      <c r="R1445" s="14">
        <f>L1445*N1445</f>
        <v>0</v>
      </c>
      <c r="S1445" s="14">
        <f>L1445*P1445</f>
        <v>10000</v>
      </c>
      <c r="T1445" s="14"/>
      <c r="U1445" s="14">
        <f>L1445*T1445</f>
        <v>0</v>
      </c>
      <c r="V1445" s="14">
        <f>S1445-U1445</f>
        <v>10000</v>
      </c>
      <c r="W1445" s="16">
        <f>IF(S1445&gt;0, V1445/S1445, 0)</f>
        <v>1</v>
      </c>
      <c r="X1445" s="7" t="s">
        <v>39</v>
      </c>
      <c r="Y1445" s="9" t="s">
        <v>40</v>
      </c>
      <c r="Z1445" s="9" t="s">
        <v>71</v>
      </c>
      <c r="AA1445" s="9" t="s">
        <v>42</v>
      </c>
      <c r="AB1445" s="7" t="s">
        <v>42</v>
      </c>
    </row>
    <row r="1446" spans="1:28">
      <c r="A1446" s="8">
        <v>1439</v>
      </c>
      <c r="B1446" s="8" t="s">
        <v>1774</v>
      </c>
      <c r="C1446" s="8" t="s">
        <v>1772</v>
      </c>
      <c r="D1446" s="8" t="s">
        <v>652</v>
      </c>
      <c r="E1446" s="8" t="s">
        <v>33</v>
      </c>
      <c r="F1446" s="6" t="s">
        <v>34</v>
      </c>
      <c r="G1446" s="6" t="s">
        <v>35</v>
      </c>
      <c r="H1446" s="6" t="s">
        <v>36</v>
      </c>
      <c r="I1446" s="8">
        <v>152</v>
      </c>
      <c r="J1446" s="8" t="s">
        <v>726</v>
      </c>
      <c r="K1446" s="8" t="s">
        <v>38</v>
      </c>
      <c r="L1446" s="10">
        <v>1</v>
      </c>
      <c r="M1446" s="13">
        <v>8000.0</v>
      </c>
      <c r="N1446" s="13"/>
      <c r="O1446" s="15">
        <f>IF(M1446&gt;0, N1446/M1446, 0)</f>
        <v>0</v>
      </c>
      <c r="P1446" s="13">
        <f>M1446-N1446</f>
        <v>8000</v>
      </c>
      <c r="Q1446" s="13">
        <f>L1446*M1446</f>
        <v>8000</v>
      </c>
      <c r="R1446" s="13">
        <f>L1446*N1446</f>
        <v>0</v>
      </c>
      <c r="S1446" s="13">
        <f>L1446*P1446</f>
        <v>8000</v>
      </c>
      <c r="T1446" s="13"/>
      <c r="U1446" s="13">
        <f>L1446*T1446</f>
        <v>0</v>
      </c>
      <c r="V1446" s="13">
        <f>S1446-U1446</f>
        <v>8000</v>
      </c>
      <c r="W1446" s="15">
        <f>IF(S1446&gt;0, V1446/S1446, 0)</f>
        <v>1</v>
      </c>
      <c r="X1446" s="6" t="s">
        <v>39</v>
      </c>
      <c r="Y1446" s="8" t="s">
        <v>40</v>
      </c>
      <c r="Z1446" s="8" t="s">
        <v>41</v>
      </c>
      <c r="AA1446" s="8" t="s">
        <v>42</v>
      </c>
      <c r="AB1446" s="6" t="s">
        <v>42</v>
      </c>
    </row>
    <row r="1447" spans="1:28">
      <c r="A1447" s="9">
        <v>1440</v>
      </c>
      <c r="B1447" s="9" t="s">
        <v>1775</v>
      </c>
      <c r="C1447" s="9" t="s">
        <v>1772</v>
      </c>
      <c r="D1447" s="9" t="s">
        <v>652</v>
      </c>
      <c r="E1447" s="9" t="s">
        <v>33</v>
      </c>
      <c r="F1447" s="7" t="s">
        <v>50</v>
      </c>
      <c r="G1447" s="7" t="s">
        <v>51</v>
      </c>
      <c r="H1447" s="7" t="s">
        <v>51</v>
      </c>
      <c r="I1447" s="9">
        <v>134</v>
      </c>
      <c r="J1447" s="9" t="s">
        <v>175</v>
      </c>
      <c r="K1447" s="9" t="s">
        <v>53</v>
      </c>
      <c r="L1447" s="11">
        <v>2</v>
      </c>
      <c r="M1447" s="14">
        <v>8000.0</v>
      </c>
      <c r="N1447" s="14"/>
      <c r="O1447" s="16">
        <f>IF(M1447&gt;0, N1447/M1447, 0)</f>
        <v>0</v>
      </c>
      <c r="P1447" s="14">
        <f>M1447-N1447</f>
        <v>8000</v>
      </c>
      <c r="Q1447" s="14">
        <f>L1447*M1447</f>
        <v>16000</v>
      </c>
      <c r="R1447" s="14">
        <f>L1447*N1447</f>
        <v>0</v>
      </c>
      <c r="S1447" s="14">
        <f>L1447*P1447</f>
        <v>16000</v>
      </c>
      <c r="T1447" s="14"/>
      <c r="U1447" s="14">
        <f>L1447*T1447</f>
        <v>0</v>
      </c>
      <c r="V1447" s="14">
        <f>S1447-U1447</f>
        <v>16000</v>
      </c>
      <c r="W1447" s="16">
        <f>IF(S1447&gt;0, V1447/S1447, 0)</f>
        <v>1</v>
      </c>
      <c r="X1447" s="7" t="s">
        <v>39</v>
      </c>
      <c r="Y1447" s="9" t="s">
        <v>40</v>
      </c>
      <c r="Z1447" s="9" t="s">
        <v>41</v>
      </c>
      <c r="AA1447" s="9" t="s">
        <v>42</v>
      </c>
      <c r="AB1447" s="7" t="s">
        <v>42</v>
      </c>
    </row>
    <row r="1448" spans="1:28">
      <c r="A1448" s="8">
        <v>1441</v>
      </c>
      <c r="B1448" s="8" t="s">
        <v>1776</v>
      </c>
      <c r="C1448" s="8" t="s">
        <v>1772</v>
      </c>
      <c r="D1448" s="8" t="s">
        <v>652</v>
      </c>
      <c r="E1448" s="8" t="s">
        <v>33</v>
      </c>
      <c r="F1448" s="6" t="s">
        <v>50</v>
      </c>
      <c r="G1448" s="6" t="s">
        <v>45</v>
      </c>
      <c r="H1448" s="6" t="s">
        <v>46</v>
      </c>
      <c r="I1448" s="8">
        <v>134</v>
      </c>
      <c r="J1448" s="8" t="s">
        <v>376</v>
      </c>
      <c r="K1448" s="8" t="s">
        <v>38</v>
      </c>
      <c r="L1448" s="10">
        <v>1</v>
      </c>
      <c r="M1448" s="13">
        <v>18000.0</v>
      </c>
      <c r="N1448" s="13"/>
      <c r="O1448" s="15">
        <f>IF(M1448&gt;0, N1448/M1448, 0)</f>
        <v>0</v>
      </c>
      <c r="P1448" s="13">
        <f>M1448-N1448</f>
        <v>18000</v>
      </c>
      <c r="Q1448" s="13">
        <f>L1448*M1448</f>
        <v>18000</v>
      </c>
      <c r="R1448" s="13">
        <f>L1448*N1448</f>
        <v>0</v>
      </c>
      <c r="S1448" s="13">
        <f>L1448*P1448</f>
        <v>18000</v>
      </c>
      <c r="T1448" s="13"/>
      <c r="U1448" s="13">
        <f>L1448*T1448</f>
        <v>0</v>
      </c>
      <c r="V1448" s="13">
        <f>S1448-U1448</f>
        <v>18000</v>
      </c>
      <c r="W1448" s="15">
        <f>IF(S1448&gt;0, V1448/S1448, 0)</f>
        <v>1</v>
      </c>
      <c r="X1448" s="6" t="s">
        <v>39</v>
      </c>
      <c r="Y1448" s="8" t="s">
        <v>40</v>
      </c>
      <c r="Z1448" s="8" t="s">
        <v>41</v>
      </c>
      <c r="AA1448" s="8" t="s">
        <v>42</v>
      </c>
      <c r="AB1448" s="6" t="s">
        <v>42</v>
      </c>
    </row>
    <row r="1449" spans="1:28">
      <c r="A1449" s="9">
        <v>1442</v>
      </c>
      <c r="B1449" s="9" t="s">
        <v>1777</v>
      </c>
      <c r="C1449" s="9" t="s">
        <v>1772</v>
      </c>
      <c r="D1449" s="9" t="s">
        <v>652</v>
      </c>
      <c r="E1449" s="9" t="s">
        <v>33</v>
      </c>
      <c r="F1449" s="7" t="s">
        <v>50</v>
      </c>
      <c r="G1449" s="7" t="s">
        <v>35</v>
      </c>
      <c r="H1449" s="7" t="s">
        <v>36</v>
      </c>
      <c r="I1449" s="9">
        <v>134</v>
      </c>
      <c r="J1449" s="9" t="s">
        <v>177</v>
      </c>
      <c r="K1449" s="9" t="s">
        <v>53</v>
      </c>
      <c r="L1449" s="11">
        <v>2</v>
      </c>
      <c r="M1449" s="14">
        <v>7000.0</v>
      </c>
      <c r="N1449" s="14"/>
      <c r="O1449" s="16">
        <f>IF(M1449&gt;0, N1449/M1449, 0)</f>
        <v>0</v>
      </c>
      <c r="P1449" s="14">
        <f>M1449-N1449</f>
        <v>7000</v>
      </c>
      <c r="Q1449" s="14">
        <f>L1449*M1449</f>
        <v>14000</v>
      </c>
      <c r="R1449" s="14">
        <f>L1449*N1449</f>
        <v>0</v>
      </c>
      <c r="S1449" s="14">
        <f>L1449*P1449</f>
        <v>14000</v>
      </c>
      <c r="T1449" s="14"/>
      <c r="U1449" s="14">
        <f>L1449*T1449</f>
        <v>0</v>
      </c>
      <c r="V1449" s="14">
        <f>S1449-U1449</f>
        <v>14000</v>
      </c>
      <c r="W1449" s="16">
        <f>IF(S1449&gt;0, V1449/S1449, 0)</f>
        <v>1</v>
      </c>
      <c r="X1449" s="7" t="s">
        <v>39</v>
      </c>
      <c r="Y1449" s="9" t="s">
        <v>40</v>
      </c>
      <c r="Z1449" s="9" t="s">
        <v>41</v>
      </c>
      <c r="AA1449" s="9" t="s">
        <v>42</v>
      </c>
      <c r="AB1449" s="7" t="s">
        <v>42</v>
      </c>
    </row>
    <row r="1450" spans="1:28">
      <c r="A1450" s="8">
        <v>1443</v>
      </c>
      <c r="B1450" s="8" t="s">
        <v>1778</v>
      </c>
      <c r="C1450" s="8" t="s">
        <v>1772</v>
      </c>
      <c r="D1450" s="8" t="s">
        <v>652</v>
      </c>
      <c r="E1450" s="8" t="s">
        <v>33</v>
      </c>
      <c r="F1450" s="6" t="s">
        <v>50</v>
      </c>
      <c r="G1450" s="6" t="s">
        <v>51</v>
      </c>
      <c r="H1450" s="6" t="s">
        <v>51</v>
      </c>
      <c r="I1450" s="8">
        <v>128</v>
      </c>
      <c r="J1450" s="8" t="s">
        <v>390</v>
      </c>
      <c r="K1450" s="8" t="s">
        <v>53</v>
      </c>
      <c r="L1450" s="10">
        <v>1</v>
      </c>
      <c r="M1450" s="13">
        <v>8000.0</v>
      </c>
      <c r="N1450" s="13"/>
      <c r="O1450" s="15">
        <f>IF(M1450&gt;0, N1450/M1450, 0)</f>
        <v>0</v>
      </c>
      <c r="P1450" s="13">
        <f>M1450-N1450</f>
        <v>8000</v>
      </c>
      <c r="Q1450" s="13">
        <f>L1450*M1450</f>
        <v>8000</v>
      </c>
      <c r="R1450" s="13">
        <f>L1450*N1450</f>
        <v>0</v>
      </c>
      <c r="S1450" s="13">
        <f>L1450*P1450</f>
        <v>8000</v>
      </c>
      <c r="T1450" s="13"/>
      <c r="U1450" s="13">
        <f>L1450*T1450</f>
        <v>0</v>
      </c>
      <c r="V1450" s="13">
        <f>S1450-U1450</f>
        <v>8000</v>
      </c>
      <c r="W1450" s="15">
        <f>IF(S1450&gt;0, V1450/S1450, 0)</f>
        <v>1</v>
      </c>
      <c r="X1450" s="6" t="s">
        <v>39</v>
      </c>
      <c r="Y1450" s="8" t="s">
        <v>40</v>
      </c>
      <c r="Z1450" s="8" t="s">
        <v>41</v>
      </c>
      <c r="AA1450" s="8" t="s">
        <v>42</v>
      </c>
      <c r="AB1450" s="6" t="s">
        <v>42</v>
      </c>
    </row>
    <row r="1451" spans="1:28">
      <c r="A1451" s="9">
        <v>1444</v>
      </c>
      <c r="B1451" s="9" t="s">
        <v>1779</v>
      </c>
      <c r="C1451" s="9" t="s">
        <v>1772</v>
      </c>
      <c r="D1451" s="9" t="s">
        <v>652</v>
      </c>
      <c r="E1451" s="9" t="s">
        <v>33</v>
      </c>
      <c r="F1451" s="7" t="s">
        <v>50</v>
      </c>
      <c r="G1451" s="7" t="s">
        <v>56</v>
      </c>
      <c r="H1451" s="7" t="s">
        <v>56</v>
      </c>
      <c r="I1451" s="9">
        <v>116</v>
      </c>
      <c r="J1451" s="9" t="s">
        <v>79</v>
      </c>
      <c r="K1451" s="9" t="s">
        <v>38</v>
      </c>
      <c r="L1451" s="11">
        <v>1</v>
      </c>
      <c r="M1451" s="14">
        <v>7000.0</v>
      </c>
      <c r="N1451" s="14"/>
      <c r="O1451" s="16">
        <f>IF(M1451&gt;0, N1451/M1451, 0)</f>
        <v>0</v>
      </c>
      <c r="P1451" s="14">
        <f>M1451-N1451</f>
        <v>7000</v>
      </c>
      <c r="Q1451" s="14">
        <f>L1451*M1451</f>
        <v>7000</v>
      </c>
      <c r="R1451" s="14">
        <f>L1451*N1451</f>
        <v>0</v>
      </c>
      <c r="S1451" s="14">
        <f>L1451*P1451</f>
        <v>7000</v>
      </c>
      <c r="T1451" s="14"/>
      <c r="U1451" s="14">
        <f>L1451*T1451</f>
        <v>0</v>
      </c>
      <c r="V1451" s="14">
        <f>S1451-U1451</f>
        <v>7000</v>
      </c>
      <c r="W1451" s="16">
        <f>IF(S1451&gt;0, V1451/S1451, 0)</f>
        <v>1</v>
      </c>
      <c r="X1451" s="7" t="s">
        <v>39</v>
      </c>
      <c r="Y1451" s="9" t="s">
        <v>40</v>
      </c>
      <c r="Z1451" s="9" t="s">
        <v>41</v>
      </c>
      <c r="AA1451" s="9" t="s">
        <v>42</v>
      </c>
      <c r="AB1451" s="7" t="s">
        <v>42</v>
      </c>
    </row>
    <row r="1452" spans="1:28">
      <c r="A1452" s="8">
        <v>1445</v>
      </c>
      <c r="B1452" s="8" t="s">
        <v>1780</v>
      </c>
      <c r="C1452" s="8" t="s">
        <v>1772</v>
      </c>
      <c r="D1452" s="8" t="s">
        <v>652</v>
      </c>
      <c r="E1452" s="8" t="s">
        <v>33</v>
      </c>
      <c r="F1452" s="6" t="s">
        <v>50</v>
      </c>
      <c r="G1452" s="6" t="s">
        <v>63</v>
      </c>
      <c r="H1452" s="6" t="s">
        <v>148</v>
      </c>
      <c r="I1452" s="8">
        <v>122</v>
      </c>
      <c r="J1452" s="8" t="s">
        <v>241</v>
      </c>
      <c r="K1452" s="8" t="s">
        <v>38</v>
      </c>
      <c r="L1452" s="10">
        <v>1</v>
      </c>
      <c r="M1452" s="13">
        <v>9000.0</v>
      </c>
      <c r="N1452" s="13"/>
      <c r="O1452" s="15">
        <f>IF(M1452&gt;0, N1452/M1452, 0)</f>
        <v>0</v>
      </c>
      <c r="P1452" s="13">
        <f>M1452-N1452</f>
        <v>9000</v>
      </c>
      <c r="Q1452" s="13">
        <f>L1452*M1452</f>
        <v>9000</v>
      </c>
      <c r="R1452" s="13">
        <f>L1452*N1452</f>
        <v>0</v>
      </c>
      <c r="S1452" s="13">
        <f>L1452*P1452</f>
        <v>9000</v>
      </c>
      <c r="T1452" s="13"/>
      <c r="U1452" s="13">
        <f>L1452*T1452</f>
        <v>0</v>
      </c>
      <c r="V1452" s="13">
        <f>S1452-U1452</f>
        <v>9000</v>
      </c>
      <c r="W1452" s="15">
        <f>IF(S1452&gt;0, V1452/S1452, 0)</f>
        <v>1</v>
      </c>
      <c r="X1452" s="6" t="s">
        <v>39</v>
      </c>
      <c r="Y1452" s="8" t="s">
        <v>40</v>
      </c>
      <c r="Z1452" s="8" t="s">
        <v>41</v>
      </c>
      <c r="AA1452" s="8" t="s">
        <v>42</v>
      </c>
      <c r="AB1452" s="6" t="s">
        <v>42</v>
      </c>
    </row>
    <row r="1453" spans="1:28">
      <c r="A1453" s="9">
        <v>1446</v>
      </c>
      <c r="B1453" s="9" t="s">
        <v>1781</v>
      </c>
      <c r="C1453" s="9" t="s">
        <v>1772</v>
      </c>
      <c r="D1453" s="9" t="s">
        <v>652</v>
      </c>
      <c r="E1453" s="9" t="s">
        <v>33</v>
      </c>
      <c r="F1453" s="7" t="s">
        <v>50</v>
      </c>
      <c r="G1453" s="7" t="s">
        <v>69</v>
      </c>
      <c r="H1453" s="7" t="s">
        <v>69</v>
      </c>
      <c r="I1453" s="9">
        <v>122</v>
      </c>
      <c r="J1453" s="9" t="s">
        <v>99</v>
      </c>
      <c r="K1453" s="9" t="s">
        <v>38</v>
      </c>
      <c r="L1453" s="11">
        <v>1</v>
      </c>
      <c r="M1453" s="14">
        <v>16000.0</v>
      </c>
      <c r="N1453" s="14"/>
      <c r="O1453" s="16">
        <f>IF(M1453&gt;0, N1453/M1453, 0)</f>
        <v>0</v>
      </c>
      <c r="P1453" s="14">
        <f>M1453-N1453</f>
        <v>16000</v>
      </c>
      <c r="Q1453" s="14">
        <f>L1453*M1453</f>
        <v>16000</v>
      </c>
      <c r="R1453" s="14">
        <f>L1453*N1453</f>
        <v>0</v>
      </c>
      <c r="S1453" s="14">
        <f>L1453*P1453</f>
        <v>16000</v>
      </c>
      <c r="T1453" s="14"/>
      <c r="U1453" s="14">
        <f>L1453*T1453</f>
        <v>0</v>
      </c>
      <c r="V1453" s="14">
        <f>S1453-U1453</f>
        <v>16000</v>
      </c>
      <c r="W1453" s="16">
        <f>IF(S1453&gt;0, V1453/S1453, 0)</f>
        <v>1</v>
      </c>
      <c r="X1453" s="7" t="s">
        <v>39</v>
      </c>
      <c r="Y1453" s="9" t="s">
        <v>40</v>
      </c>
      <c r="Z1453" s="9" t="s">
        <v>41</v>
      </c>
      <c r="AA1453" s="9" t="s">
        <v>42</v>
      </c>
      <c r="AB1453" s="7" t="s">
        <v>42</v>
      </c>
    </row>
    <row r="1454" spans="1:28">
      <c r="A1454" s="8">
        <v>1447</v>
      </c>
      <c r="B1454" s="8" t="s">
        <v>1782</v>
      </c>
      <c r="C1454" s="8" t="s">
        <v>1772</v>
      </c>
      <c r="D1454" s="8" t="s">
        <v>652</v>
      </c>
      <c r="E1454" s="8" t="s">
        <v>33</v>
      </c>
      <c r="F1454" s="6" t="s">
        <v>50</v>
      </c>
      <c r="G1454" s="6" t="s">
        <v>35</v>
      </c>
      <c r="H1454" s="6" t="s">
        <v>73</v>
      </c>
      <c r="I1454" s="8">
        <v>122</v>
      </c>
      <c r="J1454" s="8" t="s">
        <v>102</v>
      </c>
      <c r="K1454" s="8" t="s">
        <v>53</v>
      </c>
      <c r="L1454" s="10">
        <v>1</v>
      </c>
      <c r="M1454" s="13">
        <v>8000.0</v>
      </c>
      <c r="N1454" s="13"/>
      <c r="O1454" s="15">
        <f>IF(M1454&gt;0, N1454/M1454, 0)</f>
        <v>0</v>
      </c>
      <c r="P1454" s="13">
        <f>M1454-N1454</f>
        <v>8000</v>
      </c>
      <c r="Q1454" s="13">
        <f>L1454*M1454</f>
        <v>8000</v>
      </c>
      <c r="R1454" s="13">
        <f>L1454*N1454</f>
        <v>0</v>
      </c>
      <c r="S1454" s="13">
        <f>L1454*P1454</f>
        <v>8000</v>
      </c>
      <c r="T1454" s="13"/>
      <c r="U1454" s="13">
        <f>L1454*T1454</f>
        <v>0</v>
      </c>
      <c r="V1454" s="13">
        <f>S1454-U1454</f>
        <v>8000</v>
      </c>
      <c r="W1454" s="15">
        <f>IF(S1454&gt;0, V1454/S1454, 0)</f>
        <v>1</v>
      </c>
      <c r="X1454" s="6" t="s">
        <v>39</v>
      </c>
      <c r="Y1454" s="8" t="s">
        <v>40</v>
      </c>
      <c r="Z1454" s="8" t="s">
        <v>41</v>
      </c>
      <c r="AA1454" s="8" t="s">
        <v>42</v>
      </c>
      <c r="AB1454" s="6" t="s">
        <v>42</v>
      </c>
    </row>
    <row r="1455" spans="1:28">
      <c r="A1455" s="9">
        <v>1448</v>
      </c>
      <c r="B1455" s="9" t="s">
        <v>1783</v>
      </c>
      <c r="C1455" s="9" t="s">
        <v>1772</v>
      </c>
      <c r="D1455" s="9" t="s">
        <v>652</v>
      </c>
      <c r="E1455" s="9" t="s">
        <v>33</v>
      </c>
      <c r="F1455" s="7" t="s">
        <v>34</v>
      </c>
      <c r="G1455" s="7" t="s">
        <v>35</v>
      </c>
      <c r="H1455" s="7" t="s">
        <v>36</v>
      </c>
      <c r="I1455" s="9">
        <v>128</v>
      </c>
      <c r="J1455" s="9" t="s">
        <v>1784</v>
      </c>
      <c r="K1455" s="9" t="s">
        <v>38</v>
      </c>
      <c r="L1455" s="11">
        <v>1</v>
      </c>
      <c r="M1455" s="14">
        <v>7000.0</v>
      </c>
      <c r="N1455" s="14"/>
      <c r="O1455" s="16">
        <f>IF(M1455&gt;0, N1455/M1455, 0)</f>
        <v>0</v>
      </c>
      <c r="P1455" s="14">
        <f>M1455-N1455</f>
        <v>7000</v>
      </c>
      <c r="Q1455" s="14">
        <f>L1455*M1455</f>
        <v>7000</v>
      </c>
      <c r="R1455" s="14">
        <f>L1455*N1455</f>
        <v>0</v>
      </c>
      <c r="S1455" s="14">
        <f>L1455*P1455</f>
        <v>7000</v>
      </c>
      <c r="T1455" s="14"/>
      <c r="U1455" s="14">
        <f>L1455*T1455</f>
        <v>0</v>
      </c>
      <c r="V1455" s="14">
        <f>S1455-U1455</f>
        <v>7000</v>
      </c>
      <c r="W1455" s="16">
        <f>IF(S1455&gt;0, V1455/S1455, 0)</f>
        <v>1</v>
      </c>
      <c r="X1455" s="7" t="s">
        <v>39</v>
      </c>
      <c r="Y1455" s="9" t="s">
        <v>40</v>
      </c>
      <c r="Z1455" s="9" t="s">
        <v>41</v>
      </c>
      <c r="AA1455" s="9" t="s">
        <v>42</v>
      </c>
      <c r="AB1455" s="7" t="s">
        <v>42</v>
      </c>
    </row>
    <row r="1456" spans="1:28">
      <c r="A1456" s="8">
        <v>1449</v>
      </c>
      <c r="B1456" s="8" t="s">
        <v>1785</v>
      </c>
      <c r="C1456" s="8" t="s">
        <v>1772</v>
      </c>
      <c r="D1456" s="8" t="s">
        <v>652</v>
      </c>
      <c r="E1456" s="8" t="s">
        <v>33</v>
      </c>
      <c r="F1456" s="6" t="s">
        <v>34</v>
      </c>
      <c r="G1456" s="6" t="s">
        <v>56</v>
      </c>
      <c r="H1456" s="6" t="s">
        <v>56</v>
      </c>
      <c r="I1456" s="8">
        <v>170</v>
      </c>
      <c r="J1456" s="8" t="s">
        <v>212</v>
      </c>
      <c r="K1456" s="8" t="s">
        <v>38</v>
      </c>
      <c r="L1456" s="10">
        <v>1</v>
      </c>
      <c r="M1456" s="13">
        <v>7500.0</v>
      </c>
      <c r="N1456" s="13"/>
      <c r="O1456" s="15">
        <f>IF(M1456&gt;0, N1456/M1456, 0)</f>
        <v>0</v>
      </c>
      <c r="P1456" s="13">
        <f>M1456-N1456</f>
        <v>7500</v>
      </c>
      <c r="Q1456" s="13">
        <f>L1456*M1456</f>
        <v>7500</v>
      </c>
      <c r="R1456" s="13">
        <f>L1456*N1456</f>
        <v>0</v>
      </c>
      <c r="S1456" s="13">
        <f>L1456*P1456</f>
        <v>7500</v>
      </c>
      <c r="T1456" s="13"/>
      <c r="U1456" s="13">
        <f>L1456*T1456</f>
        <v>0</v>
      </c>
      <c r="V1456" s="13">
        <f>S1456-U1456</f>
        <v>7500</v>
      </c>
      <c r="W1456" s="15">
        <f>IF(S1456&gt;0, V1456/S1456, 0)</f>
        <v>1</v>
      </c>
      <c r="X1456" s="6" t="s">
        <v>39</v>
      </c>
      <c r="Y1456" s="8" t="s">
        <v>40</v>
      </c>
      <c r="Z1456" s="8" t="s">
        <v>41</v>
      </c>
      <c r="AA1456" s="8" t="s">
        <v>42</v>
      </c>
      <c r="AB1456" s="6" t="s">
        <v>42</v>
      </c>
    </row>
    <row r="1457" spans="1:28">
      <c r="A1457" s="9">
        <v>1450</v>
      </c>
      <c r="B1457" s="9" t="s">
        <v>1786</v>
      </c>
      <c r="C1457" s="9" t="s">
        <v>1772</v>
      </c>
      <c r="D1457" s="9" t="s">
        <v>652</v>
      </c>
      <c r="E1457" s="9" t="s">
        <v>33</v>
      </c>
      <c r="F1457" s="7" t="s">
        <v>34</v>
      </c>
      <c r="G1457" s="7" t="s">
        <v>51</v>
      </c>
      <c r="H1457" s="7" t="s">
        <v>51</v>
      </c>
      <c r="I1457" s="9">
        <v>182</v>
      </c>
      <c r="J1457" s="9" t="s">
        <v>321</v>
      </c>
      <c r="K1457" s="9" t="s">
        <v>38</v>
      </c>
      <c r="L1457" s="11">
        <v>1</v>
      </c>
      <c r="M1457" s="14">
        <v>8500.0</v>
      </c>
      <c r="N1457" s="14"/>
      <c r="O1457" s="16">
        <f>IF(M1457&gt;0, N1457/M1457, 0)</f>
        <v>0</v>
      </c>
      <c r="P1457" s="14">
        <f>M1457-N1457</f>
        <v>8500</v>
      </c>
      <c r="Q1457" s="14">
        <f>L1457*M1457</f>
        <v>8500</v>
      </c>
      <c r="R1457" s="14">
        <f>L1457*N1457</f>
        <v>0</v>
      </c>
      <c r="S1457" s="14">
        <f>L1457*P1457</f>
        <v>8500</v>
      </c>
      <c r="T1457" s="14"/>
      <c r="U1457" s="14">
        <f>L1457*T1457</f>
        <v>0</v>
      </c>
      <c r="V1457" s="14">
        <f>S1457-U1457</f>
        <v>8500</v>
      </c>
      <c r="W1457" s="16">
        <f>IF(S1457&gt;0, V1457/S1457, 0)</f>
        <v>1</v>
      </c>
      <c r="X1457" s="7" t="s">
        <v>39</v>
      </c>
      <c r="Y1457" s="9" t="s">
        <v>40</v>
      </c>
      <c r="Z1457" s="9" t="s">
        <v>41</v>
      </c>
      <c r="AA1457" s="9" t="s">
        <v>42</v>
      </c>
      <c r="AB1457" s="7" t="s">
        <v>42</v>
      </c>
    </row>
    <row r="1458" spans="1:28">
      <c r="A1458" s="8">
        <v>1451</v>
      </c>
      <c r="B1458" s="8" t="s">
        <v>1787</v>
      </c>
      <c r="C1458" s="8" t="s">
        <v>1772</v>
      </c>
      <c r="D1458" s="8" t="s">
        <v>652</v>
      </c>
      <c r="E1458" s="8" t="s">
        <v>33</v>
      </c>
      <c r="F1458" s="6" t="s">
        <v>34</v>
      </c>
      <c r="G1458" s="6" t="s">
        <v>63</v>
      </c>
      <c r="H1458" s="6" t="s">
        <v>148</v>
      </c>
      <c r="I1458" s="8">
        <v>170</v>
      </c>
      <c r="J1458" s="8" t="s">
        <v>149</v>
      </c>
      <c r="K1458" s="8" t="s">
        <v>38</v>
      </c>
      <c r="L1458" s="10">
        <v>1</v>
      </c>
      <c r="M1458" s="13">
        <v>9500.0</v>
      </c>
      <c r="N1458" s="13"/>
      <c r="O1458" s="15">
        <f>IF(M1458&gt;0, N1458/M1458, 0)</f>
        <v>0</v>
      </c>
      <c r="P1458" s="13">
        <f>M1458-N1458</f>
        <v>9500</v>
      </c>
      <c r="Q1458" s="13">
        <f>L1458*M1458</f>
        <v>9500</v>
      </c>
      <c r="R1458" s="13">
        <f>L1458*N1458</f>
        <v>0</v>
      </c>
      <c r="S1458" s="13">
        <f>L1458*P1458</f>
        <v>9500</v>
      </c>
      <c r="T1458" s="13"/>
      <c r="U1458" s="13">
        <f>L1458*T1458</f>
        <v>0</v>
      </c>
      <c r="V1458" s="13">
        <f>S1458-U1458</f>
        <v>9500</v>
      </c>
      <c r="W1458" s="15">
        <f>IF(S1458&gt;0, V1458/S1458, 0)</f>
        <v>1</v>
      </c>
      <c r="X1458" s="6" t="s">
        <v>39</v>
      </c>
      <c r="Y1458" s="8" t="s">
        <v>40</v>
      </c>
      <c r="Z1458" s="8" t="s">
        <v>41</v>
      </c>
      <c r="AA1458" s="8" t="s">
        <v>42</v>
      </c>
      <c r="AB1458" s="6" t="s">
        <v>42</v>
      </c>
    </row>
    <row r="1459" spans="1:28">
      <c r="A1459" s="9">
        <v>1452</v>
      </c>
      <c r="B1459" s="9" t="s">
        <v>1788</v>
      </c>
      <c r="C1459" s="9" t="s">
        <v>1772</v>
      </c>
      <c r="D1459" s="9" t="s">
        <v>652</v>
      </c>
      <c r="E1459" s="9" t="s">
        <v>33</v>
      </c>
      <c r="F1459" s="7" t="s">
        <v>34</v>
      </c>
      <c r="G1459" s="7" t="s">
        <v>69</v>
      </c>
      <c r="H1459" s="7" t="s">
        <v>69</v>
      </c>
      <c r="I1459" s="9">
        <v>176</v>
      </c>
      <c r="J1459" s="9" t="s">
        <v>203</v>
      </c>
      <c r="K1459" s="9" t="s">
        <v>38</v>
      </c>
      <c r="L1459" s="11">
        <v>1</v>
      </c>
      <c r="M1459" s="14">
        <v>16500.0</v>
      </c>
      <c r="N1459" s="14"/>
      <c r="O1459" s="16">
        <f>IF(M1459&gt;0, N1459/M1459, 0)</f>
        <v>0</v>
      </c>
      <c r="P1459" s="14">
        <f>M1459-N1459</f>
        <v>16500</v>
      </c>
      <c r="Q1459" s="14">
        <f>L1459*M1459</f>
        <v>16500</v>
      </c>
      <c r="R1459" s="14">
        <f>L1459*N1459</f>
        <v>0</v>
      </c>
      <c r="S1459" s="14">
        <f>L1459*P1459</f>
        <v>16500</v>
      </c>
      <c r="T1459" s="14"/>
      <c r="U1459" s="14">
        <f>L1459*T1459</f>
        <v>0</v>
      </c>
      <c r="V1459" s="14">
        <f>S1459-U1459</f>
        <v>16500</v>
      </c>
      <c r="W1459" s="16">
        <f>IF(S1459&gt;0, V1459/S1459, 0)</f>
        <v>1</v>
      </c>
      <c r="X1459" s="7" t="s">
        <v>39</v>
      </c>
      <c r="Y1459" s="9" t="s">
        <v>40</v>
      </c>
      <c r="Z1459" s="9" t="s">
        <v>41</v>
      </c>
      <c r="AA1459" s="9" t="s">
        <v>42</v>
      </c>
      <c r="AB1459" s="7" t="s">
        <v>42</v>
      </c>
    </row>
    <row r="1460" spans="1:28">
      <c r="A1460" s="8">
        <v>1453</v>
      </c>
      <c r="B1460" s="8" t="s">
        <v>1789</v>
      </c>
      <c r="C1460" s="8" t="s">
        <v>1772</v>
      </c>
      <c r="D1460" s="8" t="s">
        <v>652</v>
      </c>
      <c r="E1460" s="8" t="s">
        <v>33</v>
      </c>
      <c r="F1460" s="6" t="s">
        <v>34</v>
      </c>
      <c r="G1460" s="6" t="s">
        <v>35</v>
      </c>
      <c r="H1460" s="6" t="s">
        <v>73</v>
      </c>
      <c r="I1460" s="8">
        <v>176</v>
      </c>
      <c r="J1460" s="8" t="s">
        <v>420</v>
      </c>
      <c r="K1460" s="8" t="s">
        <v>38</v>
      </c>
      <c r="L1460" s="10">
        <v>1</v>
      </c>
      <c r="M1460" s="13">
        <v>9000.0</v>
      </c>
      <c r="N1460" s="13"/>
      <c r="O1460" s="15">
        <f>IF(M1460&gt;0, N1460/M1460, 0)</f>
        <v>0</v>
      </c>
      <c r="P1460" s="13">
        <f>M1460-N1460</f>
        <v>9000</v>
      </c>
      <c r="Q1460" s="13">
        <f>L1460*M1460</f>
        <v>9000</v>
      </c>
      <c r="R1460" s="13">
        <f>L1460*N1460</f>
        <v>0</v>
      </c>
      <c r="S1460" s="13">
        <f>L1460*P1460</f>
        <v>9000</v>
      </c>
      <c r="T1460" s="13"/>
      <c r="U1460" s="13">
        <f>L1460*T1460</f>
        <v>0</v>
      </c>
      <c r="V1460" s="13">
        <f>S1460-U1460</f>
        <v>9000</v>
      </c>
      <c r="W1460" s="15">
        <f>IF(S1460&gt;0, V1460/S1460, 0)</f>
        <v>1</v>
      </c>
      <c r="X1460" s="6" t="s">
        <v>39</v>
      </c>
      <c r="Y1460" s="8" t="s">
        <v>40</v>
      </c>
      <c r="Z1460" s="8" t="s">
        <v>41</v>
      </c>
      <c r="AA1460" s="8" t="s">
        <v>42</v>
      </c>
      <c r="AB1460" s="6" t="s">
        <v>42</v>
      </c>
    </row>
    <row r="1461" spans="1:28">
      <c r="A1461" s="9">
        <v>1454</v>
      </c>
      <c r="B1461" s="9" t="s">
        <v>1790</v>
      </c>
      <c r="C1461" s="9" t="s">
        <v>1772</v>
      </c>
      <c r="D1461" s="9" t="s">
        <v>652</v>
      </c>
      <c r="E1461" s="9" t="s">
        <v>33</v>
      </c>
      <c r="F1461" s="7" t="s">
        <v>34</v>
      </c>
      <c r="G1461" s="7" t="s">
        <v>35</v>
      </c>
      <c r="H1461" s="7" t="s">
        <v>36</v>
      </c>
      <c r="I1461" s="9">
        <v>176</v>
      </c>
      <c r="J1461" s="9" t="s">
        <v>352</v>
      </c>
      <c r="K1461" s="9" t="s">
        <v>38</v>
      </c>
      <c r="L1461" s="11">
        <v>1</v>
      </c>
      <c r="M1461" s="14">
        <v>8000.0</v>
      </c>
      <c r="N1461" s="14"/>
      <c r="O1461" s="16">
        <f>IF(M1461&gt;0, N1461/M1461, 0)</f>
        <v>0</v>
      </c>
      <c r="P1461" s="14">
        <f>M1461-N1461</f>
        <v>8000</v>
      </c>
      <c r="Q1461" s="14">
        <f>L1461*M1461</f>
        <v>8000</v>
      </c>
      <c r="R1461" s="14">
        <f>L1461*N1461</f>
        <v>0</v>
      </c>
      <c r="S1461" s="14">
        <f>L1461*P1461</f>
        <v>8000</v>
      </c>
      <c r="T1461" s="14"/>
      <c r="U1461" s="14">
        <f>L1461*T1461</f>
        <v>0</v>
      </c>
      <c r="V1461" s="14">
        <f>S1461-U1461</f>
        <v>8000</v>
      </c>
      <c r="W1461" s="16">
        <f>IF(S1461&gt;0, V1461/S1461, 0)</f>
        <v>1</v>
      </c>
      <c r="X1461" s="7" t="s">
        <v>39</v>
      </c>
      <c r="Y1461" s="9" t="s">
        <v>40</v>
      </c>
      <c r="Z1461" s="9" t="s">
        <v>41</v>
      </c>
      <c r="AA1461" s="9" t="s">
        <v>42</v>
      </c>
      <c r="AB1461" s="7" t="s">
        <v>42</v>
      </c>
    </row>
    <row r="1462" spans="1:28">
      <c r="A1462" s="8">
        <v>1455</v>
      </c>
      <c r="B1462" s="8" t="s">
        <v>1791</v>
      </c>
      <c r="C1462" s="8" t="s">
        <v>1772</v>
      </c>
      <c r="D1462" s="8" t="s">
        <v>652</v>
      </c>
      <c r="E1462" s="8" t="s">
        <v>68</v>
      </c>
      <c r="F1462" s="6" t="s">
        <v>34</v>
      </c>
      <c r="G1462" s="6" t="s">
        <v>69</v>
      </c>
      <c r="H1462" s="6" t="s">
        <v>69</v>
      </c>
      <c r="I1462" s="8">
        <v>158</v>
      </c>
      <c r="J1462" s="8" t="s">
        <v>260</v>
      </c>
      <c r="K1462" s="8" t="s">
        <v>38</v>
      </c>
      <c r="L1462" s="10">
        <v>1</v>
      </c>
      <c r="M1462" s="13">
        <v>17000.0</v>
      </c>
      <c r="N1462" s="13"/>
      <c r="O1462" s="15">
        <f>IF(M1462&gt;0, N1462/M1462, 0)</f>
        <v>0</v>
      </c>
      <c r="P1462" s="13">
        <f>M1462-N1462</f>
        <v>17000</v>
      </c>
      <c r="Q1462" s="13">
        <f>L1462*M1462</f>
        <v>17000</v>
      </c>
      <c r="R1462" s="13">
        <f>L1462*N1462</f>
        <v>0</v>
      </c>
      <c r="S1462" s="13">
        <f>L1462*P1462</f>
        <v>17000</v>
      </c>
      <c r="T1462" s="13"/>
      <c r="U1462" s="13">
        <f>L1462*T1462</f>
        <v>0</v>
      </c>
      <c r="V1462" s="13">
        <f>S1462-U1462</f>
        <v>17000</v>
      </c>
      <c r="W1462" s="15">
        <f>IF(S1462&gt;0, V1462/S1462, 0)</f>
        <v>1</v>
      </c>
      <c r="X1462" s="6" t="s">
        <v>39</v>
      </c>
      <c r="Y1462" s="8" t="s">
        <v>40</v>
      </c>
      <c r="Z1462" s="8" t="s">
        <v>71</v>
      </c>
      <c r="AA1462" s="8" t="s">
        <v>42</v>
      </c>
      <c r="AB1462" s="6" t="s">
        <v>42</v>
      </c>
    </row>
    <row r="1463" spans="1:28">
      <c r="A1463" s="9">
        <v>1456</v>
      </c>
      <c r="B1463" s="9" t="s">
        <v>1792</v>
      </c>
      <c r="C1463" s="9" t="s">
        <v>1772</v>
      </c>
      <c r="D1463" s="9" t="s">
        <v>652</v>
      </c>
      <c r="E1463" s="9" t="s">
        <v>33</v>
      </c>
      <c r="F1463" s="7" t="s">
        <v>34</v>
      </c>
      <c r="G1463" s="7" t="s">
        <v>69</v>
      </c>
      <c r="H1463" s="7" t="s">
        <v>69</v>
      </c>
      <c r="I1463" s="9">
        <v>176</v>
      </c>
      <c r="J1463" s="9" t="s">
        <v>203</v>
      </c>
      <c r="K1463" s="9" t="s">
        <v>38</v>
      </c>
      <c r="L1463" s="11">
        <v>1</v>
      </c>
      <c r="M1463" s="14">
        <v>16500.0</v>
      </c>
      <c r="N1463" s="14"/>
      <c r="O1463" s="16">
        <f>IF(M1463&gt;0, N1463/M1463, 0)</f>
        <v>0</v>
      </c>
      <c r="P1463" s="14">
        <f>M1463-N1463</f>
        <v>16500</v>
      </c>
      <c r="Q1463" s="14">
        <f>L1463*M1463</f>
        <v>16500</v>
      </c>
      <c r="R1463" s="14">
        <f>L1463*N1463</f>
        <v>0</v>
      </c>
      <c r="S1463" s="14">
        <f>L1463*P1463</f>
        <v>16500</v>
      </c>
      <c r="T1463" s="14"/>
      <c r="U1463" s="14">
        <f>L1463*T1463</f>
        <v>0</v>
      </c>
      <c r="V1463" s="14">
        <f>S1463-U1463</f>
        <v>16500</v>
      </c>
      <c r="W1463" s="16">
        <f>IF(S1463&gt;0, V1463/S1463, 0)</f>
        <v>1</v>
      </c>
      <c r="X1463" s="7" t="s">
        <v>39</v>
      </c>
      <c r="Y1463" s="9" t="s">
        <v>40</v>
      </c>
      <c r="Z1463" s="9" t="s">
        <v>41</v>
      </c>
      <c r="AA1463" s="9" t="s">
        <v>42</v>
      </c>
      <c r="AB1463" s="7" t="s">
        <v>42</v>
      </c>
    </row>
    <row r="1464" spans="1:28">
      <c r="A1464" s="8">
        <v>1457</v>
      </c>
      <c r="B1464" s="8" t="s">
        <v>1793</v>
      </c>
      <c r="C1464" s="8" t="s">
        <v>1772</v>
      </c>
      <c r="D1464" s="8" t="s">
        <v>652</v>
      </c>
      <c r="E1464" s="8" t="s">
        <v>33</v>
      </c>
      <c r="F1464" s="6" t="s">
        <v>34</v>
      </c>
      <c r="G1464" s="6" t="s">
        <v>51</v>
      </c>
      <c r="H1464" s="6" t="s">
        <v>51</v>
      </c>
      <c r="I1464" s="8">
        <v>176</v>
      </c>
      <c r="J1464" s="8" t="s">
        <v>418</v>
      </c>
      <c r="K1464" s="8" t="s">
        <v>38</v>
      </c>
      <c r="L1464" s="10">
        <v>1</v>
      </c>
      <c r="M1464" s="13">
        <v>8500.0</v>
      </c>
      <c r="N1464" s="13"/>
      <c r="O1464" s="15">
        <f>IF(M1464&gt;0, N1464/M1464, 0)</f>
        <v>0</v>
      </c>
      <c r="P1464" s="13">
        <f>M1464-N1464</f>
        <v>8500</v>
      </c>
      <c r="Q1464" s="13">
        <f>L1464*M1464</f>
        <v>8500</v>
      </c>
      <c r="R1464" s="13">
        <f>L1464*N1464</f>
        <v>0</v>
      </c>
      <c r="S1464" s="13">
        <f>L1464*P1464</f>
        <v>8500</v>
      </c>
      <c r="T1464" s="13"/>
      <c r="U1464" s="13">
        <f>L1464*T1464</f>
        <v>0</v>
      </c>
      <c r="V1464" s="13">
        <f>S1464-U1464</f>
        <v>8500</v>
      </c>
      <c r="W1464" s="15">
        <f>IF(S1464&gt;0, V1464/S1464, 0)</f>
        <v>1</v>
      </c>
      <c r="X1464" s="6" t="s">
        <v>39</v>
      </c>
      <c r="Y1464" s="8" t="s">
        <v>40</v>
      </c>
      <c r="Z1464" s="8" t="s">
        <v>41</v>
      </c>
      <c r="AA1464" s="8" t="s">
        <v>42</v>
      </c>
      <c r="AB1464" s="6" t="s">
        <v>42</v>
      </c>
    </row>
    <row r="1465" spans="1:28">
      <c r="A1465" s="9">
        <v>1458</v>
      </c>
      <c r="B1465" s="9" t="s">
        <v>1794</v>
      </c>
      <c r="C1465" s="9" t="s">
        <v>1772</v>
      </c>
      <c r="D1465" s="9" t="s">
        <v>652</v>
      </c>
      <c r="E1465" s="9" t="s">
        <v>33</v>
      </c>
      <c r="F1465" s="7" t="s">
        <v>34</v>
      </c>
      <c r="G1465" s="7" t="s">
        <v>63</v>
      </c>
      <c r="H1465" s="7" t="s">
        <v>148</v>
      </c>
      <c r="I1465" s="9">
        <v>170</v>
      </c>
      <c r="J1465" s="9" t="s">
        <v>149</v>
      </c>
      <c r="K1465" s="9" t="s">
        <v>38</v>
      </c>
      <c r="L1465" s="11">
        <v>1</v>
      </c>
      <c r="M1465" s="14">
        <v>9500.0</v>
      </c>
      <c r="N1465" s="14"/>
      <c r="O1465" s="16">
        <f>IF(M1465&gt;0, N1465/M1465, 0)</f>
        <v>0</v>
      </c>
      <c r="P1465" s="14">
        <f>M1465-N1465</f>
        <v>9500</v>
      </c>
      <c r="Q1465" s="14">
        <f>L1465*M1465</f>
        <v>9500</v>
      </c>
      <c r="R1465" s="14">
        <f>L1465*N1465</f>
        <v>0</v>
      </c>
      <c r="S1465" s="14">
        <f>L1465*P1465</f>
        <v>9500</v>
      </c>
      <c r="T1465" s="14"/>
      <c r="U1465" s="14">
        <f>L1465*T1465</f>
        <v>0</v>
      </c>
      <c r="V1465" s="14">
        <f>S1465-U1465</f>
        <v>9500</v>
      </c>
      <c r="W1465" s="16">
        <f>IF(S1465&gt;0, V1465/S1465, 0)</f>
        <v>1</v>
      </c>
      <c r="X1465" s="7" t="s">
        <v>39</v>
      </c>
      <c r="Y1465" s="9" t="s">
        <v>40</v>
      </c>
      <c r="Z1465" s="9" t="s">
        <v>41</v>
      </c>
      <c r="AA1465" s="9" t="s">
        <v>42</v>
      </c>
      <c r="AB1465" s="7" t="s">
        <v>42</v>
      </c>
    </row>
    <row r="1466" spans="1:28">
      <c r="A1466" s="8">
        <v>1459</v>
      </c>
      <c r="B1466" s="8" t="s">
        <v>1795</v>
      </c>
      <c r="C1466" s="8" t="s">
        <v>1772</v>
      </c>
      <c r="D1466" s="8" t="s">
        <v>652</v>
      </c>
      <c r="E1466" s="8" t="s">
        <v>33</v>
      </c>
      <c r="F1466" s="6" t="s">
        <v>34</v>
      </c>
      <c r="G1466" s="6" t="s">
        <v>35</v>
      </c>
      <c r="H1466" s="6" t="s">
        <v>73</v>
      </c>
      <c r="I1466" s="8">
        <v>176</v>
      </c>
      <c r="J1466" s="8" t="s">
        <v>420</v>
      </c>
      <c r="K1466" s="8" t="s">
        <v>38</v>
      </c>
      <c r="L1466" s="10">
        <v>1</v>
      </c>
      <c r="M1466" s="13">
        <v>9000.0</v>
      </c>
      <c r="N1466" s="13"/>
      <c r="O1466" s="15">
        <f>IF(M1466&gt;0, N1466/M1466, 0)</f>
        <v>0</v>
      </c>
      <c r="P1466" s="13">
        <f>M1466-N1466</f>
        <v>9000</v>
      </c>
      <c r="Q1466" s="13">
        <f>L1466*M1466</f>
        <v>9000</v>
      </c>
      <c r="R1466" s="13">
        <f>L1466*N1466</f>
        <v>0</v>
      </c>
      <c r="S1466" s="13">
        <f>L1466*P1466</f>
        <v>9000</v>
      </c>
      <c r="T1466" s="13"/>
      <c r="U1466" s="13">
        <f>L1466*T1466</f>
        <v>0</v>
      </c>
      <c r="V1466" s="13">
        <f>S1466-U1466</f>
        <v>9000</v>
      </c>
      <c r="W1466" s="15">
        <f>IF(S1466&gt;0, V1466/S1466, 0)</f>
        <v>1</v>
      </c>
      <c r="X1466" s="6" t="s">
        <v>39</v>
      </c>
      <c r="Y1466" s="8" t="s">
        <v>40</v>
      </c>
      <c r="Z1466" s="8" t="s">
        <v>41</v>
      </c>
      <c r="AA1466" s="8" t="s">
        <v>42</v>
      </c>
      <c r="AB1466" s="6" t="s">
        <v>42</v>
      </c>
    </row>
    <row r="1467" spans="1:28">
      <c r="A1467" s="9">
        <v>1460</v>
      </c>
      <c r="B1467" s="9" t="s">
        <v>1796</v>
      </c>
      <c r="C1467" s="9" t="s">
        <v>1772</v>
      </c>
      <c r="D1467" s="9" t="s">
        <v>652</v>
      </c>
      <c r="E1467" s="9" t="s">
        <v>33</v>
      </c>
      <c r="F1467" s="7" t="s">
        <v>34</v>
      </c>
      <c r="G1467" s="7" t="s">
        <v>35</v>
      </c>
      <c r="H1467" s="7" t="s">
        <v>36</v>
      </c>
      <c r="I1467" s="9">
        <v>170</v>
      </c>
      <c r="J1467" s="9" t="s">
        <v>142</v>
      </c>
      <c r="K1467" s="9" t="s">
        <v>38</v>
      </c>
      <c r="L1467" s="11">
        <v>1</v>
      </c>
      <c r="M1467" s="14">
        <v>8000.0</v>
      </c>
      <c r="N1467" s="14"/>
      <c r="O1467" s="16">
        <f>IF(M1467&gt;0, N1467/M1467, 0)</f>
        <v>0</v>
      </c>
      <c r="P1467" s="14">
        <f>M1467-N1467</f>
        <v>8000</v>
      </c>
      <c r="Q1467" s="14">
        <f>L1467*M1467</f>
        <v>8000</v>
      </c>
      <c r="R1467" s="14">
        <f>L1467*N1467</f>
        <v>0</v>
      </c>
      <c r="S1467" s="14">
        <f>L1467*P1467</f>
        <v>8000</v>
      </c>
      <c r="T1467" s="14"/>
      <c r="U1467" s="14">
        <f>L1467*T1467</f>
        <v>0</v>
      </c>
      <c r="V1467" s="14">
        <f>S1467-U1467</f>
        <v>8000</v>
      </c>
      <c r="W1467" s="16">
        <f>IF(S1467&gt;0, V1467/S1467, 0)</f>
        <v>1</v>
      </c>
      <c r="X1467" s="7" t="s">
        <v>39</v>
      </c>
      <c r="Y1467" s="9" t="s">
        <v>40</v>
      </c>
      <c r="Z1467" s="9" t="s">
        <v>41</v>
      </c>
      <c r="AA1467" s="9" t="s">
        <v>42</v>
      </c>
      <c r="AB1467" s="7" t="s">
        <v>42</v>
      </c>
    </row>
    <row r="1468" spans="1:28">
      <c r="A1468" s="8">
        <v>1461</v>
      </c>
      <c r="B1468" s="8" t="s">
        <v>1797</v>
      </c>
      <c r="C1468" s="8" t="s">
        <v>1772</v>
      </c>
      <c r="D1468" s="8" t="s">
        <v>652</v>
      </c>
      <c r="E1468" s="8" t="s">
        <v>33</v>
      </c>
      <c r="F1468" s="6" t="s">
        <v>50</v>
      </c>
      <c r="G1468" s="6" t="s">
        <v>51</v>
      </c>
      <c r="H1468" s="6" t="s">
        <v>51</v>
      </c>
      <c r="I1468" s="8">
        <v>164</v>
      </c>
      <c r="J1468" s="8" t="s">
        <v>404</v>
      </c>
      <c r="K1468" s="8" t="s">
        <v>53</v>
      </c>
      <c r="L1468" s="10">
        <v>1</v>
      </c>
      <c r="M1468" s="13">
        <v>8000.0</v>
      </c>
      <c r="N1468" s="13"/>
      <c r="O1468" s="15">
        <f>IF(M1468&gt;0, N1468/M1468, 0)</f>
        <v>0</v>
      </c>
      <c r="P1468" s="13">
        <f>M1468-N1468</f>
        <v>8000</v>
      </c>
      <c r="Q1468" s="13">
        <f>L1468*M1468</f>
        <v>8000</v>
      </c>
      <c r="R1468" s="13">
        <f>L1468*N1468</f>
        <v>0</v>
      </c>
      <c r="S1468" s="13">
        <f>L1468*P1468</f>
        <v>8000</v>
      </c>
      <c r="T1468" s="13"/>
      <c r="U1468" s="13">
        <f>L1468*T1468</f>
        <v>0</v>
      </c>
      <c r="V1468" s="13">
        <f>S1468-U1468</f>
        <v>8000</v>
      </c>
      <c r="W1468" s="15">
        <f>IF(S1468&gt;0, V1468/S1468, 0)</f>
        <v>1</v>
      </c>
      <c r="X1468" s="6" t="s">
        <v>39</v>
      </c>
      <c r="Y1468" s="8" t="s">
        <v>40</v>
      </c>
      <c r="Z1468" s="8" t="s">
        <v>41</v>
      </c>
      <c r="AA1468" s="8" t="s">
        <v>42</v>
      </c>
      <c r="AB1468" s="6" t="s">
        <v>42</v>
      </c>
    </row>
    <row r="1469" spans="1:28">
      <c r="A1469" s="9">
        <v>1462</v>
      </c>
      <c r="B1469" s="9" t="s">
        <v>1798</v>
      </c>
      <c r="C1469" s="9" t="s">
        <v>1772</v>
      </c>
      <c r="D1469" s="9" t="s">
        <v>652</v>
      </c>
      <c r="E1469" s="9" t="s">
        <v>33</v>
      </c>
      <c r="F1469" s="7" t="s">
        <v>50</v>
      </c>
      <c r="G1469" s="7" t="s">
        <v>63</v>
      </c>
      <c r="H1469" s="7" t="s">
        <v>148</v>
      </c>
      <c r="I1469" s="9">
        <v>152</v>
      </c>
      <c r="J1469" s="9" t="s">
        <v>251</v>
      </c>
      <c r="K1469" s="9" t="s">
        <v>38</v>
      </c>
      <c r="L1469" s="11">
        <v>1</v>
      </c>
      <c r="M1469" s="14">
        <v>9000.0</v>
      </c>
      <c r="N1469" s="14"/>
      <c r="O1469" s="16">
        <f>IF(M1469&gt;0, N1469/M1469, 0)</f>
        <v>0</v>
      </c>
      <c r="P1469" s="14">
        <f>M1469-N1469</f>
        <v>9000</v>
      </c>
      <c r="Q1469" s="14">
        <f>L1469*M1469</f>
        <v>9000</v>
      </c>
      <c r="R1469" s="14">
        <f>L1469*N1469</f>
        <v>0</v>
      </c>
      <c r="S1469" s="14">
        <f>L1469*P1469</f>
        <v>9000</v>
      </c>
      <c r="T1469" s="14"/>
      <c r="U1469" s="14">
        <f>L1469*T1469</f>
        <v>0</v>
      </c>
      <c r="V1469" s="14">
        <f>S1469-U1469</f>
        <v>9000</v>
      </c>
      <c r="W1469" s="16">
        <f>IF(S1469&gt;0, V1469/S1469, 0)</f>
        <v>1</v>
      </c>
      <c r="X1469" s="7" t="s">
        <v>39</v>
      </c>
      <c r="Y1469" s="9" t="s">
        <v>40</v>
      </c>
      <c r="Z1469" s="9" t="s">
        <v>41</v>
      </c>
      <c r="AA1469" s="9" t="s">
        <v>42</v>
      </c>
      <c r="AB1469" s="7" t="s">
        <v>42</v>
      </c>
    </row>
    <row r="1470" spans="1:28">
      <c r="A1470" s="8">
        <v>1463</v>
      </c>
      <c r="B1470" s="8" t="s">
        <v>1799</v>
      </c>
      <c r="C1470" s="8" t="s">
        <v>1772</v>
      </c>
      <c r="D1470" s="8" t="s">
        <v>652</v>
      </c>
      <c r="E1470" s="8" t="s">
        <v>33</v>
      </c>
      <c r="F1470" s="6" t="s">
        <v>50</v>
      </c>
      <c r="G1470" s="6" t="s">
        <v>35</v>
      </c>
      <c r="H1470" s="6" t="s">
        <v>73</v>
      </c>
      <c r="I1470" s="8">
        <v>152</v>
      </c>
      <c r="J1470" s="8" t="s">
        <v>605</v>
      </c>
      <c r="K1470" s="8" t="s">
        <v>53</v>
      </c>
      <c r="L1470" s="10">
        <v>1</v>
      </c>
      <c r="M1470" s="13">
        <v>8000.0</v>
      </c>
      <c r="N1470" s="13"/>
      <c r="O1470" s="15">
        <f>IF(M1470&gt;0, N1470/M1470, 0)</f>
        <v>0</v>
      </c>
      <c r="P1470" s="13">
        <f>M1470-N1470</f>
        <v>8000</v>
      </c>
      <c r="Q1470" s="13">
        <f>L1470*M1470</f>
        <v>8000</v>
      </c>
      <c r="R1470" s="13">
        <f>L1470*N1470</f>
        <v>0</v>
      </c>
      <c r="S1470" s="13">
        <f>L1470*P1470</f>
        <v>8000</v>
      </c>
      <c r="T1470" s="13"/>
      <c r="U1470" s="13">
        <f>L1470*T1470</f>
        <v>0</v>
      </c>
      <c r="V1470" s="13">
        <f>S1470-U1470</f>
        <v>8000</v>
      </c>
      <c r="W1470" s="15">
        <f>IF(S1470&gt;0, V1470/S1470, 0)</f>
        <v>1</v>
      </c>
      <c r="X1470" s="6" t="s">
        <v>39</v>
      </c>
      <c r="Y1470" s="8" t="s">
        <v>40</v>
      </c>
      <c r="Z1470" s="8" t="s">
        <v>41</v>
      </c>
      <c r="AA1470" s="8" t="s">
        <v>42</v>
      </c>
      <c r="AB1470" s="6" t="s">
        <v>42</v>
      </c>
    </row>
    <row r="1471" spans="1:28">
      <c r="A1471" s="9">
        <v>1464</v>
      </c>
      <c r="B1471" s="9" t="s">
        <v>1800</v>
      </c>
      <c r="C1471" s="9" t="s">
        <v>1772</v>
      </c>
      <c r="D1471" s="9" t="s">
        <v>652</v>
      </c>
      <c r="E1471" s="9" t="s">
        <v>33</v>
      </c>
      <c r="F1471" s="7" t="s">
        <v>50</v>
      </c>
      <c r="G1471" s="7" t="s">
        <v>35</v>
      </c>
      <c r="H1471" s="7" t="s">
        <v>36</v>
      </c>
      <c r="I1471" s="9">
        <v>158</v>
      </c>
      <c r="J1471" s="9" t="s">
        <v>130</v>
      </c>
      <c r="K1471" s="9" t="s">
        <v>53</v>
      </c>
      <c r="L1471" s="11">
        <v>1</v>
      </c>
      <c r="M1471" s="14">
        <v>7000.0</v>
      </c>
      <c r="N1471" s="14"/>
      <c r="O1471" s="16">
        <f>IF(M1471&gt;0, N1471/M1471, 0)</f>
        <v>0</v>
      </c>
      <c r="P1471" s="14">
        <f>M1471-N1471</f>
        <v>7000</v>
      </c>
      <c r="Q1471" s="14">
        <f>L1471*M1471</f>
        <v>7000</v>
      </c>
      <c r="R1471" s="14">
        <f>L1471*N1471</f>
        <v>0</v>
      </c>
      <c r="S1471" s="14">
        <f>L1471*P1471</f>
        <v>7000</v>
      </c>
      <c r="T1471" s="14"/>
      <c r="U1471" s="14">
        <f>L1471*T1471</f>
        <v>0</v>
      </c>
      <c r="V1471" s="14">
        <f>S1471-U1471</f>
        <v>7000</v>
      </c>
      <c r="W1471" s="16">
        <f>IF(S1471&gt;0, V1471/S1471, 0)</f>
        <v>1</v>
      </c>
      <c r="X1471" s="7" t="s">
        <v>39</v>
      </c>
      <c r="Y1471" s="9" t="s">
        <v>40</v>
      </c>
      <c r="Z1471" s="9" t="s">
        <v>41</v>
      </c>
      <c r="AA1471" s="9" t="s">
        <v>42</v>
      </c>
      <c r="AB1471" s="7" t="s">
        <v>42</v>
      </c>
    </row>
    <row r="1472" spans="1:28">
      <c r="A1472" s="8">
        <v>1465</v>
      </c>
      <c r="B1472" s="8" t="s">
        <v>1801</v>
      </c>
      <c r="C1472" s="8" t="s">
        <v>1772</v>
      </c>
      <c r="D1472" s="8" t="s">
        <v>652</v>
      </c>
      <c r="E1472" s="8" t="s">
        <v>68</v>
      </c>
      <c r="F1472" s="6" t="s">
        <v>34</v>
      </c>
      <c r="G1472" s="6" t="s">
        <v>35</v>
      </c>
      <c r="H1472" s="6" t="s">
        <v>73</v>
      </c>
      <c r="I1472" s="8">
        <v>170</v>
      </c>
      <c r="J1472" s="8" t="s">
        <v>648</v>
      </c>
      <c r="K1472" s="8" t="s">
        <v>38</v>
      </c>
      <c r="L1472" s="10">
        <v>1</v>
      </c>
      <c r="M1472" s="13">
        <v>11000.0</v>
      </c>
      <c r="N1472" s="13"/>
      <c r="O1472" s="15">
        <f>IF(M1472&gt;0, N1472/M1472, 0)</f>
        <v>0</v>
      </c>
      <c r="P1472" s="13">
        <f>M1472-N1472</f>
        <v>11000</v>
      </c>
      <c r="Q1472" s="13">
        <f>L1472*M1472</f>
        <v>11000</v>
      </c>
      <c r="R1472" s="13">
        <f>L1472*N1472</f>
        <v>0</v>
      </c>
      <c r="S1472" s="13">
        <f>L1472*P1472</f>
        <v>11000</v>
      </c>
      <c r="T1472" s="13"/>
      <c r="U1472" s="13">
        <f>L1472*T1472</f>
        <v>0</v>
      </c>
      <c r="V1472" s="13">
        <f>S1472-U1472</f>
        <v>11000</v>
      </c>
      <c r="W1472" s="15">
        <f>IF(S1472&gt;0, V1472/S1472, 0)</f>
        <v>1</v>
      </c>
      <c r="X1472" s="6" t="s">
        <v>39</v>
      </c>
      <c r="Y1472" s="8" t="s">
        <v>40</v>
      </c>
      <c r="Z1472" s="8" t="s">
        <v>71</v>
      </c>
      <c r="AA1472" s="8" t="s">
        <v>42</v>
      </c>
      <c r="AB1472" s="6" t="s">
        <v>42</v>
      </c>
    </row>
    <row r="1473" spans="1:28">
      <c r="A1473" s="9">
        <v>1466</v>
      </c>
      <c r="B1473" s="9" t="s">
        <v>1802</v>
      </c>
      <c r="C1473" s="9" t="s">
        <v>1772</v>
      </c>
      <c r="D1473" s="9" t="s">
        <v>652</v>
      </c>
      <c r="E1473" s="9" t="s">
        <v>33</v>
      </c>
      <c r="F1473" s="7" t="s">
        <v>50</v>
      </c>
      <c r="G1473" s="7" t="s">
        <v>45</v>
      </c>
      <c r="H1473" s="7" t="s">
        <v>46</v>
      </c>
      <c r="I1473" s="9">
        <v>122</v>
      </c>
      <c r="J1473" s="9" t="s">
        <v>476</v>
      </c>
      <c r="K1473" s="9" t="s">
        <v>38</v>
      </c>
      <c r="L1473" s="11">
        <v>1</v>
      </c>
      <c r="M1473" s="14">
        <v>18000.0</v>
      </c>
      <c r="N1473" s="14"/>
      <c r="O1473" s="16">
        <f>IF(M1473&gt;0, N1473/M1473, 0)</f>
        <v>0</v>
      </c>
      <c r="P1473" s="14">
        <f>M1473-N1473</f>
        <v>18000</v>
      </c>
      <c r="Q1473" s="14">
        <f>L1473*M1473</f>
        <v>18000</v>
      </c>
      <c r="R1473" s="14">
        <f>L1473*N1473</f>
        <v>0</v>
      </c>
      <c r="S1473" s="14">
        <f>L1473*P1473</f>
        <v>18000</v>
      </c>
      <c r="T1473" s="14"/>
      <c r="U1473" s="14">
        <f>L1473*T1473</f>
        <v>0</v>
      </c>
      <c r="V1473" s="14">
        <f>S1473-U1473</f>
        <v>18000</v>
      </c>
      <c r="W1473" s="16">
        <f>IF(S1473&gt;0, V1473/S1473, 0)</f>
        <v>1</v>
      </c>
      <c r="X1473" s="7" t="s">
        <v>39</v>
      </c>
      <c r="Y1473" s="9" t="s">
        <v>40</v>
      </c>
      <c r="Z1473" s="9" t="s">
        <v>41</v>
      </c>
      <c r="AA1473" s="9" t="s">
        <v>42</v>
      </c>
      <c r="AB1473" s="7" t="s">
        <v>42</v>
      </c>
    </row>
    <row r="1474" spans="1:28">
      <c r="A1474" s="8">
        <v>1467</v>
      </c>
      <c r="B1474" s="8" t="s">
        <v>1803</v>
      </c>
      <c r="C1474" s="8" t="s">
        <v>1772</v>
      </c>
      <c r="D1474" s="8" t="s">
        <v>652</v>
      </c>
      <c r="E1474" s="8" t="s">
        <v>33</v>
      </c>
      <c r="F1474" s="6" t="s">
        <v>50</v>
      </c>
      <c r="G1474" s="6" t="s">
        <v>51</v>
      </c>
      <c r="H1474" s="6" t="s">
        <v>51</v>
      </c>
      <c r="I1474" s="8">
        <v>122</v>
      </c>
      <c r="J1474" s="8" t="s">
        <v>82</v>
      </c>
      <c r="K1474" s="8" t="s">
        <v>53</v>
      </c>
      <c r="L1474" s="10">
        <v>2</v>
      </c>
      <c r="M1474" s="13">
        <v>8000.0</v>
      </c>
      <c r="N1474" s="13"/>
      <c r="O1474" s="15">
        <f>IF(M1474&gt;0, N1474/M1474, 0)</f>
        <v>0</v>
      </c>
      <c r="P1474" s="13">
        <f>M1474-N1474</f>
        <v>8000</v>
      </c>
      <c r="Q1474" s="13">
        <f>L1474*M1474</f>
        <v>16000</v>
      </c>
      <c r="R1474" s="13">
        <f>L1474*N1474</f>
        <v>0</v>
      </c>
      <c r="S1474" s="13">
        <f>L1474*P1474</f>
        <v>16000</v>
      </c>
      <c r="T1474" s="13"/>
      <c r="U1474" s="13">
        <f>L1474*T1474</f>
        <v>0</v>
      </c>
      <c r="V1474" s="13">
        <f>S1474-U1474</f>
        <v>16000</v>
      </c>
      <c r="W1474" s="15">
        <f>IF(S1474&gt;0, V1474/S1474, 0)</f>
        <v>1</v>
      </c>
      <c r="X1474" s="6" t="s">
        <v>39</v>
      </c>
      <c r="Y1474" s="8" t="s">
        <v>40</v>
      </c>
      <c r="Z1474" s="8" t="s">
        <v>41</v>
      </c>
      <c r="AA1474" s="8" t="s">
        <v>42</v>
      </c>
      <c r="AB1474" s="6" t="s">
        <v>42</v>
      </c>
    </row>
    <row r="1475" spans="1:28">
      <c r="A1475" s="9">
        <v>1468</v>
      </c>
      <c r="B1475" s="9" t="s">
        <v>1804</v>
      </c>
      <c r="C1475" s="9" t="s">
        <v>1772</v>
      </c>
      <c r="D1475" s="9" t="s">
        <v>652</v>
      </c>
      <c r="E1475" s="9" t="s">
        <v>33</v>
      </c>
      <c r="F1475" s="7" t="s">
        <v>50</v>
      </c>
      <c r="G1475" s="7" t="s">
        <v>56</v>
      </c>
      <c r="H1475" s="7" t="s">
        <v>56</v>
      </c>
      <c r="I1475" s="9">
        <v>110</v>
      </c>
      <c r="J1475" s="9" t="s">
        <v>957</v>
      </c>
      <c r="K1475" s="9" t="s">
        <v>38</v>
      </c>
      <c r="L1475" s="11">
        <v>1</v>
      </c>
      <c r="M1475" s="14">
        <v>7000.0</v>
      </c>
      <c r="N1475" s="14"/>
      <c r="O1475" s="16">
        <f>IF(M1475&gt;0, N1475/M1475, 0)</f>
        <v>0</v>
      </c>
      <c r="P1475" s="14">
        <f>M1475-N1475</f>
        <v>7000</v>
      </c>
      <c r="Q1475" s="14">
        <f>L1475*M1475</f>
        <v>7000</v>
      </c>
      <c r="R1475" s="14">
        <f>L1475*N1475</f>
        <v>0</v>
      </c>
      <c r="S1475" s="14">
        <f>L1475*P1475</f>
        <v>7000</v>
      </c>
      <c r="T1475" s="14"/>
      <c r="U1475" s="14">
        <f>L1475*T1475</f>
        <v>0</v>
      </c>
      <c r="V1475" s="14">
        <f>S1475-U1475</f>
        <v>7000</v>
      </c>
      <c r="W1475" s="16">
        <f>IF(S1475&gt;0, V1475/S1475, 0)</f>
        <v>1</v>
      </c>
      <c r="X1475" s="7" t="s">
        <v>39</v>
      </c>
      <c r="Y1475" s="9" t="s">
        <v>40</v>
      </c>
      <c r="Z1475" s="9" t="s">
        <v>41</v>
      </c>
      <c r="AA1475" s="9" t="s">
        <v>42</v>
      </c>
      <c r="AB1475" s="7" t="s">
        <v>42</v>
      </c>
    </row>
    <row r="1476" spans="1:28">
      <c r="A1476" s="8">
        <v>1469</v>
      </c>
      <c r="B1476" s="8" t="s">
        <v>1805</v>
      </c>
      <c r="C1476" s="8" t="s">
        <v>1772</v>
      </c>
      <c r="D1476" s="8" t="s">
        <v>652</v>
      </c>
      <c r="E1476" s="8" t="s">
        <v>33</v>
      </c>
      <c r="F1476" s="6" t="s">
        <v>50</v>
      </c>
      <c r="G1476" s="6" t="s">
        <v>69</v>
      </c>
      <c r="H1476" s="6" t="s">
        <v>69</v>
      </c>
      <c r="I1476" s="8">
        <v>116</v>
      </c>
      <c r="J1476" s="8" t="s">
        <v>87</v>
      </c>
      <c r="K1476" s="8" t="s">
        <v>38</v>
      </c>
      <c r="L1476" s="10">
        <v>1</v>
      </c>
      <c r="M1476" s="13">
        <v>16000.0</v>
      </c>
      <c r="N1476" s="13"/>
      <c r="O1476" s="15">
        <f>IF(M1476&gt;0, N1476/M1476, 0)</f>
        <v>0</v>
      </c>
      <c r="P1476" s="13">
        <f>M1476-N1476</f>
        <v>16000</v>
      </c>
      <c r="Q1476" s="13">
        <f>L1476*M1476</f>
        <v>16000</v>
      </c>
      <c r="R1476" s="13">
        <f>L1476*N1476</f>
        <v>0</v>
      </c>
      <c r="S1476" s="13">
        <f>L1476*P1476</f>
        <v>16000</v>
      </c>
      <c r="T1476" s="13"/>
      <c r="U1476" s="13">
        <f>L1476*T1476</f>
        <v>0</v>
      </c>
      <c r="V1476" s="13">
        <f>S1476-U1476</f>
        <v>16000</v>
      </c>
      <c r="W1476" s="15">
        <f>IF(S1476&gt;0, V1476/S1476, 0)</f>
        <v>1</v>
      </c>
      <c r="X1476" s="6" t="s">
        <v>39</v>
      </c>
      <c r="Y1476" s="8" t="s">
        <v>40</v>
      </c>
      <c r="Z1476" s="8" t="s">
        <v>41</v>
      </c>
      <c r="AA1476" s="8" t="s">
        <v>42</v>
      </c>
      <c r="AB1476" s="6" t="s">
        <v>42</v>
      </c>
    </row>
    <row r="1477" spans="1:28">
      <c r="A1477" s="9">
        <v>1470</v>
      </c>
      <c r="B1477" s="9" t="s">
        <v>1806</v>
      </c>
      <c r="C1477" s="9" t="s">
        <v>1772</v>
      </c>
      <c r="D1477" s="9" t="s">
        <v>652</v>
      </c>
      <c r="E1477" s="9" t="s">
        <v>33</v>
      </c>
      <c r="F1477" s="7" t="s">
        <v>50</v>
      </c>
      <c r="G1477" s="7" t="s">
        <v>63</v>
      </c>
      <c r="H1477" s="7" t="s">
        <v>148</v>
      </c>
      <c r="I1477" s="9">
        <v>116</v>
      </c>
      <c r="J1477" s="9" t="s">
        <v>1253</v>
      </c>
      <c r="K1477" s="9" t="s">
        <v>38</v>
      </c>
      <c r="L1477" s="11">
        <v>1</v>
      </c>
      <c r="M1477" s="14">
        <v>9000.0</v>
      </c>
      <c r="N1477" s="14"/>
      <c r="O1477" s="16">
        <f>IF(M1477&gt;0, N1477/M1477, 0)</f>
        <v>0</v>
      </c>
      <c r="P1477" s="14">
        <f>M1477-N1477</f>
        <v>9000</v>
      </c>
      <c r="Q1477" s="14">
        <f>L1477*M1477</f>
        <v>9000</v>
      </c>
      <c r="R1477" s="14">
        <f>L1477*N1477</f>
        <v>0</v>
      </c>
      <c r="S1477" s="14">
        <f>L1477*P1477</f>
        <v>9000</v>
      </c>
      <c r="T1477" s="14"/>
      <c r="U1477" s="14">
        <f>L1477*T1477</f>
        <v>0</v>
      </c>
      <c r="V1477" s="14">
        <f>S1477-U1477</f>
        <v>9000</v>
      </c>
      <c r="W1477" s="16">
        <f>IF(S1477&gt;0, V1477/S1477, 0)</f>
        <v>1</v>
      </c>
      <c r="X1477" s="7" t="s">
        <v>39</v>
      </c>
      <c r="Y1477" s="9" t="s">
        <v>40</v>
      </c>
      <c r="Z1477" s="9" t="s">
        <v>41</v>
      </c>
      <c r="AA1477" s="9" t="s">
        <v>42</v>
      </c>
      <c r="AB1477" s="7" t="s">
        <v>42</v>
      </c>
    </row>
    <row r="1478" spans="1:28">
      <c r="A1478" s="8">
        <v>1471</v>
      </c>
      <c r="B1478" s="8" t="s">
        <v>1807</v>
      </c>
      <c r="C1478" s="8" t="s">
        <v>1772</v>
      </c>
      <c r="D1478" s="8" t="s">
        <v>652</v>
      </c>
      <c r="E1478" s="8" t="s">
        <v>33</v>
      </c>
      <c r="F1478" s="6" t="s">
        <v>50</v>
      </c>
      <c r="G1478" s="6" t="s">
        <v>35</v>
      </c>
      <c r="H1478" s="6" t="s">
        <v>73</v>
      </c>
      <c r="I1478" s="8">
        <v>128</v>
      </c>
      <c r="J1478" s="8" t="s">
        <v>185</v>
      </c>
      <c r="K1478" s="8" t="s">
        <v>53</v>
      </c>
      <c r="L1478" s="10">
        <v>2</v>
      </c>
      <c r="M1478" s="13">
        <v>8000.0</v>
      </c>
      <c r="N1478" s="13"/>
      <c r="O1478" s="15">
        <f>IF(M1478&gt;0, N1478/M1478, 0)</f>
        <v>0</v>
      </c>
      <c r="P1478" s="13">
        <f>M1478-N1478</f>
        <v>8000</v>
      </c>
      <c r="Q1478" s="13">
        <f>L1478*M1478</f>
        <v>16000</v>
      </c>
      <c r="R1478" s="13">
        <f>L1478*N1478</f>
        <v>0</v>
      </c>
      <c r="S1478" s="13">
        <f>L1478*P1478</f>
        <v>16000</v>
      </c>
      <c r="T1478" s="13"/>
      <c r="U1478" s="13">
        <f>L1478*T1478</f>
        <v>0</v>
      </c>
      <c r="V1478" s="13">
        <f>S1478-U1478</f>
        <v>16000</v>
      </c>
      <c r="W1478" s="15">
        <f>IF(S1478&gt;0, V1478/S1478, 0)</f>
        <v>1</v>
      </c>
      <c r="X1478" s="6" t="s">
        <v>39</v>
      </c>
      <c r="Y1478" s="8" t="s">
        <v>40</v>
      </c>
      <c r="Z1478" s="8" t="s">
        <v>41</v>
      </c>
      <c r="AA1478" s="8" t="s">
        <v>42</v>
      </c>
      <c r="AB1478" s="6" t="s">
        <v>42</v>
      </c>
    </row>
    <row r="1479" spans="1:28">
      <c r="A1479" s="9">
        <v>1472</v>
      </c>
      <c r="B1479" s="9" t="s">
        <v>1808</v>
      </c>
      <c r="C1479" s="9" t="s">
        <v>1772</v>
      </c>
      <c r="D1479" s="9" t="s">
        <v>652</v>
      </c>
      <c r="E1479" s="9" t="s">
        <v>33</v>
      </c>
      <c r="F1479" s="7" t="s">
        <v>50</v>
      </c>
      <c r="G1479" s="7" t="s">
        <v>35</v>
      </c>
      <c r="H1479" s="7" t="s">
        <v>36</v>
      </c>
      <c r="I1479" s="9">
        <v>128</v>
      </c>
      <c r="J1479" s="9" t="s">
        <v>156</v>
      </c>
      <c r="K1479" s="9" t="s">
        <v>53</v>
      </c>
      <c r="L1479" s="11">
        <v>2</v>
      </c>
      <c r="M1479" s="14">
        <v>7000.0</v>
      </c>
      <c r="N1479" s="14"/>
      <c r="O1479" s="16">
        <f>IF(M1479&gt;0, N1479/M1479, 0)</f>
        <v>0</v>
      </c>
      <c r="P1479" s="14">
        <f>M1479-N1479</f>
        <v>7000</v>
      </c>
      <c r="Q1479" s="14">
        <f>L1479*M1479</f>
        <v>14000</v>
      </c>
      <c r="R1479" s="14">
        <f>L1479*N1479</f>
        <v>0</v>
      </c>
      <c r="S1479" s="14">
        <f>L1479*P1479</f>
        <v>14000</v>
      </c>
      <c r="T1479" s="14"/>
      <c r="U1479" s="14">
        <f>L1479*T1479</f>
        <v>0</v>
      </c>
      <c r="V1479" s="14">
        <f>S1479-U1479</f>
        <v>14000</v>
      </c>
      <c r="W1479" s="16">
        <f>IF(S1479&gt;0, V1479/S1479, 0)</f>
        <v>1</v>
      </c>
      <c r="X1479" s="7" t="s">
        <v>39</v>
      </c>
      <c r="Y1479" s="9" t="s">
        <v>40</v>
      </c>
      <c r="Z1479" s="9" t="s">
        <v>41</v>
      </c>
      <c r="AA1479" s="9" t="s">
        <v>42</v>
      </c>
      <c r="AB1479" s="7" t="s">
        <v>42</v>
      </c>
    </row>
    <row r="1480" spans="1:28">
      <c r="A1480" s="8">
        <v>1473</v>
      </c>
      <c r="B1480" s="8" t="s">
        <v>1809</v>
      </c>
      <c r="C1480" s="8" t="s">
        <v>1772</v>
      </c>
      <c r="D1480" s="8" t="s">
        <v>652</v>
      </c>
      <c r="E1480" s="8" t="s">
        <v>33</v>
      </c>
      <c r="F1480" s="6" t="s">
        <v>34</v>
      </c>
      <c r="G1480" s="6" t="s">
        <v>45</v>
      </c>
      <c r="H1480" s="6" t="s">
        <v>46</v>
      </c>
      <c r="I1480" s="8">
        <v>170</v>
      </c>
      <c r="J1480" s="8" t="s">
        <v>181</v>
      </c>
      <c r="K1480" s="8" t="s">
        <v>38</v>
      </c>
      <c r="L1480" s="10">
        <v>1</v>
      </c>
      <c r="M1480" s="13">
        <v>18000.0</v>
      </c>
      <c r="N1480" s="13"/>
      <c r="O1480" s="15">
        <f>IF(M1480&gt;0, N1480/M1480, 0)</f>
        <v>0</v>
      </c>
      <c r="P1480" s="13">
        <f>M1480-N1480</f>
        <v>18000</v>
      </c>
      <c r="Q1480" s="13">
        <f>L1480*M1480</f>
        <v>18000</v>
      </c>
      <c r="R1480" s="13">
        <f>L1480*N1480</f>
        <v>0</v>
      </c>
      <c r="S1480" s="13">
        <f>L1480*P1480</f>
        <v>18000</v>
      </c>
      <c r="T1480" s="13"/>
      <c r="U1480" s="13">
        <f>L1480*T1480</f>
        <v>0</v>
      </c>
      <c r="V1480" s="13">
        <f>S1480-U1480</f>
        <v>18000</v>
      </c>
      <c r="W1480" s="15">
        <f>IF(S1480&gt;0, V1480/S1480, 0)</f>
        <v>1</v>
      </c>
      <c r="X1480" s="6" t="s">
        <v>39</v>
      </c>
      <c r="Y1480" s="8" t="s">
        <v>40</v>
      </c>
      <c r="Z1480" s="8" t="s">
        <v>41</v>
      </c>
      <c r="AA1480" s="8" t="s">
        <v>42</v>
      </c>
      <c r="AB1480" s="6" t="s">
        <v>42</v>
      </c>
    </row>
    <row r="1481" spans="1:28">
      <c r="A1481" s="9">
        <v>1474</v>
      </c>
      <c r="B1481" s="9" t="s">
        <v>1810</v>
      </c>
      <c r="C1481" s="9" t="s">
        <v>1772</v>
      </c>
      <c r="D1481" s="9" t="s">
        <v>652</v>
      </c>
      <c r="E1481" s="9" t="s">
        <v>33</v>
      </c>
      <c r="F1481" s="7" t="s">
        <v>34</v>
      </c>
      <c r="G1481" s="7" t="s">
        <v>51</v>
      </c>
      <c r="H1481" s="7" t="s">
        <v>51</v>
      </c>
      <c r="I1481" s="9">
        <v>170</v>
      </c>
      <c r="J1481" s="9" t="s">
        <v>1137</v>
      </c>
      <c r="K1481" s="9" t="s">
        <v>38</v>
      </c>
      <c r="L1481" s="11">
        <v>2</v>
      </c>
      <c r="M1481" s="14">
        <v>8500.0</v>
      </c>
      <c r="N1481" s="14"/>
      <c r="O1481" s="16">
        <f>IF(M1481&gt;0, N1481/M1481, 0)</f>
        <v>0</v>
      </c>
      <c r="P1481" s="14">
        <f>M1481-N1481</f>
        <v>8500</v>
      </c>
      <c r="Q1481" s="14">
        <f>L1481*M1481</f>
        <v>17000</v>
      </c>
      <c r="R1481" s="14">
        <f>L1481*N1481</f>
        <v>0</v>
      </c>
      <c r="S1481" s="14">
        <f>L1481*P1481</f>
        <v>17000</v>
      </c>
      <c r="T1481" s="14"/>
      <c r="U1481" s="14">
        <f>L1481*T1481</f>
        <v>0</v>
      </c>
      <c r="V1481" s="14">
        <f>S1481-U1481</f>
        <v>17000</v>
      </c>
      <c r="W1481" s="16">
        <f>IF(S1481&gt;0, V1481/S1481, 0)</f>
        <v>1</v>
      </c>
      <c r="X1481" s="7" t="s">
        <v>39</v>
      </c>
      <c r="Y1481" s="9" t="s">
        <v>40</v>
      </c>
      <c r="Z1481" s="9" t="s">
        <v>41</v>
      </c>
      <c r="AA1481" s="9" t="s">
        <v>42</v>
      </c>
      <c r="AB1481" s="7" t="s">
        <v>42</v>
      </c>
    </row>
    <row r="1482" spans="1:28">
      <c r="A1482" s="8">
        <v>1475</v>
      </c>
      <c r="B1482" s="8" t="s">
        <v>1811</v>
      </c>
      <c r="C1482" s="8" t="s">
        <v>1772</v>
      </c>
      <c r="D1482" s="8" t="s">
        <v>652</v>
      </c>
      <c r="E1482" s="8" t="s">
        <v>33</v>
      </c>
      <c r="F1482" s="6" t="s">
        <v>34</v>
      </c>
      <c r="G1482" s="6" t="s">
        <v>56</v>
      </c>
      <c r="H1482" s="6" t="s">
        <v>56</v>
      </c>
      <c r="I1482" s="8">
        <v>158</v>
      </c>
      <c r="J1482" s="8" t="s">
        <v>128</v>
      </c>
      <c r="K1482" s="8" t="s">
        <v>38</v>
      </c>
      <c r="L1482" s="10">
        <v>1</v>
      </c>
      <c r="M1482" s="13">
        <v>7500.0</v>
      </c>
      <c r="N1482" s="13"/>
      <c r="O1482" s="15">
        <f>IF(M1482&gt;0, N1482/M1482, 0)</f>
        <v>0</v>
      </c>
      <c r="P1482" s="13">
        <f>M1482-N1482</f>
        <v>7500</v>
      </c>
      <c r="Q1482" s="13">
        <f>L1482*M1482</f>
        <v>7500</v>
      </c>
      <c r="R1482" s="13">
        <f>L1482*N1482</f>
        <v>0</v>
      </c>
      <c r="S1482" s="13">
        <f>L1482*P1482</f>
        <v>7500</v>
      </c>
      <c r="T1482" s="13"/>
      <c r="U1482" s="13">
        <f>L1482*T1482</f>
        <v>0</v>
      </c>
      <c r="V1482" s="13">
        <f>S1482-U1482</f>
        <v>7500</v>
      </c>
      <c r="W1482" s="15">
        <f>IF(S1482&gt;0, V1482/S1482, 0)</f>
        <v>1</v>
      </c>
      <c r="X1482" s="6" t="s">
        <v>39</v>
      </c>
      <c r="Y1482" s="8" t="s">
        <v>40</v>
      </c>
      <c r="Z1482" s="8" t="s">
        <v>41</v>
      </c>
      <c r="AA1482" s="8" t="s">
        <v>42</v>
      </c>
      <c r="AB1482" s="6" t="s">
        <v>42</v>
      </c>
    </row>
    <row r="1483" spans="1:28">
      <c r="A1483" s="9">
        <v>1476</v>
      </c>
      <c r="B1483" s="9" t="s">
        <v>1812</v>
      </c>
      <c r="C1483" s="9" t="s">
        <v>1772</v>
      </c>
      <c r="D1483" s="9" t="s">
        <v>652</v>
      </c>
      <c r="E1483" s="9" t="s">
        <v>33</v>
      </c>
      <c r="F1483" s="7" t="s">
        <v>34</v>
      </c>
      <c r="G1483" s="7" t="s">
        <v>69</v>
      </c>
      <c r="H1483" s="7" t="s">
        <v>69</v>
      </c>
      <c r="I1483" s="9">
        <v>170</v>
      </c>
      <c r="J1483" s="9" t="s">
        <v>179</v>
      </c>
      <c r="K1483" s="9" t="s">
        <v>38</v>
      </c>
      <c r="L1483" s="11">
        <v>1</v>
      </c>
      <c r="M1483" s="14">
        <v>16500.0</v>
      </c>
      <c r="N1483" s="14"/>
      <c r="O1483" s="16">
        <f>IF(M1483&gt;0, N1483/M1483, 0)</f>
        <v>0</v>
      </c>
      <c r="P1483" s="14">
        <f>M1483-N1483</f>
        <v>16500</v>
      </c>
      <c r="Q1483" s="14">
        <f>L1483*M1483</f>
        <v>16500</v>
      </c>
      <c r="R1483" s="14">
        <f>L1483*N1483</f>
        <v>0</v>
      </c>
      <c r="S1483" s="14">
        <f>L1483*P1483</f>
        <v>16500</v>
      </c>
      <c r="T1483" s="14"/>
      <c r="U1483" s="14">
        <f>L1483*T1483</f>
        <v>0</v>
      </c>
      <c r="V1483" s="14">
        <f>S1483-U1483</f>
        <v>16500</v>
      </c>
      <c r="W1483" s="16">
        <f>IF(S1483&gt;0, V1483/S1483, 0)</f>
        <v>1</v>
      </c>
      <c r="X1483" s="7" t="s">
        <v>39</v>
      </c>
      <c r="Y1483" s="9" t="s">
        <v>40</v>
      </c>
      <c r="Z1483" s="9" t="s">
        <v>41</v>
      </c>
      <c r="AA1483" s="9" t="s">
        <v>42</v>
      </c>
      <c r="AB1483" s="7" t="s">
        <v>42</v>
      </c>
    </row>
    <row r="1484" spans="1:28">
      <c r="A1484" s="8">
        <v>1477</v>
      </c>
      <c r="B1484" s="8" t="s">
        <v>1813</v>
      </c>
      <c r="C1484" s="8" t="s">
        <v>1772</v>
      </c>
      <c r="D1484" s="8" t="s">
        <v>652</v>
      </c>
      <c r="E1484" s="8" t="s">
        <v>33</v>
      </c>
      <c r="F1484" s="6" t="s">
        <v>34</v>
      </c>
      <c r="G1484" s="6" t="s">
        <v>35</v>
      </c>
      <c r="H1484" s="6" t="s">
        <v>73</v>
      </c>
      <c r="I1484" s="8">
        <v>164</v>
      </c>
      <c r="J1484" s="8" t="s">
        <v>74</v>
      </c>
      <c r="K1484" s="8" t="s">
        <v>38</v>
      </c>
      <c r="L1484" s="10">
        <v>1</v>
      </c>
      <c r="M1484" s="13">
        <v>9000.0</v>
      </c>
      <c r="N1484" s="13"/>
      <c r="O1484" s="15">
        <f>IF(M1484&gt;0, N1484/M1484, 0)</f>
        <v>0</v>
      </c>
      <c r="P1484" s="13">
        <f>M1484-N1484</f>
        <v>9000</v>
      </c>
      <c r="Q1484" s="13">
        <f>L1484*M1484</f>
        <v>9000</v>
      </c>
      <c r="R1484" s="13">
        <f>L1484*N1484</f>
        <v>0</v>
      </c>
      <c r="S1484" s="13">
        <f>L1484*P1484</f>
        <v>9000</v>
      </c>
      <c r="T1484" s="13"/>
      <c r="U1484" s="13">
        <f>L1484*T1484</f>
        <v>0</v>
      </c>
      <c r="V1484" s="13">
        <f>S1484-U1484</f>
        <v>9000</v>
      </c>
      <c r="W1484" s="15">
        <f>IF(S1484&gt;0, V1484/S1484, 0)</f>
        <v>1</v>
      </c>
      <c r="X1484" s="6" t="s">
        <v>39</v>
      </c>
      <c r="Y1484" s="8" t="s">
        <v>40</v>
      </c>
      <c r="Z1484" s="8" t="s">
        <v>41</v>
      </c>
      <c r="AA1484" s="8" t="s">
        <v>42</v>
      </c>
      <c r="AB1484" s="6" t="s">
        <v>42</v>
      </c>
    </row>
    <row r="1485" spans="1:28">
      <c r="A1485" s="9">
        <v>1478</v>
      </c>
      <c r="B1485" s="9" t="s">
        <v>1814</v>
      </c>
      <c r="C1485" s="9" t="s">
        <v>1772</v>
      </c>
      <c r="D1485" s="9" t="s">
        <v>652</v>
      </c>
      <c r="E1485" s="9" t="s">
        <v>33</v>
      </c>
      <c r="F1485" s="7" t="s">
        <v>34</v>
      </c>
      <c r="G1485" s="7" t="s">
        <v>35</v>
      </c>
      <c r="H1485" s="7" t="s">
        <v>36</v>
      </c>
      <c r="I1485" s="9">
        <v>170</v>
      </c>
      <c r="J1485" s="9" t="s">
        <v>142</v>
      </c>
      <c r="K1485" s="9" t="s">
        <v>38</v>
      </c>
      <c r="L1485" s="11">
        <v>2</v>
      </c>
      <c r="M1485" s="14">
        <v>8000.0</v>
      </c>
      <c r="N1485" s="14"/>
      <c r="O1485" s="16">
        <f>IF(M1485&gt;0, N1485/M1485, 0)</f>
        <v>0</v>
      </c>
      <c r="P1485" s="14">
        <f>M1485-N1485</f>
        <v>8000</v>
      </c>
      <c r="Q1485" s="14">
        <f>L1485*M1485</f>
        <v>16000</v>
      </c>
      <c r="R1485" s="14">
        <f>L1485*N1485</f>
        <v>0</v>
      </c>
      <c r="S1485" s="14">
        <f>L1485*P1485</f>
        <v>16000</v>
      </c>
      <c r="T1485" s="14"/>
      <c r="U1485" s="14">
        <f>L1485*T1485</f>
        <v>0</v>
      </c>
      <c r="V1485" s="14">
        <f>S1485-U1485</f>
        <v>16000</v>
      </c>
      <c r="W1485" s="16">
        <f>IF(S1485&gt;0, V1485/S1485, 0)</f>
        <v>1</v>
      </c>
      <c r="X1485" s="7" t="s">
        <v>39</v>
      </c>
      <c r="Y1485" s="9" t="s">
        <v>40</v>
      </c>
      <c r="Z1485" s="9" t="s">
        <v>41</v>
      </c>
      <c r="AA1485" s="9" t="s">
        <v>42</v>
      </c>
      <c r="AB1485" s="7" t="s">
        <v>42</v>
      </c>
    </row>
    <row r="1486" spans="1:28">
      <c r="A1486" s="8">
        <v>1479</v>
      </c>
      <c r="B1486" s="8" t="s">
        <v>1815</v>
      </c>
      <c r="C1486" s="8" t="s">
        <v>1772</v>
      </c>
      <c r="D1486" s="8" t="s">
        <v>652</v>
      </c>
      <c r="E1486" s="8" t="s">
        <v>68</v>
      </c>
      <c r="F1486" s="6" t="s">
        <v>50</v>
      </c>
      <c r="G1486" s="6" t="s">
        <v>56</v>
      </c>
      <c r="H1486" s="6" t="s">
        <v>56</v>
      </c>
      <c r="I1486" s="8">
        <v>128</v>
      </c>
      <c r="J1486" s="8" t="s">
        <v>577</v>
      </c>
      <c r="K1486" s="8" t="s">
        <v>38</v>
      </c>
      <c r="L1486" s="10">
        <v>1</v>
      </c>
      <c r="M1486" s="13">
        <v>8000.0</v>
      </c>
      <c r="N1486" s="13"/>
      <c r="O1486" s="15">
        <f>IF(M1486&gt;0, N1486/M1486, 0)</f>
        <v>0</v>
      </c>
      <c r="P1486" s="13">
        <f>M1486-N1486</f>
        <v>8000</v>
      </c>
      <c r="Q1486" s="13">
        <f>L1486*M1486</f>
        <v>8000</v>
      </c>
      <c r="R1486" s="13">
        <f>L1486*N1486</f>
        <v>0</v>
      </c>
      <c r="S1486" s="13">
        <f>L1486*P1486</f>
        <v>8000</v>
      </c>
      <c r="T1486" s="13"/>
      <c r="U1486" s="13">
        <f>L1486*T1486</f>
        <v>0</v>
      </c>
      <c r="V1486" s="13">
        <f>S1486-U1486</f>
        <v>8000</v>
      </c>
      <c r="W1486" s="15">
        <f>IF(S1486&gt;0, V1486/S1486, 0)</f>
        <v>1</v>
      </c>
      <c r="X1486" s="6" t="s">
        <v>39</v>
      </c>
      <c r="Y1486" s="8" t="s">
        <v>40</v>
      </c>
      <c r="Z1486" s="8" t="s">
        <v>71</v>
      </c>
      <c r="AA1486" s="8" t="s">
        <v>42</v>
      </c>
      <c r="AB1486" s="6" t="s">
        <v>42</v>
      </c>
    </row>
    <row r="1487" spans="1:28">
      <c r="A1487" s="9">
        <v>1480</v>
      </c>
      <c r="B1487" s="9" t="s">
        <v>1816</v>
      </c>
      <c r="C1487" s="9" t="s">
        <v>1772</v>
      </c>
      <c r="D1487" s="9" t="s">
        <v>652</v>
      </c>
      <c r="E1487" s="9" t="s">
        <v>68</v>
      </c>
      <c r="F1487" s="7" t="s">
        <v>50</v>
      </c>
      <c r="G1487" s="7" t="s">
        <v>69</v>
      </c>
      <c r="H1487" s="7" t="s">
        <v>69</v>
      </c>
      <c r="I1487" s="9">
        <v>128</v>
      </c>
      <c r="J1487" s="9" t="s">
        <v>110</v>
      </c>
      <c r="K1487" s="9" t="s">
        <v>38</v>
      </c>
      <c r="L1487" s="11">
        <v>1</v>
      </c>
      <c r="M1487" s="14">
        <v>17000.0</v>
      </c>
      <c r="N1487" s="14"/>
      <c r="O1487" s="16">
        <f>IF(M1487&gt;0, N1487/M1487, 0)</f>
        <v>0</v>
      </c>
      <c r="P1487" s="14">
        <f>M1487-N1487</f>
        <v>17000</v>
      </c>
      <c r="Q1487" s="14">
        <f>L1487*M1487</f>
        <v>17000</v>
      </c>
      <c r="R1487" s="14">
        <f>L1487*N1487</f>
        <v>0</v>
      </c>
      <c r="S1487" s="14">
        <f>L1487*P1487</f>
        <v>17000</v>
      </c>
      <c r="T1487" s="14"/>
      <c r="U1487" s="14">
        <f>L1487*T1487</f>
        <v>0</v>
      </c>
      <c r="V1487" s="14">
        <f>S1487-U1487</f>
        <v>17000</v>
      </c>
      <c r="W1487" s="16">
        <f>IF(S1487&gt;0, V1487/S1487, 0)</f>
        <v>1</v>
      </c>
      <c r="X1487" s="7" t="s">
        <v>39</v>
      </c>
      <c r="Y1487" s="9" t="s">
        <v>40</v>
      </c>
      <c r="Z1487" s="9" t="s">
        <v>71</v>
      </c>
      <c r="AA1487" s="9" t="s">
        <v>42</v>
      </c>
      <c r="AB1487" s="7" t="s">
        <v>42</v>
      </c>
    </row>
    <row r="1488" spans="1:28">
      <c r="A1488" s="8">
        <v>1481</v>
      </c>
      <c r="B1488" s="8" t="s">
        <v>1817</v>
      </c>
      <c r="C1488" s="8" t="s">
        <v>1772</v>
      </c>
      <c r="D1488" s="8" t="s">
        <v>652</v>
      </c>
      <c r="E1488" s="8" t="s">
        <v>68</v>
      </c>
      <c r="F1488" s="6" t="s">
        <v>50</v>
      </c>
      <c r="G1488" s="6" t="s">
        <v>63</v>
      </c>
      <c r="H1488" s="6" t="s">
        <v>148</v>
      </c>
      <c r="I1488" s="8">
        <v>134</v>
      </c>
      <c r="J1488" s="8" t="s">
        <v>246</v>
      </c>
      <c r="K1488" s="8" t="s">
        <v>38</v>
      </c>
      <c r="L1488" s="10">
        <v>1</v>
      </c>
      <c r="M1488" s="13">
        <v>10000.0</v>
      </c>
      <c r="N1488" s="13"/>
      <c r="O1488" s="15">
        <f>IF(M1488&gt;0, N1488/M1488, 0)</f>
        <v>0</v>
      </c>
      <c r="P1488" s="13">
        <f>M1488-N1488</f>
        <v>10000</v>
      </c>
      <c r="Q1488" s="13">
        <f>L1488*M1488</f>
        <v>10000</v>
      </c>
      <c r="R1488" s="13">
        <f>L1488*N1488</f>
        <v>0</v>
      </c>
      <c r="S1488" s="13">
        <f>L1488*P1488</f>
        <v>10000</v>
      </c>
      <c r="T1488" s="13"/>
      <c r="U1488" s="13">
        <f>L1488*T1488</f>
        <v>0</v>
      </c>
      <c r="V1488" s="13">
        <f>S1488-U1488</f>
        <v>10000</v>
      </c>
      <c r="W1488" s="15">
        <f>IF(S1488&gt;0, V1488/S1488, 0)</f>
        <v>1</v>
      </c>
      <c r="X1488" s="6" t="s">
        <v>39</v>
      </c>
      <c r="Y1488" s="8" t="s">
        <v>40</v>
      </c>
      <c r="Z1488" s="8" t="s">
        <v>71</v>
      </c>
      <c r="AA1488" s="8" t="s">
        <v>42</v>
      </c>
      <c r="AB1488" s="6" t="s">
        <v>42</v>
      </c>
    </row>
    <row r="1489" spans="1:28">
      <c r="A1489" s="9">
        <v>1482</v>
      </c>
      <c r="B1489" s="9" t="s">
        <v>1818</v>
      </c>
      <c r="C1489" s="9" t="s">
        <v>1772</v>
      </c>
      <c r="D1489" s="9" t="s">
        <v>652</v>
      </c>
      <c r="E1489" s="9" t="s">
        <v>33</v>
      </c>
      <c r="F1489" s="7" t="s">
        <v>50</v>
      </c>
      <c r="G1489" s="7" t="s">
        <v>45</v>
      </c>
      <c r="H1489" s="7" t="s">
        <v>46</v>
      </c>
      <c r="I1489" s="9">
        <v>134</v>
      </c>
      <c r="J1489" s="9" t="s">
        <v>376</v>
      </c>
      <c r="K1489" s="9" t="s">
        <v>38</v>
      </c>
      <c r="L1489" s="11">
        <v>1</v>
      </c>
      <c r="M1489" s="14">
        <v>18000.0</v>
      </c>
      <c r="N1489" s="14"/>
      <c r="O1489" s="16">
        <f>IF(M1489&gt;0, N1489/M1489, 0)</f>
        <v>0</v>
      </c>
      <c r="P1489" s="14">
        <f>M1489-N1489</f>
        <v>18000</v>
      </c>
      <c r="Q1489" s="14">
        <f>L1489*M1489</f>
        <v>18000</v>
      </c>
      <c r="R1489" s="14">
        <f>L1489*N1489</f>
        <v>0</v>
      </c>
      <c r="S1489" s="14">
        <f>L1489*P1489</f>
        <v>18000</v>
      </c>
      <c r="T1489" s="14"/>
      <c r="U1489" s="14">
        <f>L1489*T1489</f>
        <v>0</v>
      </c>
      <c r="V1489" s="14">
        <f>S1489-U1489</f>
        <v>18000</v>
      </c>
      <c r="W1489" s="16">
        <f>IF(S1489&gt;0, V1489/S1489, 0)</f>
        <v>1</v>
      </c>
      <c r="X1489" s="7" t="s">
        <v>39</v>
      </c>
      <c r="Y1489" s="9" t="s">
        <v>40</v>
      </c>
      <c r="Z1489" s="9" t="s">
        <v>41</v>
      </c>
      <c r="AA1489" s="9" t="s">
        <v>42</v>
      </c>
      <c r="AB1489" s="7" t="s">
        <v>42</v>
      </c>
    </row>
    <row r="1490" spans="1:28">
      <c r="A1490" s="8">
        <v>1483</v>
      </c>
      <c r="B1490" s="8" t="s">
        <v>1819</v>
      </c>
      <c r="C1490" s="8" t="s">
        <v>1772</v>
      </c>
      <c r="D1490" s="8" t="s">
        <v>652</v>
      </c>
      <c r="E1490" s="8" t="s">
        <v>33</v>
      </c>
      <c r="F1490" s="6" t="s">
        <v>50</v>
      </c>
      <c r="G1490" s="6" t="s">
        <v>51</v>
      </c>
      <c r="H1490" s="6" t="s">
        <v>51</v>
      </c>
      <c r="I1490" s="8">
        <v>128</v>
      </c>
      <c r="J1490" s="8" t="s">
        <v>390</v>
      </c>
      <c r="K1490" s="8" t="s">
        <v>53</v>
      </c>
      <c r="L1490" s="10">
        <v>1</v>
      </c>
      <c r="M1490" s="13">
        <v>8000.0</v>
      </c>
      <c r="N1490" s="13"/>
      <c r="O1490" s="15">
        <f>IF(M1490&gt;0, N1490/M1490, 0)</f>
        <v>0</v>
      </c>
      <c r="P1490" s="13">
        <f>M1490-N1490</f>
        <v>8000</v>
      </c>
      <c r="Q1490" s="13">
        <f>L1490*M1490</f>
        <v>8000</v>
      </c>
      <c r="R1490" s="13">
        <f>L1490*N1490</f>
        <v>0</v>
      </c>
      <c r="S1490" s="13">
        <f>L1490*P1490</f>
        <v>8000</v>
      </c>
      <c r="T1490" s="13"/>
      <c r="U1490" s="13">
        <f>L1490*T1490</f>
        <v>0</v>
      </c>
      <c r="V1490" s="13">
        <f>S1490-U1490</f>
        <v>8000</v>
      </c>
      <c r="W1490" s="15">
        <f>IF(S1490&gt;0, V1490/S1490, 0)</f>
        <v>1</v>
      </c>
      <c r="X1490" s="6" t="s">
        <v>39</v>
      </c>
      <c r="Y1490" s="8" t="s">
        <v>40</v>
      </c>
      <c r="Z1490" s="8" t="s">
        <v>41</v>
      </c>
      <c r="AA1490" s="8" t="s">
        <v>42</v>
      </c>
      <c r="AB1490" s="6" t="s">
        <v>42</v>
      </c>
    </row>
    <row r="1491" spans="1:28">
      <c r="A1491" s="9">
        <v>1484</v>
      </c>
      <c r="B1491" s="9" t="s">
        <v>1820</v>
      </c>
      <c r="C1491" s="9" t="s">
        <v>1772</v>
      </c>
      <c r="D1491" s="9" t="s">
        <v>652</v>
      </c>
      <c r="E1491" s="9" t="s">
        <v>33</v>
      </c>
      <c r="F1491" s="7" t="s">
        <v>50</v>
      </c>
      <c r="G1491" s="7" t="s">
        <v>35</v>
      </c>
      <c r="H1491" s="7" t="s">
        <v>73</v>
      </c>
      <c r="I1491" s="9">
        <v>128</v>
      </c>
      <c r="J1491" s="9" t="s">
        <v>185</v>
      </c>
      <c r="K1491" s="9" t="s">
        <v>53</v>
      </c>
      <c r="L1491" s="11">
        <v>1</v>
      </c>
      <c r="M1491" s="14">
        <v>8000.0</v>
      </c>
      <c r="N1491" s="14"/>
      <c r="O1491" s="16">
        <f>IF(M1491&gt;0, N1491/M1491, 0)</f>
        <v>0</v>
      </c>
      <c r="P1491" s="14">
        <f>M1491-N1491</f>
        <v>8000</v>
      </c>
      <c r="Q1491" s="14">
        <f>L1491*M1491</f>
        <v>8000</v>
      </c>
      <c r="R1491" s="14">
        <f>L1491*N1491</f>
        <v>0</v>
      </c>
      <c r="S1491" s="14">
        <f>L1491*P1491</f>
        <v>8000</v>
      </c>
      <c r="T1491" s="14"/>
      <c r="U1491" s="14">
        <f>L1491*T1491</f>
        <v>0</v>
      </c>
      <c r="V1491" s="14">
        <f>S1491-U1491</f>
        <v>8000</v>
      </c>
      <c r="W1491" s="16">
        <f>IF(S1491&gt;0, V1491/S1491, 0)</f>
        <v>1</v>
      </c>
      <c r="X1491" s="7" t="s">
        <v>39</v>
      </c>
      <c r="Y1491" s="9" t="s">
        <v>40</v>
      </c>
      <c r="Z1491" s="9" t="s">
        <v>41</v>
      </c>
      <c r="AA1491" s="9" t="s">
        <v>42</v>
      </c>
      <c r="AB1491" s="7" t="s">
        <v>42</v>
      </c>
    </row>
    <row r="1492" spans="1:28">
      <c r="A1492" s="8">
        <v>1485</v>
      </c>
      <c r="B1492" s="8" t="s">
        <v>1821</v>
      </c>
      <c r="C1492" s="8" t="s">
        <v>1772</v>
      </c>
      <c r="D1492" s="8" t="s">
        <v>652</v>
      </c>
      <c r="E1492" s="8" t="s">
        <v>33</v>
      </c>
      <c r="F1492" s="6" t="s">
        <v>50</v>
      </c>
      <c r="G1492" s="6" t="s">
        <v>35</v>
      </c>
      <c r="H1492" s="6" t="s">
        <v>36</v>
      </c>
      <c r="I1492" s="8">
        <v>128</v>
      </c>
      <c r="J1492" s="8" t="s">
        <v>156</v>
      </c>
      <c r="K1492" s="8" t="s">
        <v>53</v>
      </c>
      <c r="L1492" s="10">
        <v>1</v>
      </c>
      <c r="M1492" s="13">
        <v>7000.0</v>
      </c>
      <c r="N1492" s="13"/>
      <c r="O1492" s="15">
        <f>IF(M1492&gt;0, N1492/M1492, 0)</f>
        <v>0</v>
      </c>
      <c r="P1492" s="13">
        <f>M1492-N1492</f>
        <v>7000</v>
      </c>
      <c r="Q1492" s="13">
        <f>L1492*M1492</f>
        <v>7000</v>
      </c>
      <c r="R1492" s="13">
        <f>L1492*N1492</f>
        <v>0</v>
      </c>
      <c r="S1492" s="13">
        <f>L1492*P1492</f>
        <v>7000</v>
      </c>
      <c r="T1492" s="13"/>
      <c r="U1492" s="13">
        <f>L1492*T1492</f>
        <v>0</v>
      </c>
      <c r="V1492" s="13">
        <f>S1492-U1492</f>
        <v>7000</v>
      </c>
      <c r="W1492" s="15">
        <f>IF(S1492&gt;0, V1492/S1492, 0)</f>
        <v>1</v>
      </c>
      <c r="X1492" s="6" t="s">
        <v>39</v>
      </c>
      <c r="Y1492" s="8" t="s">
        <v>40</v>
      </c>
      <c r="Z1492" s="8" t="s">
        <v>41</v>
      </c>
      <c r="AA1492" s="8" t="s">
        <v>42</v>
      </c>
      <c r="AB1492" s="6" t="s">
        <v>42</v>
      </c>
    </row>
    <row r="1493" spans="1:28">
      <c r="A1493" s="9">
        <v>1486</v>
      </c>
      <c r="B1493" s="9" t="s">
        <v>1822</v>
      </c>
      <c r="C1493" s="9" t="s">
        <v>1823</v>
      </c>
      <c r="D1493" s="9" t="s">
        <v>1824</v>
      </c>
      <c r="E1493" s="9" t="s">
        <v>33</v>
      </c>
      <c r="F1493" s="7" t="s">
        <v>50</v>
      </c>
      <c r="G1493" s="7" t="s">
        <v>35</v>
      </c>
      <c r="H1493" s="7" t="s">
        <v>36</v>
      </c>
      <c r="I1493" s="9">
        <v>146</v>
      </c>
      <c r="J1493" s="9" t="s">
        <v>257</v>
      </c>
      <c r="K1493" s="9" t="s">
        <v>53</v>
      </c>
      <c r="L1493" s="11">
        <v>1</v>
      </c>
      <c r="M1493" s="14">
        <v>7000.0</v>
      </c>
      <c r="N1493" s="14"/>
      <c r="O1493" s="16">
        <f>IF(M1493&gt;0, N1493/M1493, 0)</f>
        <v>0</v>
      </c>
      <c r="P1493" s="14">
        <f>M1493-N1493</f>
        <v>7000</v>
      </c>
      <c r="Q1493" s="14">
        <f>L1493*M1493</f>
        <v>7000</v>
      </c>
      <c r="R1493" s="14">
        <f>L1493*N1493</f>
        <v>0</v>
      </c>
      <c r="S1493" s="14">
        <f>L1493*P1493</f>
        <v>7000</v>
      </c>
      <c r="T1493" s="14"/>
      <c r="U1493" s="14">
        <f>L1493*T1493</f>
        <v>0</v>
      </c>
      <c r="V1493" s="14">
        <f>S1493-U1493</f>
        <v>7000</v>
      </c>
      <c r="W1493" s="16">
        <f>IF(S1493&gt;0, V1493/S1493, 0)</f>
        <v>1</v>
      </c>
      <c r="X1493" s="7" t="s">
        <v>39</v>
      </c>
      <c r="Y1493" s="9" t="s">
        <v>40</v>
      </c>
      <c r="Z1493" s="9" t="s">
        <v>41</v>
      </c>
      <c r="AA1493" s="9" t="s">
        <v>42</v>
      </c>
      <c r="AB1493" s="7" t="s">
        <v>42</v>
      </c>
    </row>
    <row r="1494" spans="1:28">
      <c r="A1494" s="8">
        <v>1487</v>
      </c>
      <c r="B1494" s="8" t="s">
        <v>1825</v>
      </c>
      <c r="C1494" s="8" t="s">
        <v>1823</v>
      </c>
      <c r="D1494" s="8" t="s">
        <v>1824</v>
      </c>
      <c r="E1494" s="8" t="s">
        <v>33</v>
      </c>
      <c r="F1494" s="6" t="s">
        <v>50</v>
      </c>
      <c r="G1494" s="6" t="s">
        <v>35</v>
      </c>
      <c r="H1494" s="6" t="s">
        <v>36</v>
      </c>
      <c r="I1494" s="8">
        <v>152</v>
      </c>
      <c r="J1494" s="8" t="s">
        <v>151</v>
      </c>
      <c r="K1494" s="8" t="s">
        <v>53</v>
      </c>
      <c r="L1494" s="10">
        <v>1</v>
      </c>
      <c r="M1494" s="13">
        <v>7000.0</v>
      </c>
      <c r="N1494" s="13"/>
      <c r="O1494" s="15">
        <f>IF(M1494&gt;0, N1494/M1494, 0)</f>
        <v>0</v>
      </c>
      <c r="P1494" s="13">
        <f>M1494-N1494</f>
        <v>7000</v>
      </c>
      <c r="Q1494" s="13">
        <f>L1494*M1494</f>
        <v>7000</v>
      </c>
      <c r="R1494" s="13">
        <f>L1494*N1494</f>
        <v>0</v>
      </c>
      <c r="S1494" s="13">
        <f>L1494*P1494</f>
        <v>7000</v>
      </c>
      <c r="T1494" s="13"/>
      <c r="U1494" s="13">
        <f>L1494*T1494</f>
        <v>0</v>
      </c>
      <c r="V1494" s="13">
        <f>S1494-U1494</f>
        <v>7000</v>
      </c>
      <c r="W1494" s="15">
        <f>IF(S1494&gt;0, V1494/S1494, 0)</f>
        <v>1</v>
      </c>
      <c r="X1494" s="6" t="s">
        <v>39</v>
      </c>
      <c r="Y1494" s="8" t="s">
        <v>40</v>
      </c>
      <c r="Z1494" s="8" t="s">
        <v>41</v>
      </c>
      <c r="AA1494" s="8" t="s">
        <v>42</v>
      </c>
      <c r="AB1494" s="6" t="s">
        <v>42</v>
      </c>
    </row>
    <row r="1495" spans="1:28">
      <c r="A1495" s="9">
        <v>1488</v>
      </c>
      <c r="B1495" s="9" t="s">
        <v>1826</v>
      </c>
      <c r="C1495" s="9" t="s">
        <v>1823</v>
      </c>
      <c r="D1495" s="9" t="s">
        <v>1824</v>
      </c>
      <c r="E1495" s="9" t="s">
        <v>33</v>
      </c>
      <c r="F1495" s="7" t="s">
        <v>34</v>
      </c>
      <c r="G1495" s="7" t="s">
        <v>69</v>
      </c>
      <c r="H1495" s="7" t="s">
        <v>69</v>
      </c>
      <c r="I1495" s="9">
        <v>170</v>
      </c>
      <c r="J1495" s="9" t="s">
        <v>179</v>
      </c>
      <c r="K1495" s="9" t="s">
        <v>38</v>
      </c>
      <c r="L1495" s="11">
        <v>1</v>
      </c>
      <c r="M1495" s="14">
        <v>16500.0</v>
      </c>
      <c r="N1495" s="14"/>
      <c r="O1495" s="16">
        <f>IF(M1495&gt;0, N1495/M1495, 0)</f>
        <v>0</v>
      </c>
      <c r="P1495" s="14">
        <f>M1495-N1495</f>
        <v>16500</v>
      </c>
      <c r="Q1495" s="14">
        <f>L1495*M1495</f>
        <v>16500</v>
      </c>
      <c r="R1495" s="14">
        <f>L1495*N1495</f>
        <v>0</v>
      </c>
      <c r="S1495" s="14">
        <f>L1495*P1495</f>
        <v>16500</v>
      </c>
      <c r="T1495" s="14"/>
      <c r="U1495" s="14">
        <f>L1495*T1495</f>
        <v>0</v>
      </c>
      <c r="V1495" s="14">
        <f>S1495-U1495</f>
        <v>16500</v>
      </c>
      <c r="W1495" s="16">
        <f>IF(S1495&gt;0, V1495/S1495, 0)</f>
        <v>1</v>
      </c>
      <c r="X1495" s="7" t="s">
        <v>39</v>
      </c>
      <c r="Y1495" s="9" t="s">
        <v>40</v>
      </c>
      <c r="Z1495" s="9" t="s">
        <v>41</v>
      </c>
      <c r="AA1495" s="9" t="s">
        <v>42</v>
      </c>
      <c r="AB1495" s="7" t="s">
        <v>42</v>
      </c>
    </row>
    <row r="1496" spans="1:28">
      <c r="A1496" s="8">
        <v>1489</v>
      </c>
      <c r="B1496" s="8" t="s">
        <v>1827</v>
      </c>
      <c r="C1496" s="8" t="s">
        <v>1823</v>
      </c>
      <c r="D1496" s="8" t="s">
        <v>1824</v>
      </c>
      <c r="E1496" s="8" t="s">
        <v>33</v>
      </c>
      <c r="F1496" s="6" t="s">
        <v>34</v>
      </c>
      <c r="G1496" s="6" t="s">
        <v>35</v>
      </c>
      <c r="H1496" s="6" t="s">
        <v>73</v>
      </c>
      <c r="I1496" s="8">
        <v>170</v>
      </c>
      <c r="J1496" s="8" t="s">
        <v>648</v>
      </c>
      <c r="K1496" s="8" t="s">
        <v>38</v>
      </c>
      <c r="L1496" s="10">
        <v>1</v>
      </c>
      <c r="M1496" s="13">
        <v>9000.0</v>
      </c>
      <c r="N1496" s="13"/>
      <c r="O1496" s="15">
        <f>IF(M1496&gt;0, N1496/M1496, 0)</f>
        <v>0</v>
      </c>
      <c r="P1496" s="13">
        <f>M1496-N1496</f>
        <v>9000</v>
      </c>
      <c r="Q1496" s="13">
        <f>L1496*M1496</f>
        <v>9000</v>
      </c>
      <c r="R1496" s="13">
        <f>L1496*N1496</f>
        <v>0</v>
      </c>
      <c r="S1496" s="13">
        <f>L1496*P1496</f>
        <v>9000</v>
      </c>
      <c r="T1496" s="13"/>
      <c r="U1496" s="13">
        <f>L1496*T1496</f>
        <v>0</v>
      </c>
      <c r="V1496" s="13">
        <f>S1496-U1496</f>
        <v>9000</v>
      </c>
      <c r="W1496" s="15">
        <f>IF(S1496&gt;0, V1496/S1496, 0)</f>
        <v>1</v>
      </c>
      <c r="X1496" s="6" t="s">
        <v>39</v>
      </c>
      <c r="Y1496" s="8" t="s">
        <v>40</v>
      </c>
      <c r="Z1496" s="8" t="s">
        <v>41</v>
      </c>
      <c r="AA1496" s="8" t="s">
        <v>42</v>
      </c>
      <c r="AB1496" s="6" t="s">
        <v>42</v>
      </c>
    </row>
    <row r="1497" spans="1:28">
      <c r="A1497" s="9">
        <v>1490</v>
      </c>
      <c r="B1497" s="9" t="s">
        <v>1828</v>
      </c>
      <c r="C1497" s="9" t="s">
        <v>1823</v>
      </c>
      <c r="D1497" s="9" t="s">
        <v>1824</v>
      </c>
      <c r="E1497" s="9" t="s">
        <v>33</v>
      </c>
      <c r="F1497" s="7" t="s">
        <v>34</v>
      </c>
      <c r="G1497" s="7" t="s">
        <v>35</v>
      </c>
      <c r="H1497" s="7" t="s">
        <v>36</v>
      </c>
      <c r="I1497" s="9">
        <v>170</v>
      </c>
      <c r="J1497" s="9" t="s">
        <v>142</v>
      </c>
      <c r="K1497" s="9" t="s">
        <v>38</v>
      </c>
      <c r="L1497" s="11">
        <v>2</v>
      </c>
      <c r="M1497" s="14">
        <v>8000.0</v>
      </c>
      <c r="N1497" s="14"/>
      <c r="O1497" s="16">
        <f>IF(M1497&gt;0, N1497/M1497, 0)</f>
        <v>0</v>
      </c>
      <c r="P1497" s="14">
        <f>M1497-N1497</f>
        <v>8000</v>
      </c>
      <c r="Q1497" s="14">
        <f>L1497*M1497</f>
        <v>16000</v>
      </c>
      <c r="R1497" s="14">
        <f>L1497*N1497</f>
        <v>0</v>
      </c>
      <c r="S1497" s="14">
        <f>L1497*P1497</f>
        <v>16000</v>
      </c>
      <c r="T1497" s="14"/>
      <c r="U1497" s="14">
        <f>L1497*T1497</f>
        <v>0</v>
      </c>
      <c r="V1497" s="14">
        <f>S1497-U1497</f>
        <v>16000</v>
      </c>
      <c r="W1497" s="16">
        <f>IF(S1497&gt;0, V1497/S1497, 0)</f>
        <v>1</v>
      </c>
      <c r="X1497" s="7" t="s">
        <v>39</v>
      </c>
      <c r="Y1497" s="9" t="s">
        <v>40</v>
      </c>
      <c r="Z1497" s="9" t="s">
        <v>41</v>
      </c>
      <c r="AA1497" s="9" t="s">
        <v>42</v>
      </c>
      <c r="AB1497" s="7" t="s">
        <v>42</v>
      </c>
    </row>
    <row r="1498" spans="1:28">
      <c r="A1498" s="8">
        <v>1491</v>
      </c>
      <c r="B1498" s="8" t="s">
        <v>1829</v>
      </c>
      <c r="C1498" s="8" t="s">
        <v>1823</v>
      </c>
      <c r="D1498" s="8" t="s">
        <v>1824</v>
      </c>
      <c r="E1498" s="8" t="s">
        <v>33</v>
      </c>
      <c r="F1498" s="6" t="s">
        <v>50</v>
      </c>
      <c r="G1498" s="6" t="s">
        <v>51</v>
      </c>
      <c r="H1498" s="6" t="s">
        <v>51</v>
      </c>
      <c r="I1498" s="8">
        <v>140</v>
      </c>
      <c r="J1498" s="8" t="s">
        <v>279</v>
      </c>
      <c r="K1498" s="8" t="s">
        <v>53</v>
      </c>
      <c r="L1498" s="10">
        <v>2</v>
      </c>
      <c r="M1498" s="13">
        <v>8000.0</v>
      </c>
      <c r="N1498" s="13"/>
      <c r="O1498" s="15">
        <f>IF(M1498&gt;0, N1498/M1498, 0)</f>
        <v>0</v>
      </c>
      <c r="P1498" s="13">
        <f>M1498-N1498</f>
        <v>8000</v>
      </c>
      <c r="Q1498" s="13">
        <f>L1498*M1498</f>
        <v>16000</v>
      </c>
      <c r="R1498" s="13">
        <f>L1498*N1498</f>
        <v>0</v>
      </c>
      <c r="S1498" s="13">
        <f>L1498*P1498</f>
        <v>16000</v>
      </c>
      <c r="T1498" s="13"/>
      <c r="U1498" s="13">
        <f>L1498*T1498</f>
        <v>0</v>
      </c>
      <c r="V1498" s="13">
        <f>S1498-U1498</f>
        <v>16000</v>
      </c>
      <c r="W1498" s="15">
        <f>IF(S1498&gt;0, V1498/S1498, 0)</f>
        <v>1</v>
      </c>
      <c r="X1498" s="6" t="s">
        <v>39</v>
      </c>
      <c r="Y1498" s="8" t="s">
        <v>40</v>
      </c>
      <c r="Z1498" s="8" t="s">
        <v>41</v>
      </c>
      <c r="AA1498" s="8" t="s">
        <v>42</v>
      </c>
      <c r="AB1498" s="6" t="s">
        <v>42</v>
      </c>
    </row>
    <row r="1499" spans="1:28">
      <c r="A1499" s="9">
        <v>1492</v>
      </c>
      <c r="B1499" s="9" t="s">
        <v>1830</v>
      </c>
      <c r="C1499" s="9" t="s">
        <v>1823</v>
      </c>
      <c r="D1499" s="9" t="s">
        <v>1824</v>
      </c>
      <c r="E1499" s="9" t="s">
        <v>33</v>
      </c>
      <c r="F1499" s="7" t="s">
        <v>50</v>
      </c>
      <c r="G1499" s="7" t="s">
        <v>35</v>
      </c>
      <c r="H1499" s="7" t="s">
        <v>36</v>
      </c>
      <c r="I1499" s="9">
        <v>140</v>
      </c>
      <c r="J1499" s="9" t="s">
        <v>223</v>
      </c>
      <c r="K1499" s="9" t="s">
        <v>53</v>
      </c>
      <c r="L1499" s="11">
        <v>3</v>
      </c>
      <c r="M1499" s="14">
        <v>7000.0</v>
      </c>
      <c r="N1499" s="14"/>
      <c r="O1499" s="16">
        <f>IF(M1499&gt;0, N1499/M1499, 0)</f>
        <v>0</v>
      </c>
      <c r="P1499" s="14">
        <f>M1499-N1499</f>
        <v>7000</v>
      </c>
      <c r="Q1499" s="14">
        <f>L1499*M1499</f>
        <v>21000</v>
      </c>
      <c r="R1499" s="14">
        <f>L1499*N1499</f>
        <v>0</v>
      </c>
      <c r="S1499" s="14">
        <f>L1499*P1499</f>
        <v>21000</v>
      </c>
      <c r="T1499" s="14"/>
      <c r="U1499" s="14">
        <f>L1499*T1499</f>
        <v>0</v>
      </c>
      <c r="V1499" s="14">
        <f>S1499-U1499</f>
        <v>21000</v>
      </c>
      <c r="W1499" s="16">
        <f>IF(S1499&gt;0, V1499/S1499, 0)</f>
        <v>1</v>
      </c>
      <c r="X1499" s="7" t="s">
        <v>39</v>
      </c>
      <c r="Y1499" s="9" t="s">
        <v>40</v>
      </c>
      <c r="Z1499" s="9" t="s">
        <v>41</v>
      </c>
      <c r="AA1499" s="9" t="s">
        <v>42</v>
      </c>
      <c r="AB1499" s="7" t="s">
        <v>42</v>
      </c>
    </row>
    <row r="1500" spans="1:28">
      <c r="A1500" s="8">
        <v>1493</v>
      </c>
      <c r="B1500" s="8" t="s">
        <v>1831</v>
      </c>
      <c r="C1500" s="8" t="s">
        <v>1823</v>
      </c>
      <c r="D1500" s="8" t="s">
        <v>1824</v>
      </c>
      <c r="E1500" s="8" t="s">
        <v>33</v>
      </c>
      <c r="F1500" s="6" t="s">
        <v>50</v>
      </c>
      <c r="G1500" s="6" t="s">
        <v>51</v>
      </c>
      <c r="H1500" s="6" t="s">
        <v>51</v>
      </c>
      <c r="I1500" s="8">
        <v>140</v>
      </c>
      <c r="J1500" s="8" t="s">
        <v>279</v>
      </c>
      <c r="K1500" s="8" t="s">
        <v>53</v>
      </c>
      <c r="L1500" s="10">
        <v>2</v>
      </c>
      <c r="M1500" s="13">
        <v>8000.0</v>
      </c>
      <c r="N1500" s="13"/>
      <c r="O1500" s="15">
        <f>IF(M1500&gt;0, N1500/M1500, 0)</f>
        <v>0</v>
      </c>
      <c r="P1500" s="13">
        <f>M1500-N1500</f>
        <v>8000</v>
      </c>
      <c r="Q1500" s="13">
        <f>L1500*M1500</f>
        <v>16000</v>
      </c>
      <c r="R1500" s="13">
        <f>L1500*N1500</f>
        <v>0</v>
      </c>
      <c r="S1500" s="13">
        <f>L1500*P1500</f>
        <v>16000</v>
      </c>
      <c r="T1500" s="13"/>
      <c r="U1500" s="13">
        <f>L1500*T1500</f>
        <v>0</v>
      </c>
      <c r="V1500" s="13">
        <f>S1500-U1500</f>
        <v>16000</v>
      </c>
      <c r="W1500" s="15">
        <f>IF(S1500&gt;0, V1500/S1500, 0)</f>
        <v>1</v>
      </c>
      <c r="X1500" s="6" t="s">
        <v>39</v>
      </c>
      <c r="Y1500" s="8" t="s">
        <v>40</v>
      </c>
      <c r="Z1500" s="8" t="s">
        <v>41</v>
      </c>
      <c r="AA1500" s="8" t="s">
        <v>42</v>
      </c>
      <c r="AB1500" s="6" t="s">
        <v>42</v>
      </c>
    </row>
    <row r="1501" spans="1:28">
      <c r="A1501" s="9">
        <v>1494</v>
      </c>
      <c r="B1501" s="9" t="s">
        <v>1832</v>
      </c>
      <c r="C1501" s="9" t="s">
        <v>1823</v>
      </c>
      <c r="D1501" s="9" t="s">
        <v>1824</v>
      </c>
      <c r="E1501" s="9" t="s">
        <v>33</v>
      </c>
      <c r="F1501" s="7" t="s">
        <v>50</v>
      </c>
      <c r="G1501" s="7" t="s">
        <v>35</v>
      </c>
      <c r="H1501" s="7" t="s">
        <v>36</v>
      </c>
      <c r="I1501" s="9">
        <v>146</v>
      </c>
      <c r="J1501" s="9" t="s">
        <v>257</v>
      </c>
      <c r="K1501" s="9" t="s">
        <v>53</v>
      </c>
      <c r="L1501" s="11">
        <v>3</v>
      </c>
      <c r="M1501" s="14">
        <v>7000.0</v>
      </c>
      <c r="N1501" s="14"/>
      <c r="O1501" s="16">
        <f>IF(M1501&gt;0, N1501/M1501, 0)</f>
        <v>0</v>
      </c>
      <c r="P1501" s="14">
        <f>M1501-N1501</f>
        <v>7000</v>
      </c>
      <c r="Q1501" s="14">
        <f>L1501*M1501</f>
        <v>21000</v>
      </c>
      <c r="R1501" s="14">
        <f>L1501*N1501</f>
        <v>0</v>
      </c>
      <c r="S1501" s="14">
        <f>L1501*P1501</f>
        <v>21000</v>
      </c>
      <c r="T1501" s="14"/>
      <c r="U1501" s="14">
        <f>L1501*T1501</f>
        <v>0</v>
      </c>
      <c r="V1501" s="14">
        <f>S1501-U1501</f>
        <v>21000</v>
      </c>
      <c r="W1501" s="16">
        <f>IF(S1501&gt;0, V1501/S1501, 0)</f>
        <v>1</v>
      </c>
      <c r="X1501" s="7" t="s">
        <v>39</v>
      </c>
      <c r="Y1501" s="9" t="s">
        <v>40</v>
      </c>
      <c r="Z1501" s="9" t="s">
        <v>41</v>
      </c>
      <c r="AA1501" s="9" t="s">
        <v>42</v>
      </c>
      <c r="AB1501" s="7" t="s">
        <v>42</v>
      </c>
    </row>
    <row r="1502" spans="1:28">
      <c r="A1502" s="8">
        <v>1495</v>
      </c>
      <c r="B1502" s="8" t="s">
        <v>1833</v>
      </c>
      <c r="C1502" s="8" t="s">
        <v>1823</v>
      </c>
      <c r="D1502" s="8" t="s">
        <v>1824</v>
      </c>
      <c r="E1502" s="8" t="s">
        <v>68</v>
      </c>
      <c r="F1502" s="6" t="s">
        <v>34</v>
      </c>
      <c r="G1502" s="6" t="s">
        <v>69</v>
      </c>
      <c r="H1502" s="6" t="s">
        <v>69</v>
      </c>
      <c r="I1502" s="8">
        <v>140</v>
      </c>
      <c r="J1502" s="8" t="s">
        <v>1834</v>
      </c>
      <c r="K1502" s="8" t="s">
        <v>38</v>
      </c>
      <c r="L1502" s="10">
        <v>3</v>
      </c>
      <c r="M1502" s="13">
        <v>17000.0</v>
      </c>
      <c r="N1502" s="13"/>
      <c r="O1502" s="15">
        <f>IF(M1502&gt;0, N1502/M1502, 0)</f>
        <v>0</v>
      </c>
      <c r="P1502" s="13">
        <f>M1502-N1502</f>
        <v>17000</v>
      </c>
      <c r="Q1502" s="13">
        <f>L1502*M1502</f>
        <v>51000</v>
      </c>
      <c r="R1502" s="13">
        <f>L1502*N1502</f>
        <v>0</v>
      </c>
      <c r="S1502" s="13">
        <f>L1502*P1502</f>
        <v>51000</v>
      </c>
      <c r="T1502" s="13"/>
      <c r="U1502" s="13">
        <f>L1502*T1502</f>
        <v>0</v>
      </c>
      <c r="V1502" s="13">
        <f>S1502-U1502</f>
        <v>51000</v>
      </c>
      <c r="W1502" s="15">
        <f>IF(S1502&gt;0, V1502/S1502, 0)</f>
        <v>1</v>
      </c>
      <c r="X1502" s="6" t="s">
        <v>39</v>
      </c>
      <c r="Y1502" s="8" t="s">
        <v>40</v>
      </c>
      <c r="Z1502" s="8" t="s">
        <v>1233</v>
      </c>
      <c r="AA1502" s="8" t="s">
        <v>42</v>
      </c>
      <c r="AB1502" s="6" t="s">
        <v>42</v>
      </c>
    </row>
    <row r="1503" spans="1:28">
      <c r="A1503" s="9">
        <v>1496</v>
      </c>
      <c r="B1503" s="9" t="s">
        <v>1835</v>
      </c>
      <c r="C1503" s="9" t="s">
        <v>1823</v>
      </c>
      <c r="D1503" s="9" t="s">
        <v>1824</v>
      </c>
      <c r="E1503" s="9" t="s">
        <v>68</v>
      </c>
      <c r="F1503" s="7" t="s">
        <v>34</v>
      </c>
      <c r="G1503" s="7" t="s">
        <v>69</v>
      </c>
      <c r="H1503" s="7" t="s">
        <v>69</v>
      </c>
      <c r="I1503" s="9">
        <v>146</v>
      </c>
      <c r="J1503" s="9" t="s">
        <v>264</v>
      </c>
      <c r="K1503" s="9" t="s">
        <v>38</v>
      </c>
      <c r="L1503" s="11">
        <v>1</v>
      </c>
      <c r="M1503" s="14">
        <v>17000.0</v>
      </c>
      <c r="N1503" s="14"/>
      <c r="O1503" s="16">
        <f>IF(M1503&gt;0, N1503/M1503, 0)</f>
        <v>0</v>
      </c>
      <c r="P1503" s="14">
        <f>M1503-N1503</f>
        <v>17000</v>
      </c>
      <c r="Q1503" s="14">
        <f>L1503*M1503</f>
        <v>17000</v>
      </c>
      <c r="R1503" s="14">
        <f>L1503*N1503</f>
        <v>0</v>
      </c>
      <c r="S1503" s="14">
        <f>L1503*P1503</f>
        <v>17000</v>
      </c>
      <c r="T1503" s="14"/>
      <c r="U1503" s="14">
        <f>L1503*T1503</f>
        <v>0</v>
      </c>
      <c r="V1503" s="14">
        <f>S1503-U1503</f>
        <v>17000</v>
      </c>
      <c r="W1503" s="16">
        <f>IF(S1503&gt;0, V1503/S1503, 0)</f>
        <v>1</v>
      </c>
      <c r="X1503" s="7" t="s">
        <v>39</v>
      </c>
      <c r="Y1503" s="9" t="s">
        <v>40</v>
      </c>
      <c r="Z1503" s="9" t="s">
        <v>1233</v>
      </c>
      <c r="AA1503" s="9" t="s">
        <v>42</v>
      </c>
      <c r="AB1503" s="7" t="s">
        <v>42</v>
      </c>
    </row>
    <row r="1504" spans="1:28">
      <c r="A1504" s="8">
        <v>1497</v>
      </c>
      <c r="B1504" s="8" t="s">
        <v>1836</v>
      </c>
      <c r="C1504" s="8" t="s">
        <v>1837</v>
      </c>
      <c r="D1504" s="8" t="s">
        <v>1824</v>
      </c>
      <c r="E1504" s="8" t="s">
        <v>33</v>
      </c>
      <c r="F1504" s="6" t="s">
        <v>34</v>
      </c>
      <c r="G1504" s="6" t="s">
        <v>69</v>
      </c>
      <c r="H1504" s="6" t="s">
        <v>69</v>
      </c>
      <c r="I1504" s="8">
        <v>158</v>
      </c>
      <c r="J1504" s="8" t="s">
        <v>260</v>
      </c>
      <c r="K1504" s="8" t="s">
        <v>38</v>
      </c>
      <c r="L1504" s="10">
        <v>1</v>
      </c>
      <c r="M1504" s="13">
        <v>16500.0</v>
      </c>
      <c r="N1504" s="13"/>
      <c r="O1504" s="15">
        <f>IF(M1504&gt;0, N1504/M1504, 0)</f>
        <v>0</v>
      </c>
      <c r="P1504" s="13">
        <f>M1504-N1504</f>
        <v>16500</v>
      </c>
      <c r="Q1504" s="13">
        <f>L1504*M1504</f>
        <v>16500</v>
      </c>
      <c r="R1504" s="13">
        <f>L1504*N1504</f>
        <v>0</v>
      </c>
      <c r="S1504" s="13">
        <f>L1504*P1504</f>
        <v>16500</v>
      </c>
      <c r="T1504" s="13"/>
      <c r="U1504" s="13">
        <f>L1504*T1504</f>
        <v>0</v>
      </c>
      <c r="V1504" s="13">
        <f>S1504-U1504</f>
        <v>16500</v>
      </c>
      <c r="W1504" s="15">
        <f>IF(S1504&gt;0, V1504/S1504, 0)</f>
        <v>1</v>
      </c>
      <c r="X1504" s="6" t="s">
        <v>39</v>
      </c>
      <c r="Y1504" s="8" t="s">
        <v>40</v>
      </c>
      <c r="Z1504" s="8" t="s">
        <v>41</v>
      </c>
      <c r="AA1504" s="8" t="s">
        <v>42</v>
      </c>
      <c r="AB1504" s="6" t="s">
        <v>42</v>
      </c>
    </row>
    <row r="1505" spans="1:28">
      <c r="A1505" s="9">
        <v>1498</v>
      </c>
      <c r="B1505" s="9" t="s">
        <v>1838</v>
      </c>
      <c r="C1505" s="9" t="s">
        <v>1837</v>
      </c>
      <c r="D1505" s="9" t="s">
        <v>1824</v>
      </c>
      <c r="E1505" s="9" t="s">
        <v>33</v>
      </c>
      <c r="F1505" s="7" t="s">
        <v>34</v>
      </c>
      <c r="G1505" s="7" t="s">
        <v>56</v>
      </c>
      <c r="H1505" s="7" t="s">
        <v>56</v>
      </c>
      <c r="I1505" s="9">
        <v>152</v>
      </c>
      <c r="J1505" s="9" t="s">
        <v>329</v>
      </c>
      <c r="K1505" s="9" t="s">
        <v>38</v>
      </c>
      <c r="L1505" s="11">
        <v>1</v>
      </c>
      <c r="M1505" s="14">
        <v>7500.0</v>
      </c>
      <c r="N1505" s="14"/>
      <c r="O1505" s="16">
        <f>IF(M1505&gt;0, N1505/M1505, 0)</f>
        <v>0</v>
      </c>
      <c r="P1505" s="14">
        <f>M1505-N1505</f>
        <v>7500</v>
      </c>
      <c r="Q1505" s="14">
        <f>L1505*M1505</f>
        <v>7500</v>
      </c>
      <c r="R1505" s="14">
        <f>L1505*N1505</f>
        <v>0</v>
      </c>
      <c r="S1505" s="14">
        <f>L1505*P1505</f>
        <v>7500</v>
      </c>
      <c r="T1505" s="14"/>
      <c r="U1505" s="14">
        <f>L1505*T1505</f>
        <v>0</v>
      </c>
      <c r="V1505" s="14">
        <f>S1505-U1505</f>
        <v>7500</v>
      </c>
      <c r="W1505" s="16">
        <f>IF(S1505&gt;0, V1505/S1505, 0)</f>
        <v>1</v>
      </c>
      <c r="X1505" s="7" t="s">
        <v>39</v>
      </c>
      <c r="Y1505" s="9" t="s">
        <v>40</v>
      </c>
      <c r="Z1505" s="9" t="s">
        <v>41</v>
      </c>
      <c r="AA1505" s="9" t="s">
        <v>42</v>
      </c>
      <c r="AB1505" s="7" t="s">
        <v>42</v>
      </c>
    </row>
    <row r="1506" spans="1:28">
      <c r="A1506" s="8">
        <v>1499</v>
      </c>
      <c r="B1506" s="8" t="s">
        <v>1839</v>
      </c>
      <c r="C1506" s="8" t="s">
        <v>1837</v>
      </c>
      <c r="D1506" s="8" t="s">
        <v>1824</v>
      </c>
      <c r="E1506" s="8" t="s">
        <v>68</v>
      </c>
      <c r="F1506" s="6" t="s">
        <v>34</v>
      </c>
      <c r="G1506" s="6" t="s">
        <v>35</v>
      </c>
      <c r="H1506" s="6" t="s">
        <v>73</v>
      </c>
      <c r="I1506" s="8">
        <v>158</v>
      </c>
      <c r="J1506" s="8" t="s">
        <v>291</v>
      </c>
      <c r="K1506" s="8" t="s">
        <v>38</v>
      </c>
      <c r="L1506" s="10">
        <v>1</v>
      </c>
      <c r="M1506" s="13">
        <v>9000.0</v>
      </c>
      <c r="N1506" s="13"/>
      <c r="O1506" s="15">
        <f>IF(M1506&gt;0, N1506/M1506, 0)</f>
        <v>0</v>
      </c>
      <c r="P1506" s="13">
        <f>M1506-N1506</f>
        <v>9000</v>
      </c>
      <c r="Q1506" s="13">
        <f>L1506*M1506</f>
        <v>9000</v>
      </c>
      <c r="R1506" s="13">
        <f>L1506*N1506</f>
        <v>0</v>
      </c>
      <c r="S1506" s="13">
        <f>L1506*P1506</f>
        <v>9000</v>
      </c>
      <c r="T1506" s="13"/>
      <c r="U1506" s="13">
        <f>L1506*T1506</f>
        <v>0</v>
      </c>
      <c r="V1506" s="13">
        <f>S1506-U1506</f>
        <v>9000</v>
      </c>
      <c r="W1506" s="15">
        <f>IF(S1506&gt;0, V1506/S1506, 0)</f>
        <v>1</v>
      </c>
      <c r="X1506" s="6" t="s">
        <v>39</v>
      </c>
      <c r="Y1506" s="8" t="s">
        <v>40</v>
      </c>
      <c r="Z1506" s="8" t="s">
        <v>71</v>
      </c>
      <c r="AA1506" s="8" t="s">
        <v>42</v>
      </c>
      <c r="AB1506" s="6" t="s">
        <v>42</v>
      </c>
    </row>
    <row r="1507" spans="1:28">
      <c r="A1507" s="9">
        <v>1500</v>
      </c>
      <c r="B1507" s="9" t="s">
        <v>1840</v>
      </c>
      <c r="C1507" s="9" t="s">
        <v>1837</v>
      </c>
      <c r="D1507" s="9" t="s">
        <v>1824</v>
      </c>
      <c r="E1507" s="9" t="s">
        <v>33</v>
      </c>
      <c r="F1507" s="7" t="s">
        <v>34</v>
      </c>
      <c r="G1507" s="7" t="s">
        <v>45</v>
      </c>
      <c r="H1507" s="7" t="s">
        <v>46</v>
      </c>
      <c r="I1507" s="9">
        <v>164</v>
      </c>
      <c r="J1507" s="9" t="s">
        <v>318</v>
      </c>
      <c r="K1507" s="9" t="s">
        <v>38</v>
      </c>
      <c r="L1507" s="11">
        <v>1</v>
      </c>
      <c r="M1507" s="14">
        <v>18000.0</v>
      </c>
      <c r="N1507" s="14"/>
      <c r="O1507" s="16">
        <f>IF(M1507&gt;0, N1507/M1507, 0)</f>
        <v>0</v>
      </c>
      <c r="P1507" s="14">
        <f>M1507-N1507</f>
        <v>18000</v>
      </c>
      <c r="Q1507" s="14">
        <f>L1507*M1507</f>
        <v>18000</v>
      </c>
      <c r="R1507" s="14">
        <f>L1507*N1507</f>
        <v>0</v>
      </c>
      <c r="S1507" s="14">
        <f>L1507*P1507</f>
        <v>18000</v>
      </c>
      <c r="T1507" s="14"/>
      <c r="U1507" s="14">
        <f>L1507*T1507</f>
        <v>0</v>
      </c>
      <c r="V1507" s="14">
        <f>S1507-U1507</f>
        <v>18000</v>
      </c>
      <c r="W1507" s="16">
        <f>IF(S1507&gt;0, V1507/S1507, 0)</f>
        <v>1</v>
      </c>
      <c r="X1507" s="7" t="s">
        <v>39</v>
      </c>
      <c r="Y1507" s="9" t="s">
        <v>40</v>
      </c>
      <c r="Z1507" s="9" t="s">
        <v>41</v>
      </c>
      <c r="AA1507" s="9" t="s">
        <v>42</v>
      </c>
      <c r="AB1507" s="7" t="s">
        <v>42</v>
      </c>
    </row>
    <row r="1508" spans="1:28">
      <c r="A1508" s="8">
        <v>1501</v>
      </c>
      <c r="B1508" s="8" t="s">
        <v>1841</v>
      </c>
      <c r="C1508" s="8" t="s">
        <v>1837</v>
      </c>
      <c r="D1508" s="8" t="s">
        <v>1824</v>
      </c>
      <c r="E1508" s="8" t="s">
        <v>33</v>
      </c>
      <c r="F1508" s="6" t="s">
        <v>34</v>
      </c>
      <c r="G1508" s="6" t="s">
        <v>63</v>
      </c>
      <c r="H1508" s="6" t="s">
        <v>148</v>
      </c>
      <c r="I1508" s="8">
        <v>164</v>
      </c>
      <c r="J1508" s="8" t="s">
        <v>365</v>
      </c>
      <c r="K1508" s="8" t="s">
        <v>38</v>
      </c>
      <c r="L1508" s="10">
        <v>1</v>
      </c>
      <c r="M1508" s="13">
        <v>9500.0</v>
      </c>
      <c r="N1508" s="13"/>
      <c r="O1508" s="15">
        <f>IF(M1508&gt;0, N1508/M1508, 0)</f>
        <v>0</v>
      </c>
      <c r="P1508" s="13">
        <f>M1508-N1508</f>
        <v>9500</v>
      </c>
      <c r="Q1508" s="13">
        <f>L1508*M1508</f>
        <v>9500</v>
      </c>
      <c r="R1508" s="13">
        <f>L1508*N1508</f>
        <v>0</v>
      </c>
      <c r="S1508" s="13">
        <f>L1508*P1508</f>
        <v>9500</v>
      </c>
      <c r="T1508" s="13"/>
      <c r="U1508" s="13">
        <f>L1508*T1508</f>
        <v>0</v>
      </c>
      <c r="V1508" s="13">
        <f>S1508-U1508</f>
        <v>9500</v>
      </c>
      <c r="W1508" s="15">
        <f>IF(S1508&gt;0, V1508/S1508, 0)</f>
        <v>1</v>
      </c>
      <c r="X1508" s="6" t="s">
        <v>39</v>
      </c>
      <c r="Y1508" s="8" t="s">
        <v>40</v>
      </c>
      <c r="Z1508" s="8" t="s">
        <v>41</v>
      </c>
      <c r="AA1508" s="8" t="s">
        <v>42</v>
      </c>
      <c r="AB1508" s="6" t="s">
        <v>42</v>
      </c>
    </row>
    <row r="1509" spans="1:28">
      <c r="A1509" s="9">
        <v>1502</v>
      </c>
      <c r="B1509" s="9" t="s">
        <v>1842</v>
      </c>
      <c r="C1509" s="9" t="s">
        <v>1837</v>
      </c>
      <c r="D1509" s="9" t="s">
        <v>1824</v>
      </c>
      <c r="E1509" s="9" t="s">
        <v>33</v>
      </c>
      <c r="F1509" s="7" t="s">
        <v>34</v>
      </c>
      <c r="G1509" s="7" t="s">
        <v>51</v>
      </c>
      <c r="H1509" s="7" t="s">
        <v>51</v>
      </c>
      <c r="I1509" s="9">
        <v>152</v>
      </c>
      <c r="J1509" s="9" t="s">
        <v>302</v>
      </c>
      <c r="K1509" s="9" t="s">
        <v>38</v>
      </c>
      <c r="L1509" s="11">
        <v>2</v>
      </c>
      <c r="M1509" s="14">
        <v>8500.0</v>
      </c>
      <c r="N1509" s="14"/>
      <c r="O1509" s="16">
        <f>IF(M1509&gt;0, N1509/M1509, 0)</f>
        <v>0</v>
      </c>
      <c r="P1509" s="14">
        <f>M1509-N1509</f>
        <v>8500</v>
      </c>
      <c r="Q1509" s="14">
        <f>L1509*M1509</f>
        <v>17000</v>
      </c>
      <c r="R1509" s="14">
        <f>L1509*N1509</f>
        <v>0</v>
      </c>
      <c r="S1509" s="14">
        <f>L1509*P1509</f>
        <v>17000</v>
      </c>
      <c r="T1509" s="14"/>
      <c r="U1509" s="14">
        <f>L1509*T1509</f>
        <v>0</v>
      </c>
      <c r="V1509" s="14">
        <f>S1509-U1509</f>
        <v>17000</v>
      </c>
      <c r="W1509" s="16">
        <f>IF(S1509&gt;0, V1509/S1509, 0)</f>
        <v>1</v>
      </c>
      <c r="X1509" s="7" t="s">
        <v>39</v>
      </c>
      <c r="Y1509" s="9" t="s">
        <v>40</v>
      </c>
      <c r="Z1509" s="9" t="s">
        <v>41</v>
      </c>
      <c r="AA1509" s="9" t="s">
        <v>42</v>
      </c>
      <c r="AB1509" s="7" t="s">
        <v>42</v>
      </c>
    </row>
    <row r="1510" spans="1:28">
      <c r="A1510" s="8">
        <v>1503</v>
      </c>
      <c r="B1510" s="8" t="s">
        <v>1843</v>
      </c>
      <c r="C1510" s="8" t="s">
        <v>1837</v>
      </c>
      <c r="D1510" s="8" t="s">
        <v>1824</v>
      </c>
      <c r="E1510" s="8" t="s">
        <v>33</v>
      </c>
      <c r="F1510" s="6" t="s">
        <v>34</v>
      </c>
      <c r="G1510" s="6" t="s">
        <v>35</v>
      </c>
      <c r="H1510" s="6" t="s">
        <v>73</v>
      </c>
      <c r="I1510" s="8">
        <v>164</v>
      </c>
      <c r="J1510" s="8" t="s">
        <v>74</v>
      </c>
      <c r="K1510" s="8" t="s">
        <v>38</v>
      </c>
      <c r="L1510" s="10">
        <v>1</v>
      </c>
      <c r="M1510" s="13">
        <v>9000.0</v>
      </c>
      <c r="N1510" s="13"/>
      <c r="O1510" s="15">
        <f>IF(M1510&gt;0, N1510/M1510, 0)</f>
        <v>0</v>
      </c>
      <c r="P1510" s="13">
        <f>M1510-N1510</f>
        <v>9000</v>
      </c>
      <c r="Q1510" s="13">
        <f>L1510*M1510</f>
        <v>9000</v>
      </c>
      <c r="R1510" s="13">
        <f>L1510*N1510</f>
        <v>0</v>
      </c>
      <c r="S1510" s="13">
        <f>L1510*P1510</f>
        <v>9000</v>
      </c>
      <c r="T1510" s="13"/>
      <c r="U1510" s="13">
        <f>L1510*T1510</f>
        <v>0</v>
      </c>
      <c r="V1510" s="13">
        <f>S1510-U1510</f>
        <v>9000</v>
      </c>
      <c r="W1510" s="15">
        <f>IF(S1510&gt;0, V1510/S1510, 0)</f>
        <v>1</v>
      </c>
      <c r="X1510" s="6" t="s">
        <v>39</v>
      </c>
      <c r="Y1510" s="8" t="s">
        <v>40</v>
      </c>
      <c r="Z1510" s="8" t="s">
        <v>41</v>
      </c>
      <c r="AA1510" s="8" t="s">
        <v>42</v>
      </c>
      <c r="AB1510" s="6" t="s">
        <v>42</v>
      </c>
    </row>
    <row r="1511" spans="1:28">
      <c r="A1511" s="9">
        <v>1504</v>
      </c>
      <c r="B1511" s="9" t="s">
        <v>1844</v>
      </c>
      <c r="C1511" s="9" t="s">
        <v>1837</v>
      </c>
      <c r="D1511" s="9" t="s">
        <v>1824</v>
      </c>
      <c r="E1511" s="9" t="s">
        <v>33</v>
      </c>
      <c r="F1511" s="7" t="s">
        <v>50</v>
      </c>
      <c r="G1511" s="7" t="s">
        <v>35</v>
      </c>
      <c r="H1511" s="7" t="s">
        <v>36</v>
      </c>
      <c r="I1511" s="9">
        <v>152</v>
      </c>
      <c r="J1511" s="9" t="s">
        <v>151</v>
      </c>
      <c r="K1511" s="9" t="s">
        <v>53</v>
      </c>
      <c r="L1511" s="11">
        <v>2</v>
      </c>
      <c r="M1511" s="14">
        <v>8000.0</v>
      </c>
      <c r="N1511" s="14"/>
      <c r="O1511" s="16">
        <f>IF(M1511&gt;0, N1511/M1511, 0)</f>
        <v>0</v>
      </c>
      <c r="P1511" s="14">
        <f>M1511-N1511</f>
        <v>8000</v>
      </c>
      <c r="Q1511" s="14">
        <f>L1511*M1511</f>
        <v>16000</v>
      </c>
      <c r="R1511" s="14">
        <f>L1511*N1511</f>
        <v>0</v>
      </c>
      <c r="S1511" s="14">
        <f>L1511*P1511</f>
        <v>16000</v>
      </c>
      <c r="T1511" s="14"/>
      <c r="U1511" s="14">
        <f>L1511*T1511</f>
        <v>0</v>
      </c>
      <c r="V1511" s="14">
        <f>S1511-U1511</f>
        <v>16000</v>
      </c>
      <c r="W1511" s="16">
        <f>IF(S1511&gt;0, V1511/S1511, 0)</f>
        <v>1</v>
      </c>
      <c r="X1511" s="7" t="s">
        <v>39</v>
      </c>
      <c r="Y1511" s="9" t="s">
        <v>40</v>
      </c>
      <c r="Z1511" s="9" t="s">
        <v>41</v>
      </c>
      <c r="AA1511" s="9" t="s">
        <v>42</v>
      </c>
      <c r="AB1511" s="7" t="s">
        <v>42</v>
      </c>
    </row>
    <row r="1512" spans="1:28">
      <c r="A1512" s="8">
        <v>1505</v>
      </c>
      <c r="B1512" s="8" t="s">
        <v>1845</v>
      </c>
      <c r="C1512" s="8" t="s">
        <v>1837</v>
      </c>
      <c r="D1512" s="8" t="s">
        <v>1824</v>
      </c>
      <c r="E1512" s="8" t="s">
        <v>68</v>
      </c>
      <c r="F1512" s="6" t="s">
        <v>34</v>
      </c>
      <c r="G1512" s="6" t="s">
        <v>69</v>
      </c>
      <c r="H1512" s="6" t="s">
        <v>69</v>
      </c>
      <c r="I1512" s="8">
        <v>164</v>
      </c>
      <c r="J1512" s="8" t="s">
        <v>70</v>
      </c>
      <c r="K1512" s="8" t="s">
        <v>38</v>
      </c>
      <c r="L1512" s="10">
        <v>1</v>
      </c>
      <c r="M1512" s="13">
        <v>18000.0</v>
      </c>
      <c r="N1512" s="13"/>
      <c r="O1512" s="15">
        <f>IF(M1512&gt;0, N1512/M1512, 0)</f>
        <v>0</v>
      </c>
      <c r="P1512" s="13">
        <f>M1512-N1512</f>
        <v>18000</v>
      </c>
      <c r="Q1512" s="13">
        <f>L1512*M1512</f>
        <v>18000</v>
      </c>
      <c r="R1512" s="13">
        <f>L1512*N1512</f>
        <v>0</v>
      </c>
      <c r="S1512" s="13">
        <f>L1512*P1512</f>
        <v>18000</v>
      </c>
      <c r="T1512" s="13"/>
      <c r="U1512" s="13">
        <f>L1512*T1512</f>
        <v>0</v>
      </c>
      <c r="V1512" s="13">
        <f>S1512-U1512</f>
        <v>18000</v>
      </c>
      <c r="W1512" s="15">
        <f>IF(S1512&gt;0, V1512/S1512, 0)</f>
        <v>1</v>
      </c>
      <c r="X1512" s="6" t="s">
        <v>39</v>
      </c>
      <c r="Y1512" s="8" t="s">
        <v>40</v>
      </c>
      <c r="Z1512" s="8" t="s">
        <v>1233</v>
      </c>
      <c r="AA1512" s="8" t="s">
        <v>42</v>
      </c>
      <c r="AB1512" s="6" t="s">
        <v>42</v>
      </c>
    </row>
    <row r="1513" spans="1:28">
      <c r="A1513" s="9">
        <v>1506</v>
      </c>
      <c r="B1513" s="9" t="s">
        <v>1846</v>
      </c>
      <c r="C1513" s="9" t="s">
        <v>1837</v>
      </c>
      <c r="D1513" s="9" t="s">
        <v>1824</v>
      </c>
      <c r="E1513" s="9" t="s">
        <v>33</v>
      </c>
      <c r="F1513" s="7" t="s">
        <v>50</v>
      </c>
      <c r="G1513" s="7" t="s">
        <v>56</v>
      </c>
      <c r="H1513" s="7" t="s">
        <v>56</v>
      </c>
      <c r="I1513" s="9">
        <v>116</v>
      </c>
      <c r="J1513" s="9" t="s">
        <v>79</v>
      </c>
      <c r="K1513" s="9" t="s">
        <v>38</v>
      </c>
      <c r="L1513" s="11">
        <v>1</v>
      </c>
      <c r="M1513" s="14">
        <v>7000.0</v>
      </c>
      <c r="N1513" s="14"/>
      <c r="O1513" s="16">
        <f>IF(M1513&gt;0, N1513/M1513, 0)</f>
        <v>0</v>
      </c>
      <c r="P1513" s="14">
        <f>M1513-N1513</f>
        <v>7000</v>
      </c>
      <c r="Q1513" s="14">
        <f>L1513*M1513</f>
        <v>7000</v>
      </c>
      <c r="R1513" s="14">
        <f>L1513*N1513</f>
        <v>0</v>
      </c>
      <c r="S1513" s="14">
        <f>L1513*P1513</f>
        <v>7000</v>
      </c>
      <c r="T1513" s="14"/>
      <c r="U1513" s="14">
        <f>L1513*T1513</f>
        <v>0</v>
      </c>
      <c r="V1513" s="14">
        <f>S1513-U1513</f>
        <v>7000</v>
      </c>
      <c r="W1513" s="16">
        <f>IF(S1513&gt;0, V1513/S1513, 0)</f>
        <v>1</v>
      </c>
      <c r="X1513" s="7" t="s">
        <v>39</v>
      </c>
      <c r="Y1513" s="9" t="s">
        <v>40</v>
      </c>
      <c r="Z1513" s="9" t="s">
        <v>41</v>
      </c>
      <c r="AA1513" s="9" t="s">
        <v>42</v>
      </c>
      <c r="AB1513" s="7" t="s">
        <v>42</v>
      </c>
    </row>
    <row r="1514" spans="1:28">
      <c r="A1514" s="8">
        <v>1507</v>
      </c>
      <c r="B1514" s="8" t="s">
        <v>1847</v>
      </c>
      <c r="C1514" s="8" t="s">
        <v>1837</v>
      </c>
      <c r="D1514" s="8" t="s">
        <v>1824</v>
      </c>
      <c r="E1514" s="8" t="s">
        <v>33</v>
      </c>
      <c r="F1514" s="6" t="s">
        <v>50</v>
      </c>
      <c r="G1514" s="6" t="s">
        <v>51</v>
      </c>
      <c r="H1514" s="6" t="s">
        <v>51</v>
      </c>
      <c r="I1514" s="8">
        <v>122</v>
      </c>
      <c r="J1514" s="8" t="s">
        <v>82</v>
      </c>
      <c r="K1514" s="8" t="s">
        <v>53</v>
      </c>
      <c r="L1514" s="10">
        <v>1</v>
      </c>
      <c r="M1514" s="13">
        <v>8000.0</v>
      </c>
      <c r="N1514" s="13"/>
      <c r="O1514" s="15">
        <f>IF(M1514&gt;0, N1514/M1514, 0)</f>
        <v>0</v>
      </c>
      <c r="P1514" s="13">
        <f>M1514-N1514</f>
        <v>8000</v>
      </c>
      <c r="Q1514" s="13">
        <f>L1514*M1514</f>
        <v>8000</v>
      </c>
      <c r="R1514" s="13">
        <f>L1514*N1514</f>
        <v>0</v>
      </c>
      <c r="S1514" s="13">
        <f>L1514*P1514</f>
        <v>8000</v>
      </c>
      <c r="T1514" s="13"/>
      <c r="U1514" s="13">
        <f>L1514*T1514</f>
        <v>0</v>
      </c>
      <c r="V1514" s="13">
        <f>S1514-U1514</f>
        <v>8000</v>
      </c>
      <c r="W1514" s="15">
        <f>IF(S1514&gt;0, V1514/S1514, 0)</f>
        <v>1</v>
      </c>
      <c r="X1514" s="6" t="s">
        <v>39</v>
      </c>
      <c r="Y1514" s="8" t="s">
        <v>40</v>
      </c>
      <c r="Z1514" s="8" t="s">
        <v>41</v>
      </c>
      <c r="AA1514" s="8" t="s">
        <v>42</v>
      </c>
      <c r="AB1514" s="6" t="s">
        <v>42</v>
      </c>
    </row>
    <row r="1515" spans="1:28">
      <c r="A1515" s="9">
        <v>1508</v>
      </c>
      <c r="B1515" s="9" t="s">
        <v>1848</v>
      </c>
      <c r="C1515" s="9" t="s">
        <v>1837</v>
      </c>
      <c r="D1515" s="9" t="s">
        <v>1824</v>
      </c>
      <c r="E1515" s="9" t="s">
        <v>33</v>
      </c>
      <c r="F1515" s="7" t="s">
        <v>50</v>
      </c>
      <c r="G1515" s="7" t="s">
        <v>35</v>
      </c>
      <c r="H1515" s="7" t="s">
        <v>36</v>
      </c>
      <c r="I1515" s="9">
        <v>122</v>
      </c>
      <c r="J1515" s="9" t="s">
        <v>105</v>
      </c>
      <c r="K1515" s="9" t="s">
        <v>53</v>
      </c>
      <c r="L1515" s="11">
        <v>2</v>
      </c>
      <c r="M1515" s="14">
        <v>7000.0</v>
      </c>
      <c r="N1515" s="14"/>
      <c r="O1515" s="16">
        <f>IF(M1515&gt;0, N1515/M1515, 0)</f>
        <v>0</v>
      </c>
      <c r="P1515" s="14">
        <f>M1515-N1515</f>
        <v>7000</v>
      </c>
      <c r="Q1515" s="14">
        <f>L1515*M1515</f>
        <v>14000</v>
      </c>
      <c r="R1515" s="14">
        <f>L1515*N1515</f>
        <v>0</v>
      </c>
      <c r="S1515" s="14">
        <f>L1515*P1515</f>
        <v>14000</v>
      </c>
      <c r="T1515" s="14"/>
      <c r="U1515" s="14">
        <f>L1515*T1515</f>
        <v>0</v>
      </c>
      <c r="V1515" s="14">
        <f>S1515-U1515</f>
        <v>14000</v>
      </c>
      <c r="W1515" s="16">
        <f>IF(S1515&gt;0, V1515/S1515, 0)</f>
        <v>1</v>
      </c>
      <c r="X1515" s="7" t="s">
        <v>39</v>
      </c>
      <c r="Y1515" s="9" t="s">
        <v>40</v>
      </c>
      <c r="Z1515" s="9" t="s">
        <v>41</v>
      </c>
      <c r="AA1515" s="9" t="s">
        <v>42</v>
      </c>
      <c r="AB1515" s="7" t="s">
        <v>42</v>
      </c>
    </row>
    <row r="1516" spans="1:28">
      <c r="A1516" s="8">
        <v>1509</v>
      </c>
      <c r="B1516" s="8" t="s">
        <v>1849</v>
      </c>
      <c r="C1516" s="8" t="s">
        <v>1837</v>
      </c>
      <c r="D1516" s="8" t="s">
        <v>1824</v>
      </c>
      <c r="E1516" s="8" t="s">
        <v>33</v>
      </c>
      <c r="F1516" s="6" t="s">
        <v>50</v>
      </c>
      <c r="G1516" s="6" t="s">
        <v>69</v>
      </c>
      <c r="H1516" s="6" t="s">
        <v>69</v>
      </c>
      <c r="I1516" s="8">
        <v>122</v>
      </c>
      <c r="J1516" s="8" t="s">
        <v>99</v>
      </c>
      <c r="K1516" s="8" t="s">
        <v>38</v>
      </c>
      <c r="L1516" s="10">
        <v>1</v>
      </c>
      <c r="M1516" s="13">
        <v>16000.0</v>
      </c>
      <c r="N1516" s="13"/>
      <c r="O1516" s="15">
        <f>IF(M1516&gt;0, N1516/M1516, 0)</f>
        <v>0</v>
      </c>
      <c r="P1516" s="13">
        <f>M1516-N1516</f>
        <v>16000</v>
      </c>
      <c r="Q1516" s="13">
        <f>L1516*M1516</f>
        <v>16000</v>
      </c>
      <c r="R1516" s="13">
        <f>L1516*N1516</f>
        <v>0</v>
      </c>
      <c r="S1516" s="13">
        <f>L1516*P1516</f>
        <v>16000</v>
      </c>
      <c r="T1516" s="13"/>
      <c r="U1516" s="13">
        <f>L1516*T1516</f>
        <v>0</v>
      </c>
      <c r="V1516" s="13">
        <f>S1516-U1516</f>
        <v>16000</v>
      </c>
      <c r="W1516" s="15">
        <f>IF(S1516&gt;0, V1516/S1516, 0)</f>
        <v>1</v>
      </c>
      <c r="X1516" s="6" t="s">
        <v>39</v>
      </c>
      <c r="Y1516" s="8" t="s">
        <v>40</v>
      </c>
      <c r="Z1516" s="8" t="s">
        <v>41</v>
      </c>
      <c r="AA1516" s="8" t="s">
        <v>42</v>
      </c>
      <c r="AB1516" s="6" t="s">
        <v>42</v>
      </c>
    </row>
    <row r="1517" spans="1:28">
      <c r="A1517" s="9">
        <v>1510</v>
      </c>
      <c r="B1517" s="9" t="s">
        <v>1850</v>
      </c>
      <c r="C1517" s="9" t="s">
        <v>1837</v>
      </c>
      <c r="D1517" s="9" t="s">
        <v>1824</v>
      </c>
      <c r="E1517" s="9" t="s">
        <v>33</v>
      </c>
      <c r="F1517" s="7" t="s">
        <v>34</v>
      </c>
      <c r="G1517" s="7" t="s">
        <v>35</v>
      </c>
      <c r="H1517" s="7" t="s">
        <v>36</v>
      </c>
      <c r="I1517" s="9">
        <v>158</v>
      </c>
      <c r="J1517" s="9" t="s">
        <v>37</v>
      </c>
      <c r="K1517" s="9" t="s">
        <v>38</v>
      </c>
      <c r="L1517" s="11">
        <v>1</v>
      </c>
      <c r="M1517" s="14">
        <v>8000.0</v>
      </c>
      <c r="N1517" s="14"/>
      <c r="O1517" s="16">
        <f>IF(M1517&gt;0, N1517/M1517, 0)</f>
        <v>0</v>
      </c>
      <c r="P1517" s="14">
        <f>M1517-N1517</f>
        <v>8000</v>
      </c>
      <c r="Q1517" s="14">
        <f>L1517*M1517</f>
        <v>8000</v>
      </c>
      <c r="R1517" s="14">
        <f>L1517*N1517</f>
        <v>0</v>
      </c>
      <c r="S1517" s="14">
        <f>L1517*P1517</f>
        <v>8000</v>
      </c>
      <c r="T1517" s="14"/>
      <c r="U1517" s="14">
        <f>L1517*T1517</f>
        <v>0</v>
      </c>
      <c r="V1517" s="14">
        <f>S1517-U1517</f>
        <v>8000</v>
      </c>
      <c r="W1517" s="16">
        <f>IF(S1517&gt;0, V1517/S1517, 0)</f>
        <v>1</v>
      </c>
      <c r="X1517" s="7" t="s">
        <v>39</v>
      </c>
      <c r="Y1517" s="9" t="s">
        <v>40</v>
      </c>
      <c r="Z1517" s="9" t="s">
        <v>41</v>
      </c>
      <c r="AA1517" s="9" t="s">
        <v>42</v>
      </c>
      <c r="AB1517" s="7" t="s">
        <v>42</v>
      </c>
    </row>
    <row r="1518" spans="1:28">
      <c r="A1518" s="8">
        <v>1511</v>
      </c>
      <c r="B1518" s="8" t="s">
        <v>1851</v>
      </c>
      <c r="C1518" s="8" t="s">
        <v>1837</v>
      </c>
      <c r="D1518" s="8" t="s">
        <v>1824</v>
      </c>
      <c r="E1518" s="8" t="s">
        <v>33</v>
      </c>
      <c r="F1518" s="6" t="s">
        <v>34</v>
      </c>
      <c r="G1518" s="6" t="s">
        <v>1852</v>
      </c>
      <c r="H1518" s="6" t="s">
        <v>1853</v>
      </c>
      <c r="I1518" s="8">
        <v>158</v>
      </c>
      <c r="J1518" s="8" t="s">
        <v>1854</v>
      </c>
      <c r="K1518" s="8" t="s">
        <v>42</v>
      </c>
      <c r="L1518" s="10">
        <v>1</v>
      </c>
      <c r="M1518" s="13">
        <v>9500.0</v>
      </c>
      <c r="N1518" s="13"/>
      <c r="O1518" s="15">
        <f>IF(M1518&gt;0, N1518/M1518, 0)</f>
        <v>0</v>
      </c>
      <c r="P1518" s="13">
        <f>M1518-N1518</f>
        <v>9500</v>
      </c>
      <c r="Q1518" s="13">
        <f>L1518*M1518</f>
        <v>9500</v>
      </c>
      <c r="R1518" s="13">
        <f>L1518*N1518</f>
        <v>0</v>
      </c>
      <c r="S1518" s="13">
        <f>L1518*P1518</f>
        <v>9500</v>
      </c>
      <c r="T1518" s="13"/>
      <c r="U1518" s="13">
        <f>L1518*T1518</f>
        <v>0</v>
      </c>
      <c r="V1518" s="13">
        <f>S1518-U1518</f>
        <v>9500</v>
      </c>
      <c r="W1518" s="15">
        <f>IF(S1518&gt;0, V1518/S1518, 0)</f>
        <v>1</v>
      </c>
      <c r="X1518" s="6" t="s">
        <v>39</v>
      </c>
      <c r="Y1518" s="8" t="s">
        <v>40</v>
      </c>
      <c r="Z1518" s="8" t="s">
        <v>41</v>
      </c>
      <c r="AA1518" s="8" t="s">
        <v>42</v>
      </c>
      <c r="AB1518" s="6" t="s">
        <v>42</v>
      </c>
    </row>
    <row r="1519" spans="1:28">
      <c r="A1519" s="9">
        <v>1512</v>
      </c>
      <c r="B1519" s="9" t="s">
        <v>1855</v>
      </c>
      <c r="C1519" s="9" t="s">
        <v>1837</v>
      </c>
      <c r="D1519" s="9" t="s">
        <v>1824</v>
      </c>
      <c r="E1519" s="9" t="s">
        <v>33</v>
      </c>
      <c r="F1519" s="7" t="s">
        <v>34</v>
      </c>
      <c r="G1519" s="7" t="s">
        <v>51</v>
      </c>
      <c r="H1519" s="7" t="s">
        <v>51</v>
      </c>
      <c r="I1519" s="9">
        <v>158</v>
      </c>
      <c r="J1519" s="9" t="s">
        <v>122</v>
      </c>
      <c r="K1519" s="9" t="s">
        <v>38</v>
      </c>
      <c r="L1519" s="11">
        <v>1</v>
      </c>
      <c r="M1519" s="14">
        <v>8500.0</v>
      </c>
      <c r="N1519" s="14"/>
      <c r="O1519" s="16">
        <f>IF(M1519&gt;0, N1519/M1519, 0)</f>
        <v>0</v>
      </c>
      <c r="P1519" s="14">
        <f>M1519-N1519</f>
        <v>8500</v>
      </c>
      <c r="Q1519" s="14">
        <f>L1519*M1519</f>
        <v>8500</v>
      </c>
      <c r="R1519" s="14">
        <f>L1519*N1519</f>
        <v>0</v>
      </c>
      <c r="S1519" s="14">
        <f>L1519*P1519</f>
        <v>8500</v>
      </c>
      <c r="T1519" s="14"/>
      <c r="U1519" s="14">
        <f>L1519*T1519</f>
        <v>0</v>
      </c>
      <c r="V1519" s="14">
        <f>S1519-U1519</f>
        <v>8500</v>
      </c>
      <c r="W1519" s="16">
        <f>IF(S1519&gt;0, V1519/S1519, 0)</f>
        <v>1</v>
      </c>
      <c r="X1519" s="7" t="s">
        <v>39</v>
      </c>
      <c r="Y1519" s="9" t="s">
        <v>40</v>
      </c>
      <c r="Z1519" s="9" t="s">
        <v>41</v>
      </c>
      <c r="AA1519" s="9" t="s">
        <v>42</v>
      </c>
      <c r="AB1519" s="7" t="s">
        <v>42</v>
      </c>
    </row>
    <row r="1520" spans="1:28">
      <c r="A1520" s="8">
        <v>1513</v>
      </c>
      <c r="B1520" s="8" t="s">
        <v>1856</v>
      </c>
      <c r="C1520" s="8" t="s">
        <v>1837</v>
      </c>
      <c r="D1520" s="8" t="s">
        <v>1824</v>
      </c>
      <c r="E1520" s="8" t="s">
        <v>33</v>
      </c>
      <c r="F1520" s="6" t="s">
        <v>34</v>
      </c>
      <c r="G1520" s="6" t="s">
        <v>56</v>
      </c>
      <c r="H1520" s="6" t="s">
        <v>1857</v>
      </c>
      <c r="I1520" s="8">
        <v>146</v>
      </c>
      <c r="J1520" s="8" t="s">
        <v>1858</v>
      </c>
      <c r="K1520" s="8" t="s">
        <v>42</v>
      </c>
      <c r="L1520" s="10">
        <v>1</v>
      </c>
      <c r="M1520" s="13">
        <v>7500.0</v>
      </c>
      <c r="N1520" s="13"/>
      <c r="O1520" s="15">
        <f>IF(M1520&gt;0, N1520/M1520, 0)</f>
        <v>0</v>
      </c>
      <c r="P1520" s="13">
        <f>M1520-N1520</f>
        <v>7500</v>
      </c>
      <c r="Q1520" s="13">
        <f>L1520*M1520</f>
        <v>7500</v>
      </c>
      <c r="R1520" s="13">
        <f>L1520*N1520</f>
        <v>0</v>
      </c>
      <c r="S1520" s="13">
        <f>L1520*P1520</f>
        <v>7500</v>
      </c>
      <c r="T1520" s="13"/>
      <c r="U1520" s="13">
        <f>L1520*T1520</f>
        <v>0</v>
      </c>
      <c r="V1520" s="13">
        <f>S1520-U1520</f>
        <v>7500</v>
      </c>
      <c r="W1520" s="15">
        <f>IF(S1520&gt;0, V1520/S1520, 0)</f>
        <v>1</v>
      </c>
      <c r="X1520" s="6" t="s">
        <v>39</v>
      </c>
      <c r="Y1520" s="8" t="s">
        <v>40</v>
      </c>
      <c r="Z1520" s="8" t="s">
        <v>41</v>
      </c>
      <c r="AA1520" s="8" t="s">
        <v>42</v>
      </c>
      <c r="AB1520" s="6" t="s">
        <v>42</v>
      </c>
    </row>
    <row r="1521" spans="1:28">
      <c r="A1521" s="9">
        <v>1514</v>
      </c>
      <c r="B1521" s="9" t="s">
        <v>1859</v>
      </c>
      <c r="C1521" s="9" t="s">
        <v>1837</v>
      </c>
      <c r="D1521" s="9" t="s">
        <v>1824</v>
      </c>
      <c r="E1521" s="9" t="s">
        <v>33</v>
      </c>
      <c r="F1521" s="7" t="s">
        <v>34</v>
      </c>
      <c r="G1521" s="7" t="s">
        <v>45</v>
      </c>
      <c r="H1521" s="7" t="s">
        <v>46</v>
      </c>
      <c r="I1521" s="9">
        <v>164</v>
      </c>
      <c r="J1521" s="9" t="s">
        <v>318</v>
      </c>
      <c r="K1521" s="9" t="s">
        <v>38</v>
      </c>
      <c r="L1521" s="11">
        <v>1</v>
      </c>
      <c r="M1521" s="14">
        <v>18000.0</v>
      </c>
      <c r="N1521" s="14"/>
      <c r="O1521" s="16">
        <f>IF(M1521&gt;0, N1521/M1521, 0)</f>
        <v>0</v>
      </c>
      <c r="P1521" s="14">
        <f>M1521-N1521</f>
        <v>18000</v>
      </c>
      <c r="Q1521" s="14">
        <f>L1521*M1521</f>
        <v>18000</v>
      </c>
      <c r="R1521" s="14">
        <f>L1521*N1521</f>
        <v>0</v>
      </c>
      <c r="S1521" s="14">
        <f>L1521*P1521</f>
        <v>18000</v>
      </c>
      <c r="T1521" s="14"/>
      <c r="U1521" s="14">
        <f>L1521*T1521</f>
        <v>0</v>
      </c>
      <c r="V1521" s="14">
        <f>S1521-U1521</f>
        <v>18000</v>
      </c>
      <c r="W1521" s="16">
        <f>IF(S1521&gt;0, V1521/S1521, 0)</f>
        <v>1</v>
      </c>
      <c r="X1521" s="7" t="s">
        <v>39</v>
      </c>
      <c r="Y1521" s="9" t="s">
        <v>40</v>
      </c>
      <c r="Z1521" s="9" t="s">
        <v>41</v>
      </c>
      <c r="AA1521" s="9" t="s">
        <v>42</v>
      </c>
      <c r="AB1521" s="7" t="s">
        <v>42</v>
      </c>
    </row>
    <row r="1522" spans="1:28">
      <c r="A1522" s="8">
        <v>1515</v>
      </c>
      <c r="B1522" s="8" t="s">
        <v>1860</v>
      </c>
      <c r="C1522" s="8" t="s">
        <v>1837</v>
      </c>
      <c r="D1522" s="8" t="s">
        <v>1824</v>
      </c>
      <c r="E1522" s="8" t="s">
        <v>33</v>
      </c>
      <c r="F1522" s="6" t="s">
        <v>34</v>
      </c>
      <c r="G1522" s="6" t="s">
        <v>51</v>
      </c>
      <c r="H1522" s="6" t="s">
        <v>51</v>
      </c>
      <c r="I1522" s="8">
        <v>170</v>
      </c>
      <c r="J1522" s="8" t="s">
        <v>1137</v>
      </c>
      <c r="K1522" s="8" t="s">
        <v>38</v>
      </c>
      <c r="L1522" s="10">
        <v>1</v>
      </c>
      <c r="M1522" s="13">
        <v>8500.0</v>
      </c>
      <c r="N1522" s="13"/>
      <c r="O1522" s="15">
        <f>IF(M1522&gt;0, N1522/M1522, 0)</f>
        <v>0</v>
      </c>
      <c r="P1522" s="13">
        <f>M1522-N1522</f>
        <v>8500</v>
      </c>
      <c r="Q1522" s="13">
        <f>L1522*M1522</f>
        <v>8500</v>
      </c>
      <c r="R1522" s="13">
        <f>L1522*N1522</f>
        <v>0</v>
      </c>
      <c r="S1522" s="13">
        <f>L1522*P1522</f>
        <v>8500</v>
      </c>
      <c r="T1522" s="13"/>
      <c r="U1522" s="13">
        <f>L1522*T1522</f>
        <v>0</v>
      </c>
      <c r="V1522" s="13">
        <f>S1522-U1522</f>
        <v>8500</v>
      </c>
      <c r="W1522" s="15">
        <f>IF(S1522&gt;0, V1522/S1522, 0)</f>
        <v>1</v>
      </c>
      <c r="X1522" s="6" t="s">
        <v>39</v>
      </c>
      <c r="Y1522" s="8" t="s">
        <v>40</v>
      </c>
      <c r="Z1522" s="8" t="s">
        <v>41</v>
      </c>
      <c r="AA1522" s="8" t="s">
        <v>42</v>
      </c>
      <c r="AB1522" s="6" t="s">
        <v>42</v>
      </c>
    </row>
    <row r="1523" spans="1:28">
      <c r="A1523" s="9">
        <v>1516</v>
      </c>
      <c r="B1523" s="9" t="s">
        <v>1861</v>
      </c>
      <c r="C1523" s="9" t="s">
        <v>1837</v>
      </c>
      <c r="D1523" s="9" t="s">
        <v>1824</v>
      </c>
      <c r="E1523" s="9" t="s">
        <v>33</v>
      </c>
      <c r="F1523" s="7" t="s">
        <v>34</v>
      </c>
      <c r="G1523" s="7" t="s">
        <v>56</v>
      </c>
      <c r="H1523" s="7" t="s">
        <v>56</v>
      </c>
      <c r="I1523" s="9">
        <v>158</v>
      </c>
      <c r="J1523" s="9" t="s">
        <v>128</v>
      </c>
      <c r="K1523" s="9" t="s">
        <v>38</v>
      </c>
      <c r="L1523" s="11">
        <v>1</v>
      </c>
      <c r="M1523" s="14">
        <v>7500.0</v>
      </c>
      <c r="N1523" s="14"/>
      <c r="O1523" s="16">
        <f>IF(M1523&gt;0, N1523/M1523, 0)</f>
        <v>0</v>
      </c>
      <c r="P1523" s="14">
        <f>M1523-N1523</f>
        <v>7500</v>
      </c>
      <c r="Q1523" s="14">
        <f>L1523*M1523</f>
        <v>7500</v>
      </c>
      <c r="R1523" s="14">
        <f>L1523*N1523</f>
        <v>0</v>
      </c>
      <c r="S1523" s="14">
        <f>L1523*P1523</f>
        <v>7500</v>
      </c>
      <c r="T1523" s="14"/>
      <c r="U1523" s="14">
        <f>L1523*T1523</f>
        <v>0</v>
      </c>
      <c r="V1523" s="14">
        <f>S1523-U1523</f>
        <v>7500</v>
      </c>
      <c r="W1523" s="16">
        <f>IF(S1523&gt;0, V1523/S1523, 0)</f>
        <v>1</v>
      </c>
      <c r="X1523" s="7" t="s">
        <v>39</v>
      </c>
      <c r="Y1523" s="9" t="s">
        <v>40</v>
      </c>
      <c r="Z1523" s="9" t="s">
        <v>41</v>
      </c>
      <c r="AA1523" s="9" t="s">
        <v>42</v>
      </c>
      <c r="AB1523" s="7" t="s">
        <v>42</v>
      </c>
    </row>
    <row r="1524" spans="1:28">
      <c r="A1524" s="8">
        <v>1517</v>
      </c>
      <c r="B1524" s="8" t="s">
        <v>1862</v>
      </c>
      <c r="C1524" s="8" t="s">
        <v>1837</v>
      </c>
      <c r="D1524" s="8" t="s">
        <v>1824</v>
      </c>
      <c r="E1524" s="8" t="s">
        <v>33</v>
      </c>
      <c r="F1524" s="6" t="s">
        <v>34</v>
      </c>
      <c r="G1524" s="6" t="s">
        <v>35</v>
      </c>
      <c r="H1524" s="6" t="s">
        <v>36</v>
      </c>
      <c r="I1524" s="8">
        <v>164</v>
      </c>
      <c r="J1524" s="8" t="s">
        <v>77</v>
      </c>
      <c r="K1524" s="8" t="s">
        <v>38</v>
      </c>
      <c r="L1524" s="10">
        <v>1</v>
      </c>
      <c r="M1524" s="13">
        <v>8000.0</v>
      </c>
      <c r="N1524" s="13"/>
      <c r="O1524" s="15">
        <f>IF(M1524&gt;0, N1524/M1524, 0)</f>
        <v>0</v>
      </c>
      <c r="P1524" s="13">
        <f>M1524-N1524</f>
        <v>8000</v>
      </c>
      <c r="Q1524" s="13">
        <f>L1524*M1524</f>
        <v>8000</v>
      </c>
      <c r="R1524" s="13">
        <f>L1524*N1524</f>
        <v>0</v>
      </c>
      <c r="S1524" s="13">
        <f>L1524*P1524</f>
        <v>8000</v>
      </c>
      <c r="T1524" s="13"/>
      <c r="U1524" s="13">
        <f>L1524*T1524</f>
        <v>0</v>
      </c>
      <c r="V1524" s="13">
        <f>S1524-U1524</f>
        <v>8000</v>
      </c>
      <c r="W1524" s="15">
        <f>IF(S1524&gt;0, V1524/S1524, 0)</f>
        <v>1</v>
      </c>
      <c r="X1524" s="6" t="s">
        <v>39</v>
      </c>
      <c r="Y1524" s="8" t="s">
        <v>40</v>
      </c>
      <c r="Z1524" s="8" t="s">
        <v>41</v>
      </c>
      <c r="AA1524" s="8" t="s">
        <v>42</v>
      </c>
      <c r="AB1524" s="6" t="s">
        <v>42</v>
      </c>
    </row>
    <row r="1525" spans="1:28">
      <c r="A1525" s="9">
        <v>1518</v>
      </c>
      <c r="B1525" s="9" t="s">
        <v>1863</v>
      </c>
      <c r="C1525" s="9" t="s">
        <v>1837</v>
      </c>
      <c r="D1525" s="9" t="s">
        <v>1824</v>
      </c>
      <c r="E1525" s="9" t="s">
        <v>33</v>
      </c>
      <c r="F1525" s="7" t="s">
        <v>34</v>
      </c>
      <c r="G1525" s="7" t="s">
        <v>35</v>
      </c>
      <c r="H1525" s="7" t="s">
        <v>36</v>
      </c>
      <c r="I1525" s="9">
        <v>164</v>
      </c>
      <c r="J1525" s="9" t="s">
        <v>77</v>
      </c>
      <c r="K1525" s="9" t="s">
        <v>38</v>
      </c>
      <c r="L1525" s="11">
        <v>1</v>
      </c>
      <c r="M1525" s="14">
        <v>8000.0</v>
      </c>
      <c r="N1525" s="14"/>
      <c r="O1525" s="16">
        <f>IF(M1525&gt;0, N1525/M1525, 0)</f>
        <v>0</v>
      </c>
      <c r="P1525" s="14">
        <f>M1525-N1525</f>
        <v>8000</v>
      </c>
      <c r="Q1525" s="14">
        <f>L1525*M1525</f>
        <v>8000</v>
      </c>
      <c r="R1525" s="14">
        <f>L1525*N1525</f>
        <v>0</v>
      </c>
      <c r="S1525" s="14">
        <f>L1525*P1525</f>
        <v>8000</v>
      </c>
      <c r="T1525" s="14"/>
      <c r="U1525" s="14">
        <f>L1525*T1525</f>
        <v>0</v>
      </c>
      <c r="V1525" s="14">
        <f>S1525-U1525</f>
        <v>8000</v>
      </c>
      <c r="W1525" s="16">
        <f>IF(S1525&gt;0, V1525/S1525, 0)</f>
        <v>1</v>
      </c>
      <c r="X1525" s="7" t="s">
        <v>39</v>
      </c>
      <c r="Y1525" s="9" t="s">
        <v>40</v>
      </c>
      <c r="Z1525" s="9" t="s">
        <v>41</v>
      </c>
      <c r="AA1525" s="9" t="s">
        <v>42</v>
      </c>
      <c r="AB1525" s="7" t="s">
        <v>42</v>
      </c>
    </row>
    <row r="1526" spans="1:28">
      <c r="A1526" s="8">
        <v>1519</v>
      </c>
      <c r="B1526" s="8" t="s">
        <v>1864</v>
      </c>
      <c r="C1526" s="8" t="s">
        <v>1837</v>
      </c>
      <c r="D1526" s="8" t="s">
        <v>1824</v>
      </c>
      <c r="E1526" s="8" t="s">
        <v>33</v>
      </c>
      <c r="F1526" s="6" t="s">
        <v>34</v>
      </c>
      <c r="G1526" s="6" t="s">
        <v>69</v>
      </c>
      <c r="H1526" s="6" t="s">
        <v>69</v>
      </c>
      <c r="I1526" s="8">
        <v>170</v>
      </c>
      <c r="J1526" s="8" t="s">
        <v>179</v>
      </c>
      <c r="K1526" s="8" t="s">
        <v>38</v>
      </c>
      <c r="L1526" s="10">
        <v>1</v>
      </c>
      <c r="M1526" s="13">
        <v>16500.0</v>
      </c>
      <c r="N1526" s="13"/>
      <c r="O1526" s="15">
        <f>IF(M1526&gt;0, N1526/M1526, 0)</f>
        <v>0</v>
      </c>
      <c r="P1526" s="13">
        <f>M1526-N1526</f>
        <v>16500</v>
      </c>
      <c r="Q1526" s="13">
        <f>L1526*M1526</f>
        <v>16500</v>
      </c>
      <c r="R1526" s="13">
        <f>L1526*N1526</f>
        <v>0</v>
      </c>
      <c r="S1526" s="13">
        <f>L1526*P1526</f>
        <v>16500</v>
      </c>
      <c r="T1526" s="13"/>
      <c r="U1526" s="13">
        <f>L1526*T1526</f>
        <v>0</v>
      </c>
      <c r="V1526" s="13">
        <f>S1526-U1526</f>
        <v>16500</v>
      </c>
      <c r="W1526" s="15">
        <f>IF(S1526&gt;0, V1526/S1526, 0)</f>
        <v>1</v>
      </c>
      <c r="X1526" s="6" t="s">
        <v>39</v>
      </c>
      <c r="Y1526" s="8" t="s">
        <v>40</v>
      </c>
      <c r="Z1526" s="8" t="s">
        <v>41</v>
      </c>
      <c r="AA1526" s="8" t="s">
        <v>42</v>
      </c>
      <c r="AB1526" s="6" t="s">
        <v>42</v>
      </c>
    </row>
    <row r="1527" spans="1:28">
      <c r="A1527" s="9">
        <v>1520</v>
      </c>
      <c r="B1527" s="9" t="s">
        <v>1865</v>
      </c>
      <c r="C1527" s="9" t="s">
        <v>1837</v>
      </c>
      <c r="D1527" s="9" t="s">
        <v>1824</v>
      </c>
      <c r="E1527" s="9" t="s">
        <v>68</v>
      </c>
      <c r="F1527" s="7" t="s">
        <v>50</v>
      </c>
      <c r="G1527" s="7" t="s">
        <v>1852</v>
      </c>
      <c r="H1527" s="7" t="s">
        <v>1853</v>
      </c>
      <c r="I1527" s="9">
        <v>128</v>
      </c>
      <c r="J1527" s="9" t="s">
        <v>1866</v>
      </c>
      <c r="K1527" s="9" t="s">
        <v>42</v>
      </c>
      <c r="L1527" s="11">
        <v>1</v>
      </c>
      <c r="M1527" s="14">
        <v>10000.0</v>
      </c>
      <c r="N1527" s="14"/>
      <c r="O1527" s="16">
        <f>IF(M1527&gt;0, N1527/M1527, 0)</f>
        <v>0</v>
      </c>
      <c r="P1527" s="14">
        <f>M1527-N1527</f>
        <v>10000</v>
      </c>
      <c r="Q1527" s="14">
        <f>L1527*M1527</f>
        <v>10000</v>
      </c>
      <c r="R1527" s="14">
        <f>L1527*N1527</f>
        <v>0</v>
      </c>
      <c r="S1527" s="14">
        <f>L1527*P1527</f>
        <v>10000</v>
      </c>
      <c r="T1527" s="14"/>
      <c r="U1527" s="14">
        <f>L1527*T1527</f>
        <v>0</v>
      </c>
      <c r="V1527" s="14">
        <f>S1527-U1527</f>
        <v>10000</v>
      </c>
      <c r="W1527" s="16">
        <f>IF(S1527&gt;0, V1527/S1527, 0)</f>
        <v>1</v>
      </c>
      <c r="X1527" s="7" t="s">
        <v>39</v>
      </c>
      <c r="Y1527" s="9" t="s">
        <v>40</v>
      </c>
      <c r="Z1527" s="9" t="s">
        <v>71</v>
      </c>
      <c r="AA1527" s="9" t="s">
        <v>42</v>
      </c>
      <c r="AB1527" s="7" t="s">
        <v>42</v>
      </c>
    </row>
    <row r="1528" spans="1:28">
      <c r="A1528" s="8">
        <v>1521</v>
      </c>
      <c r="B1528" s="8" t="s">
        <v>1867</v>
      </c>
      <c r="C1528" s="8" t="s">
        <v>1837</v>
      </c>
      <c r="D1528" s="8" t="s">
        <v>1824</v>
      </c>
      <c r="E1528" s="8" t="s">
        <v>33</v>
      </c>
      <c r="F1528" s="6" t="s">
        <v>50</v>
      </c>
      <c r="G1528" s="6" t="s">
        <v>45</v>
      </c>
      <c r="H1528" s="6" t="s">
        <v>46</v>
      </c>
      <c r="I1528" s="8">
        <v>128</v>
      </c>
      <c r="J1528" s="8" t="s">
        <v>183</v>
      </c>
      <c r="K1528" s="8" t="s">
        <v>38</v>
      </c>
      <c r="L1528" s="10">
        <v>1</v>
      </c>
      <c r="M1528" s="13">
        <v>18000.0</v>
      </c>
      <c r="N1528" s="13"/>
      <c r="O1528" s="15">
        <f>IF(M1528&gt;0, N1528/M1528, 0)</f>
        <v>0</v>
      </c>
      <c r="P1528" s="13">
        <f>M1528-N1528</f>
        <v>18000</v>
      </c>
      <c r="Q1528" s="13">
        <f>L1528*M1528</f>
        <v>18000</v>
      </c>
      <c r="R1528" s="13">
        <f>L1528*N1528</f>
        <v>0</v>
      </c>
      <c r="S1528" s="13">
        <f>L1528*P1528</f>
        <v>18000</v>
      </c>
      <c r="T1528" s="13"/>
      <c r="U1528" s="13">
        <f>L1528*T1528</f>
        <v>0</v>
      </c>
      <c r="V1528" s="13">
        <f>S1528-U1528</f>
        <v>18000</v>
      </c>
      <c r="W1528" s="15">
        <f>IF(S1528&gt;0, V1528/S1528, 0)</f>
        <v>1</v>
      </c>
      <c r="X1528" s="6" t="s">
        <v>39</v>
      </c>
      <c r="Y1528" s="8" t="s">
        <v>40</v>
      </c>
      <c r="Z1528" s="8" t="s">
        <v>41</v>
      </c>
      <c r="AA1528" s="8" t="s">
        <v>42</v>
      </c>
      <c r="AB1528" s="6" t="s">
        <v>42</v>
      </c>
    </row>
    <row r="1529" spans="1:28">
      <c r="A1529" s="9">
        <v>1522</v>
      </c>
      <c r="B1529" s="9" t="s">
        <v>1868</v>
      </c>
      <c r="C1529" s="9" t="s">
        <v>1837</v>
      </c>
      <c r="D1529" s="9" t="s">
        <v>1824</v>
      </c>
      <c r="E1529" s="9" t="s">
        <v>33</v>
      </c>
      <c r="F1529" s="7" t="s">
        <v>50</v>
      </c>
      <c r="G1529" s="7" t="s">
        <v>51</v>
      </c>
      <c r="H1529" s="7" t="s">
        <v>51</v>
      </c>
      <c r="I1529" s="9">
        <v>128</v>
      </c>
      <c r="J1529" s="9" t="s">
        <v>390</v>
      </c>
      <c r="K1529" s="9" t="s">
        <v>53</v>
      </c>
      <c r="L1529" s="11">
        <v>1</v>
      </c>
      <c r="M1529" s="14">
        <v>8000.0</v>
      </c>
      <c r="N1529" s="14"/>
      <c r="O1529" s="16">
        <f>IF(M1529&gt;0, N1529/M1529, 0)</f>
        <v>0</v>
      </c>
      <c r="P1529" s="14">
        <f>M1529-N1529</f>
        <v>8000</v>
      </c>
      <c r="Q1529" s="14">
        <f>L1529*M1529</f>
        <v>8000</v>
      </c>
      <c r="R1529" s="14">
        <f>L1529*N1529</f>
        <v>0</v>
      </c>
      <c r="S1529" s="14">
        <f>L1529*P1529</f>
        <v>8000</v>
      </c>
      <c r="T1529" s="14"/>
      <c r="U1529" s="14">
        <f>L1529*T1529</f>
        <v>0</v>
      </c>
      <c r="V1529" s="14">
        <f>S1529-U1529</f>
        <v>8000</v>
      </c>
      <c r="W1529" s="16">
        <f>IF(S1529&gt;0, V1529/S1529, 0)</f>
        <v>1</v>
      </c>
      <c r="X1529" s="7" t="s">
        <v>39</v>
      </c>
      <c r="Y1529" s="9" t="s">
        <v>40</v>
      </c>
      <c r="Z1529" s="9" t="s">
        <v>41</v>
      </c>
      <c r="AA1529" s="9" t="s">
        <v>42</v>
      </c>
      <c r="AB1529" s="7" t="s">
        <v>42</v>
      </c>
    </row>
    <row r="1530" spans="1:28">
      <c r="A1530" s="8">
        <v>1523</v>
      </c>
      <c r="B1530" s="8" t="s">
        <v>1869</v>
      </c>
      <c r="C1530" s="8" t="s">
        <v>1837</v>
      </c>
      <c r="D1530" s="8" t="s">
        <v>1824</v>
      </c>
      <c r="E1530" s="8" t="s">
        <v>33</v>
      </c>
      <c r="F1530" s="6" t="s">
        <v>50</v>
      </c>
      <c r="G1530" s="6" t="s">
        <v>35</v>
      </c>
      <c r="H1530" s="6" t="s">
        <v>73</v>
      </c>
      <c r="I1530" s="8">
        <v>128</v>
      </c>
      <c r="J1530" s="8" t="s">
        <v>185</v>
      </c>
      <c r="K1530" s="8" t="s">
        <v>53</v>
      </c>
      <c r="L1530" s="10">
        <v>1</v>
      </c>
      <c r="M1530" s="13">
        <v>8000.0</v>
      </c>
      <c r="N1530" s="13"/>
      <c r="O1530" s="15">
        <f>IF(M1530&gt;0, N1530/M1530, 0)</f>
        <v>0</v>
      </c>
      <c r="P1530" s="13">
        <f>M1530-N1530</f>
        <v>8000</v>
      </c>
      <c r="Q1530" s="13">
        <f>L1530*M1530</f>
        <v>8000</v>
      </c>
      <c r="R1530" s="13">
        <f>L1530*N1530</f>
        <v>0</v>
      </c>
      <c r="S1530" s="13">
        <f>L1530*P1530</f>
        <v>8000</v>
      </c>
      <c r="T1530" s="13"/>
      <c r="U1530" s="13">
        <f>L1530*T1530</f>
        <v>0</v>
      </c>
      <c r="V1530" s="13">
        <f>S1530-U1530</f>
        <v>8000</v>
      </c>
      <c r="W1530" s="15">
        <f>IF(S1530&gt;0, V1530/S1530, 0)</f>
        <v>1</v>
      </c>
      <c r="X1530" s="6" t="s">
        <v>39</v>
      </c>
      <c r="Y1530" s="8" t="s">
        <v>40</v>
      </c>
      <c r="Z1530" s="8" t="s">
        <v>41</v>
      </c>
      <c r="AA1530" s="8" t="s">
        <v>42</v>
      </c>
      <c r="AB1530" s="6" t="s">
        <v>42</v>
      </c>
    </row>
    <row r="1531" spans="1:28">
      <c r="A1531" s="9">
        <v>1524</v>
      </c>
      <c r="B1531" s="9" t="s">
        <v>1870</v>
      </c>
      <c r="C1531" s="9" t="s">
        <v>1837</v>
      </c>
      <c r="D1531" s="9" t="s">
        <v>1824</v>
      </c>
      <c r="E1531" s="9" t="s">
        <v>33</v>
      </c>
      <c r="F1531" s="7" t="s">
        <v>50</v>
      </c>
      <c r="G1531" s="7" t="s">
        <v>35</v>
      </c>
      <c r="H1531" s="7" t="s">
        <v>36</v>
      </c>
      <c r="I1531" s="9">
        <v>128</v>
      </c>
      <c r="J1531" s="9" t="s">
        <v>156</v>
      </c>
      <c r="K1531" s="9" t="s">
        <v>53</v>
      </c>
      <c r="L1531" s="11">
        <v>2</v>
      </c>
      <c r="M1531" s="14">
        <v>7000.0</v>
      </c>
      <c r="N1531" s="14"/>
      <c r="O1531" s="16">
        <f>IF(M1531&gt;0, N1531/M1531, 0)</f>
        <v>0</v>
      </c>
      <c r="P1531" s="14">
        <f>M1531-N1531</f>
        <v>7000</v>
      </c>
      <c r="Q1531" s="14">
        <f>L1531*M1531</f>
        <v>14000</v>
      </c>
      <c r="R1531" s="14">
        <f>L1531*N1531</f>
        <v>0</v>
      </c>
      <c r="S1531" s="14">
        <f>L1531*P1531</f>
        <v>14000</v>
      </c>
      <c r="T1531" s="14"/>
      <c r="U1531" s="14">
        <f>L1531*T1531</f>
        <v>0</v>
      </c>
      <c r="V1531" s="14">
        <f>S1531-U1531</f>
        <v>14000</v>
      </c>
      <c r="W1531" s="16">
        <f>IF(S1531&gt;0, V1531/S1531, 0)</f>
        <v>1</v>
      </c>
      <c r="X1531" s="7" t="s">
        <v>39</v>
      </c>
      <c r="Y1531" s="9" t="s">
        <v>40</v>
      </c>
      <c r="Z1531" s="9" t="s">
        <v>41</v>
      </c>
      <c r="AA1531" s="9" t="s">
        <v>42</v>
      </c>
      <c r="AB1531" s="7" t="s">
        <v>42</v>
      </c>
    </row>
    <row r="1532" spans="1:28">
      <c r="A1532" s="8">
        <v>1525</v>
      </c>
      <c r="B1532" s="8" t="s">
        <v>1871</v>
      </c>
      <c r="C1532" s="8" t="s">
        <v>1837</v>
      </c>
      <c r="D1532" s="8" t="s">
        <v>1824</v>
      </c>
      <c r="E1532" s="8" t="s">
        <v>68</v>
      </c>
      <c r="F1532" s="6" t="s">
        <v>50</v>
      </c>
      <c r="G1532" s="6" t="s">
        <v>56</v>
      </c>
      <c r="H1532" s="6" t="s">
        <v>56</v>
      </c>
      <c r="I1532" s="8">
        <v>128</v>
      </c>
      <c r="J1532" s="8" t="s">
        <v>577</v>
      </c>
      <c r="K1532" s="8" t="s">
        <v>38</v>
      </c>
      <c r="L1532" s="10">
        <v>1</v>
      </c>
      <c r="M1532" s="13">
        <v>8000.0</v>
      </c>
      <c r="N1532" s="13"/>
      <c r="O1532" s="15">
        <f>IF(M1532&gt;0, N1532/M1532, 0)</f>
        <v>0</v>
      </c>
      <c r="P1532" s="13">
        <f>M1532-N1532</f>
        <v>8000</v>
      </c>
      <c r="Q1532" s="13">
        <f>L1532*M1532</f>
        <v>8000</v>
      </c>
      <c r="R1532" s="13">
        <f>L1532*N1532</f>
        <v>0</v>
      </c>
      <c r="S1532" s="13">
        <f>L1532*P1532</f>
        <v>8000</v>
      </c>
      <c r="T1532" s="13"/>
      <c r="U1532" s="13">
        <f>L1532*T1532</f>
        <v>0</v>
      </c>
      <c r="V1532" s="13">
        <f>S1532-U1532</f>
        <v>8000</v>
      </c>
      <c r="W1532" s="15">
        <f>IF(S1532&gt;0, V1532/S1532, 0)</f>
        <v>1</v>
      </c>
      <c r="X1532" s="6" t="s">
        <v>39</v>
      </c>
      <c r="Y1532" s="8" t="s">
        <v>40</v>
      </c>
      <c r="Z1532" s="8" t="s">
        <v>71</v>
      </c>
      <c r="AA1532" s="8" t="s">
        <v>42</v>
      </c>
      <c r="AB1532" s="6" t="s">
        <v>42</v>
      </c>
    </row>
    <row r="1533" spans="1:28">
      <c r="A1533" s="9">
        <v>1526</v>
      </c>
      <c r="B1533" s="9" t="s">
        <v>1872</v>
      </c>
      <c r="C1533" s="9" t="s">
        <v>1837</v>
      </c>
      <c r="D1533" s="9" t="s">
        <v>1824</v>
      </c>
      <c r="E1533" s="9" t="s">
        <v>33</v>
      </c>
      <c r="F1533" s="7" t="s">
        <v>50</v>
      </c>
      <c r="G1533" s="7" t="s">
        <v>51</v>
      </c>
      <c r="H1533" s="7" t="s">
        <v>51</v>
      </c>
      <c r="I1533" s="9">
        <v>134</v>
      </c>
      <c r="J1533" s="9" t="s">
        <v>175</v>
      </c>
      <c r="K1533" s="9" t="s">
        <v>53</v>
      </c>
      <c r="L1533" s="11">
        <v>1</v>
      </c>
      <c r="M1533" s="14">
        <v>8000.0</v>
      </c>
      <c r="N1533" s="14"/>
      <c r="O1533" s="16">
        <f>IF(M1533&gt;0, N1533/M1533, 0)</f>
        <v>0</v>
      </c>
      <c r="P1533" s="14">
        <f>M1533-N1533</f>
        <v>8000</v>
      </c>
      <c r="Q1533" s="14">
        <f>L1533*M1533</f>
        <v>8000</v>
      </c>
      <c r="R1533" s="14">
        <f>L1533*N1533</f>
        <v>0</v>
      </c>
      <c r="S1533" s="14">
        <f>L1533*P1533</f>
        <v>8000</v>
      </c>
      <c r="T1533" s="14"/>
      <c r="U1533" s="14">
        <f>L1533*T1533</f>
        <v>0</v>
      </c>
      <c r="V1533" s="14">
        <f>S1533-U1533</f>
        <v>8000</v>
      </c>
      <c r="W1533" s="16">
        <f>IF(S1533&gt;0, V1533/S1533, 0)</f>
        <v>1</v>
      </c>
      <c r="X1533" s="7" t="s">
        <v>39</v>
      </c>
      <c r="Y1533" s="9" t="s">
        <v>40</v>
      </c>
      <c r="Z1533" s="9" t="s">
        <v>41</v>
      </c>
      <c r="AA1533" s="9" t="s">
        <v>42</v>
      </c>
      <c r="AB1533" s="7" t="s">
        <v>42</v>
      </c>
    </row>
    <row r="1534" spans="1:28">
      <c r="A1534" s="8">
        <v>1527</v>
      </c>
      <c r="B1534" s="8" t="s">
        <v>1873</v>
      </c>
      <c r="C1534" s="8" t="s">
        <v>1837</v>
      </c>
      <c r="D1534" s="8" t="s">
        <v>1824</v>
      </c>
      <c r="E1534" s="8" t="s">
        <v>33</v>
      </c>
      <c r="F1534" s="6" t="s">
        <v>50</v>
      </c>
      <c r="G1534" s="6" t="s">
        <v>45</v>
      </c>
      <c r="H1534" s="6" t="s">
        <v>46</v>
      </c>
      <c r="I1534" s="8">
        <v>128</v>
      </c>
      <c r="J1534" s="8" t="s">
        <v>183</v>
      </c>
      <c r="K1534" s="8" t="s">
        <v>38</v>
      </c>
      <c r="L1534" s="10">
        <v>1</v>
      </c>
      <c r="M1534" s="13">
        <v>18000.0</v>
      </c>
      <c r="N1534" s="13"/>
      <c r="O1534" s="15">
        <f>IF(M1534&gt;0, N1534/M1534, 0)</f>
        <v>0</v>
      </c>
      <c r="P1534" s="13">
        <f>M1534-N1534</f>
        <v>18000</v>
      </c>
      <c r="Q1534" s="13">
        <f>L1534*M1534</f>
        <v>18000</v>
      </c>
      <c r="R1534" s="13">
        <f>L1534*N1534</f>
        <v>0</v>
      </c>
      <c r="S1534" s="13">
        <f>L1534*P1534</f>
        <v>18000</v>
      </c>
      <c r="T1534" s="13"/>
      <c r="U1534" s="13">
        <f>L1534*T1534</f>
        <v>0</v>
      </c>
      <c r="V1534" s="13">
        <f>S1534-U1534</f>
        <v>18000</v>
      </c>
      <c r="W1534" s="15">
        <f>IF(S1534&gt;0, V1534/S1534, 0)</f>
        <v>1</v>
      </c>
      <c r="X1534" s="6" t="s">
        <v>39</v>
      </c>
      <c r="Y1534" s="8" t="s">
        <v>40</v>
      </c>
      <c r="Z1534" s="8" t="s">
        <v>41</v>
      </c>
      <c r="AA1534" s="8" t="s">
        <v>42</v>
      </c>
      <c r="AB1534" s="6" t="s">
        <v>42</v>
      </c>
    </row>
    <row r="1535" spans="1:28">
      <c r="A1535" s="9">
        <v>1528</v>
      </c>
      <c r="B1535" s="9" t="s">
        <v>1874</v>
      </c>
      <c r="C1535" s="9" t="s">
        <v>1837</v>
      </c>
      <c r="D1535" s="9" t="s">
        <v>1824</v>
      </c>
      <c r="E1535" s="9" t="s">
        <v>33</v>
      </c>
      <c r="F1535" s="7" t="s">
        <v>50</v>
      </c>
      <c r="G1535" s="7" t="s">
        <v>35</v>
      </c>
      <c r="H1535" s="7" t="s">
        <v>36</v>
      </c>
      <c r="I1535" s="9">
        <v>128</v>
      </c>
      <c r="J1535" s="9" t="s">
        <v>156</v>
      </c>
      <c r="K1535" s="9" t="s">
        <v>53</v>
      </c>
      <c r="L1535" s="11">
        <v>1</v>
      </c>
      <c r="M1535" s="14">
        <v>7000.0</v>
      </c>
      <c r="N1535" s="14"/>
      <c r="O1535" s="16">
        <f>IF(M1535&gt;0, N1535/M1535, 0)</f>
        <v>0</v>
      </c>
      <c r="P1535" s="14">
        <f>M1535-N1535</f>
        <v>7000</v>
      </c>
      <c r="Q1535" s="14">
        <f>L1535*M1535</f>
        <v>7000</v>
      </c>
      <c r="R1535" s="14">
        <f>L1535*N1535</f>
        <v>0</v>
      </c>
      <c r="S1535" s="14">
        <f>L1535*P1535</f>
        <v>7000</v>
      </c>
      <c r="T1535" s="14"/>
      <c r="U1535" s="14">
        <f>L1535*T1535</f>
        <v>0</v>
      </c>
      <c r="V1535" s="14">
        <f>S1535-U1535</f>
        <v>7000</v>
      </c>
      <c r="W1535" s="16">
        <f>IF(S1535&gt;0, V1535/S1535, 0)</f>
        <v>1</v>
      </c>
      <c r="X1535" s="7" t="s">
        <v>39</v>
      </c>
      <c r="Y1535" s="9" t="s">
        <v>40</v>
      </c>
      <c r="Z1535" s="9" t="s">
        <v>41</v>
      </c>
      <c r="AA1535" s="9" t="s">
        <v>42</v>
      </c>
      <c r="AB1535" s="7" t="s">
        <v>42</v>
      </c>
    </row>
    <row r="1536" spans="1:28">
      <c r="A1536" s="8">
        <v>1529</v>
      </c>
      <c r="B1536" s="8" t="s">
        <v>1875</v>
      </c>
      <c r="C1536" s="8" t="s">
        <v>1837</v>
      </c>
      <c r="D1536" s="8" t="s">
        <v>1824</v>
      </c>
      <c r="E1536" s="8" t="s">
        <v>33</v>
      </c>
      <c r="F1536" s="6" t="s">
        <v>34</v>
      </c>
      <c r="G1536" s="6" t="s">
        <v>35</v>
      </c>
      <c r="H1536" s="6" t="s">
        <v>36</v>
      </c>
      <c r="I1536" s="8">
        <v>134</v>
      </c>
      <c r="J1536" s="8" t="s">
        <v>722</v>
      </c>
      <c r="K1536" s="8" t="s">
        <v>38</v>
      </c>
      <c r="L1536" s="10">
        <v>1</v>
      </c>
      <c r="M1536" s="13">
        <v>7000.0</v>
      </c>
      <c r="N1536" s="13"/>
      <c r="O1536" s="15">
        <f>IF(M1536&gt;0, N1536/M1536, 0)</f>
        <v>0</v>
      </c>
      <c r="P1536" s="13">
        <f>M1536-N1536</f>
        <v>7000</v>
      </c>
      <c r="Q1536" s="13">
        <f>L1536*M1536</f>
        <v>7000</v>
      </c>
      <c r="R1536" s="13">
        <f>L1536*N1536</f>
        <v>0</v>
      </c>
      <c r="S1536" s="13">
        <f>L1536*P1536</f>
        <v>7000</v>
      </c>
      <c r="T1536" s="13"/>
      <c r="U1536" s="13">
        <f>L1536*T1536</f>
        <v>0</v>
      </c>
      <c r="V1536" s="13">
        <f>S1536-U1536</f>
        <v>7000</v>
      </c>
      <c r="W1536" s="15">
        <f>IF(S1536&gt;0, V1536/S1536, 0)</f>
        <v>1</v>
      </c>
      <c r="X1536" s="6" t="s">
        <v>39</v>
      </c>
      <c r="Y1536" s="8" t="s">
        <v>40</v>
      </c>
      <c r="Z1536" s="8" t="s">
        <v>41</v>
      </c>
      <c r="AA1536" s="8" t="s">
        <v>42</v>
      </c>
      <c r="AB1536" s="6" t="s">
        <v>42</v>
      </c>
    </row>
    <row r="1537" spans="1:28">
      <c r="A1537" s="9">
        <v>1530</v>
      </c>
      <c r="B1537" s="9" t="s">
        <v>1876</v>
      </c>
      <c r="C1537" s="9" t="s">
        <v>1837</v>
      </c>
      <c r="D1537" s="9" t="s">
        <v>1824</v>
      </c>
      <c r="E1537" s="9" t="s">
        <v>33</v>
      </c>
      <c r="F1537" s="7" t="s">
        <v>34</v>
      </c>
      <c r="G1537" s="7" t="s">
        <v>35</v>
      </c>
      <c r="H1537" s="7" t="s">
        <v>36</v>
      </c>
      <c r="I1537" s="9">
        <v>152</v>
      </c>
      <c r="J1537" s="9" t="s">
        <v>726</v>
      </c>
      <c r="K1537" s="9" t="s">
        <v>38</v>
      </c>
      <c r="L1537" s="11">
        <v>2</v>
      </c>
      <c r="M1537" s="14">
        <v>8000.0</v>
      </c>
      <c r="N1537" s="14"/>
      <c r="O1537" s="16">
        <f>IF(M1537&gt;0, N1537/M1537, 0)</f>
        <v>0</v>
      </c>
      <c r="P1537" s="14">
        <f>M1537-N1537</f>
        <v>8000</v>
      </c>
      <c r="Q1537" s="14">
        <f>L1537*M1537</f>
        <v>16000</v>
      </c>
      <c r="R1537" s="14">
        <f>L1537*N1537</f>
        <v>0</v>
      </c>
      <c r="S1537" s="14">
        <f>L1537*P1537</f>
        <v>16000</v>
      </c>
      <c r="T1537" s="14"/>
      <c r="U1537" s="14">
        <f>L1537*T1537</f>
        <v>0</v>
      </c>
      <c r="V1537" s="14">
        <f>S1537-U1537</f>
        <v>16000</v>
      </c>
      <c r="W1537" s="16">
        <f>IF(S1537&gt;0, V1537/S1537, 0)</f>
        <v>1</v>
      </c>
      <c r="X1537" s="7" t="s">
        <v>39</v>
      </c>
      <c r="Y1537" s="9" t="s">
        <v>40</v>
      </c>
      <c r="Z1537" s="9" t="s">
        <v>41</v>
      </c>
      <c r="AA1537" s="9" t="s">
        <v>42</v>
      </c>
      <c r="AB1537" s="7" t="s">
        <v>42</v>
      </c>
    </row>
    <row r="1538" spans="1:28">
      <c r="A1538" s="8">
        <v>1531</v>
      </c>
      <c r="B1538" s="8" t="s">
        <v>1877</v>
      </c>
      <c r="C1538" s="8" t="s">
        <v>1878</v>
      </c>
      <c r="D1538" s="8" t="s">
        <v>1824</v>
      </c>
      <c r="E1538" s="8" t="s">
        <v>33</v>
      </c>
      <c r="F1538" s="6" t="s">
        <v>50</v>
      </c>
      <c r="G1538" s="6" t="s">
        <v>51</v>
      </c>
      <c r="H1538" s="6" t="s">
        <v>51</v>
      </c>
      <c r="I1538" s="8">
        <v>152</v>
      </c>
      <c r="J1538" s="8" t="s">
        <v>402</v>
      </c>
      <c r="K1538" s="8" t="s">
        <v>53</v>
      </c>
      <c r="L1538" s="10">
        <v>1</v>
      </c>
      <c r="M1538" s="13">
        <v>8000.0</v>
      </c>
      <c r="N1538" s="13"/>
      <c r="O1538" s="15">
        <f>IF(M1538&gt;0, N1538/M1538, 0)</f>
        <v>0</v>
      </c>
      <c r="P1538" s="13">
        <f>M1538-N1538</f>
        <v>8000</v>
      </c>
      <c r="Q1538" s="13">
        <f>L1538*M1538</f>
        <v>8000</v>
      </c>
      <c r="R1538" s="13">
        <f>L1538*N1538</f>
        <v>0</v>
      </c>
      <c r="S1538" s="13">
        <f>L1538*P1538</f>
        <v>8000</v>
      </c>
      <c r="T1538" s="13"/>
      <c r="U1538" s="13">
        <f>L1538*T1538</f>
        <v>0</v>
      </c>
      <c r="V1538" s="13">
        <f>S1538-U1538</f>
        <v>8000</v>
      </c>
      <c r="W1538" s="15">
        <f>IF(S1538&gt;0, V1538/S1538, 0)</f>
        <v>1</v>
      </c>
      <c r="X1538" s="6" t="s">
        <v>39</v>
      </c>
      <c r="Y1538" s="8" t="s">
        <v>40</v>
      </c>
      <c r="Z1538" s="8" t="s">
        <v>41</v>
      </c>
      <c r="AA1538" s="8" t="s">
        <v>42</v>
      </c>
      <c r="AB1538" s="6" t="s">
        <v>42</v>
      </c>
    </row>
    <row r="1539" spans="1:28">
      <c r="A1539" s="9">
        <v>1532</v>
      </c>
      <c r="B1539" s="9" t="s">
        <v>1879</v>
      </c>
      <c r="C1539" s="9" t="s">
        <v>1878</v>
      </c>
      <c r="D1539" s="9" t="s">
        <v>1824</v>
      </c>
      <c r="E1539" s="9" t="s">
        <v>33</v>
      </c>
      <c r="F1539" s="7" t="s">
        <v>50</v>
      </c>
      <c r="G1539" s="7" t="s">
        <v>45</v>
      </c>
      <c r="H1539" s="7" t="s">
        <v>46</v>
      </c>
      <c r="I1539" s="9">
        <v>152</v>
      </c>
      <c r="J1539" s="9" t="s">
        <v>411</v>
      </c>
      <c r="K1539" s="9" t="s">
        <v>38</v>
      </c>
      <c r="L1539" s="11">
        <v>1</v>
      </c>
      <c r="M1539" s="14">
        <v>18000.0</v>
      </c>
      <c r="N1539" s="14"/>
      <c r="O1539" s="16">
        <f>IF(M1539&gt;0, N1539/M1539, 0)</f>
        <v>0</v>
      </c>
      <c r="P1539" s="14">
        <f>M1539-N1539</f>
        <v>18000</v>
      </c>
      <c r="Q1539" s="14">
        <f>L1539*M1539</f>
        <v>18000</v>
      </c>
      <c r="R1539" s="14">
        <f>L1539*N1539</f>
        <v>0</v>
      </c>
      <c r="S1539" s="14">
        <f>L1539*P1539</f>
        <v>18000</v>
      </c>
      <c r="T1539" s="14"/>
      <c r="U1539" s="14">
        <f>L1539*T1539</f>
        <v>0</v>
      </c>
      <c r="V1539" s="14">
        <f>S1539-U1539</f>
        <v>18000</v>
      </c>
      <c r="W1539" s="16">
        <f>IF(S1539&gt;0, V1539/S1539, 0)</f>
        <v>1</v>
      </c>
      <c r="X1539" s="7" t="s">
        <v>39</v>
      </c>
      <c r="Y1539" s="9" t="s">
        <v>40</v>
      </c>
      <c r="Z1539" s="9" t="s">
        <v>41</v>
      </c>
      <c r="AA1539" s="9" t="s">
        <v>42</v>
      </c>
      <c r="AB1539" s="7" t="s">
        <v>42</v>
      </c>
    </row>
    <row r="1540" spans="1:28">
      <c r="A1540" s="8">
        <v>1533</v>
      </c>
      <c r="B1540" s="8" t="s">
        <v>1880</v>
      </c>
      <c r="C1540" s="8" t="s">
        <v>1878</v>
      </c>
      <c r="D1540" s="8" t="s">
        <v>1824</v>
      </c>
      <c r="E1540" s="8" t="s">
        <v>33</v>
      </c>
      <c r="F1540" s="6" t="s">
        <v>50</v>
      </c>
      <c r="G1540" s="6" t="s">
        <v>35</v>
      </c>
      <c r="H1540" s="6" t="s">
        <v>36</v>
      </c>
      <c r="I1540" s="8">
        <v>152</v>
      </c>
      <c r="J1540" s="8" t="s">
        <v>151</v>
      </c>
      <c r="K1540" s="8" t="s">
        <v>53</v>
      </c>
      <c r="L1540" s="10">
        <v>8</v>
      </c>
      <c r="M1540" s="13">
        <v>7000.0</v>
      </c>
      <c r="N1540" s="13"/>
      <c r="O1540" s="15">
        <f>IF(M1540&gt;0, N1540/M1540, 0)</f>
        <v>0</v>
      </c>
      <c r="P1540" s="13">
        <f>M1540-N1540</f>
        <v>7000</v>
      </c>
      <c r="Q1540" s="13">
        <f>L1540*M1540</f>
        <v>56000</v>
      </c>
      <c r="R1540" s="13">
        <f>L1540*N1540</f>
        <v>0</v>
      </c>
      <c r="S1540" s="13">
        <f>L1540*P1540</f>
        <v>56000</v>
      </c>
      <c r="T1540" s="13"/>
      <c r="U1540" s="13">
        <f>L1540*T1540</f>
        <v>0</v>
      </c>
      <c r="V1540" s="13">
        <f>S1540-U1540</f>
        <v>56000</v>
      </c>
      <c r="W1540" s="15">
        <f>IF(S1540&gt;0, V1540/S1540, 0)</f>
        <v>1</v>
      </c>
      <c r="X1540" s="6" t="s">
        <v>39</v>
      </c>
      <c r="Y1540" s="8" t="s">
        <v>40</v>
      </c>
      <c r="Z1540" s="8" t="s">
        <v>41</v>
      </c>
      <c r="AA1540" s="8" t="s">
        <v>42</v>
      </c>
      <c r="AB1540" s="6" t="s">
        <v>42</v>
      </c>
    </row>
    <row r="1541" spans="1:28">
      <c r="A1541" s="9">
        <v>1534</v>
      </c>
      <c r="B1541" s="9" t="s">
        <v>1881</v>
      </c>
      <c r="C1541" s="9" t="s">
        <v>1878</v>
      </c>
      <c r="D1541" s="9" t="s">
        <v>1824</v>
      </c>
      <c r="E1541" s="9" t="s">
        <v>33</v>
      </c>
      <c r="F1541" s="7" t="s">
        <v>50</v>
      </c>
      <c r="G1541" s="7" t="s">
        <v>35</v>
      </c>
      <c r="H1541" s="7" t="s">
        <v>36</v>
      </c>
      <c r="I1541" s="9">
        <v>164</v>
      </c>
      <c r="J1541" s="9" t="s">
        <v>407</v>
      </c>
      <c r="K1541" s="9" t="s">
        <v>53</v>
      </c>
      <c r="L1541" s="11">
        <v>8</v>
      </c>
      <c r="M1541" s="14">
        <v>7000.0</v>
      </c>
      <c r="N1541" s="14"/>
      <c r="O1541" s="16">
        <f>IF(M1541&gt;0, N1541/M1541, 0)</f>
        <v>0</v>
      </c>
      <c r="P1541" s="14">
        <f>M1541-N1541</f>
        <v>7000</v>
      </c>
      <c r="Q1541" s="14">
        <f>L1541*M1541</f>
        <v>56000</v>
      </c>
      <c r="R1541" s="14">
        <f>L1541*N1541</f>
        <v>0</v>
      </c>
      <c r="S1541" s="14">
        <f>L1541*P1541</f>
        <v>56000</v>
      </c>
      <c r="T1541" s="14"/>
      <c r="U1541" s="14">
        <f>L1541*T1541</f>
        <v>0</v>
      </c>
      <c r="V1541" s="14">
        <f>S1541-U1541</f>
        <v>56000</v>
      </c>
      <c r="W1541" s="16">
        <f>IF(S1541&gt;0, V1541/S1541, 0)</f>
        <v>1</v>
      </c>
      <c r="X1541" s="7" t="s">
        <v>39</v>
      </c>
      <c r="Y1541" s="9" t="s">
        <v>40</v>
      </c>
      <c r="Z1541" s="9" t="s">
        <v>41</v>
      </c>
      <c r="AA1541" s="9" t="s">
        <v>42</v>
      </c>
      <c r="AB1541" s="7" t="s">
        <v>42</v>
      </c>
    </row>
    <row r="1542" spans="1:28">
      <c r="A1542" s="8">
        <v>1535</v>
      </c>
      <c r="B1542" s="8" t="s">
        <v>1882</v>
      </c>
      <c r="C1542" s="8" t="s">
        <v>1878</v>
      </c>
      <c r="D1542" s="8" t="s">
        <v>1824</v>
      </c>
      <c r="E1542" s="8" t="s">
        <v>33</v>
      </c>
      <c r="F1542" s="6" t="s">
        <v>34</v>
      </c>
      <c r="G1542" s="6" t="s">
        <v>69</v>
      </c>
      <c r="H1542" s="6" t="s">
        <v>69</v>
      </c>
      <c r="I1542" s="8">
        <v>170</v>
      </c>
      <c r="J1542" s="8" t="s">
        <v>179</v>
      </c>
      <c r="K1542" s="8" t="s">
        <v>38</v>
      </c>
      <c r="L1542" s="10">
        <v>1</v>
      </c>
      <c r="M1542" s="13">
        <v>16500.0</v>
      </c>
      <c r="N1542" s="13"/>
      <c r="O1542" s="15">
        <f>IF(M1542&gt;0, N1542/M1542, 0)</f>
        <v>0</v>
      </c>
      <c r="P1542" s="13">
        <f>M1542-N1542</f>
        <v>16500</v>
      </c>
      <c r="Q1542" s="13">
        <f>L1542*M1542</f>
        <v>16500</v>
      </c>
      <c r="R1542" s="13">
        <f>L1542*N1542</f>
        <v>0</v>
      </c>
      <c r="S1542" s="13">
        <f>L1542*P1542</f>
        <v>16500</v>
      </c>
      <c r="T1542" s="13"/>
      <c r="U1542" s="13">
        <f>L1542*T1542</f>
        <v>0</v>
      </c>
      <c r="V1542" s="13">
        <f>S1542-U1542</f>
        <v>16500</v>
      </c>
      <c r="W1542" s="15">
        <f>IF(S1542&gt;0, V1542/S1542, 0)</f>
        <v>1</v>
      </c>
      <c r="X1542" s="6" t="s">
        <v>39</v>
      </c>
      <c r="Y1542" s="8" t="s">
        <v>40</v>
      </c>
      <c r="Z1542" s="8" t="s">
        <v>41</v>
      </c>
      <c r="AA1542" s="8" t="s">
        <v>42</v>
      </c>
      <c r="AB1542" s="6" t="s">
        <v>42</v>
      </c>
    </row>
    <row r="1543" spans="1:28">
      <c r="A1543" s="9">
        <v>1536</v>
      </c>
      <c r="B1543" s="9" t="s">
        <v>1883</v>
      </c>
      <c r="C1543" s="9" t="s">
        <v>1878</v>
      </c>
      <c r="D1543" s="9" t="s">
        <v>1824</v>
      </c>
      <c r="E1543" s="9" t="s">
        <v>33</v>
      </c>
      <c r="F1543" s="7" t="s">
        <v>34</v>
      </c>
      <c r="G1543" s="7" t="s">
        <v>56</v>
      </c>
      <c r="H1543" s="7" t="s">
        <v>56</v>
      </c>
      <c r="I1543" s="9">
        <v>170</v>
      </c>
      <c r="J1543" s="9" t="s">
        <v>212</v>
      </c>
      <c r="K1543" s="9" t="s">
        <v>38</v>
      </c>
      <c r="L1543" s="11">
        <v>1</v>
      </c>
      <c r="M1543" s="14">
        <v>7500.0</v>
      </c>
      <c r="N1543" s="14"/>
      <c r="O1543" s="16">
        <f>IF(M1543&gt;0, N1543/M1543, 0)</f>
        <v>0</v>
      </c>
      <c r="P1543" s="14">
        <f>M1543-N1543</f>
        <v>7500</v>
      </c>
      <c r="Q1543" s="14">
        <f>L1543*M1543</f>
        <v>7500</v>
      </c>
      <c r="R1543" s="14">
        <f>L1543*N1543</f>
        <v>0</v>
      </c>
      <c r="S1543" s="14">
        <f>L1543*P1543</f>
        <v>7500</v>
      </c>
      <c r="T1543" s="14"/>
      <c r="U1543" s="14">
        <f>L1543*T1543</f>
        <v>0</v>
      </c>
      <c r="V1543" s="14">
        <f>S1543-U1543</f>
        <v>7500</v>
      </c>
      <c r="W1543" s="16">
        <f>IF(S1543&gt;0, V1543/S1543, 0)</f>
        <v>1</v>
      </c>
      <c r="X1543" s="7" t="s">
        <v>39</v>
      </c>
      <c r="Y1543" s="9" t="s">
        <v>40</v>
      </c>
      <c r="Z1543" s="9" t="s">
        <v>41</v>
      </c>
      <c r="AA1543" s="9" t="s">
        <v>42</v>
      </c>
      <c r="AB1543" s="7" t="s">
        <v>42</v>
      </c>
    </row>
    <row r="1544" spans="1:28">
      <c r="A1544" s="8">
        <v>1537</v>
      </c>
      <c r="B1544" s="8" t="s">
        <v>1884</v>
      </c>
      <c r="C1544" s="8" t="s">
        <v>1878</v>
      </c>
      <c r="D1544" s="8" t="s">
        <v>1824</v>
      </c>
      <c r="E1544" s="8" t="s">
        <v>33</v>
      </c>
      <c r="F1544" s="6" t="s">
        <v>34</v>
      </c>
      <c r="G1544" s="6" t="s">
        <v>45</v>
      </c>
      <c r="H1544" s="6" t="s">
        <v>46</v>
      </c>
      <c r="I1544" s="8">
        <v>170</v>
      </c>
      <c r="J1544" s="8" t="s">
        <v>181</v>
      </c>
      <c r="K1544" s="8" t="s">
        <v>38</v>
      </c>
      <c r="L1544" s="10">
        <v>1</v>
      </c>
      <c r="M1544" s="13">
        <v>18000.0</v>
      </c>
      <c r="N1544" s="13"/>
      <c r="O1544" s="15">
        <f>IF(M1544&gt;0, N1544/M1544, 0)</f>
        <v>0</v>
      </c>
      <c r="P1544" s="13">
        <f>M1544-N1544</f>
        <v>18000</v>
      </c>
      <c r="Q1544" s="13">
        <f>L1544*M1544</f>
        <v>18000</v>
      </c>
      <c r="R1544" s="13">
        <f>L1544*N1544</f>
        <v>0</v>
      </c>
      <c r="S1544" s="13">
        <f>L1544*P1544</f>
        <v>18000</v>
      </c>
      <c r="T1544" s="13"/>
      <c r="U1544" s="13">
        <f>L1544*T1544</f>
        <v>0</v>
      </c>
      <c r="V1544" s="13">
        <f>S1544-U1544</f>
        <v>18000</v>
      </c>
      <c r="W1544" s="15">
        <f>IF(S1544&gt;0, V1544/S1544, 0)</f>
        <v>1</v>
      </c>
      <c r="X1544" s="6" t="s">
        <v>39</v>
      </c>
      <c r="Y1544" s="8" t="s">
        <v>40</v>
      </c>
      <c r="Z1544" s="8" t="s">
        <v>41</v>
      </c>
      <c r="AA1544" s="8" t="s">
        <v>42</v>
      </c>
      <c r="AB1544" s="6" t="s">
        <v>42</v>
      </c>
    </row>
    <row r="1545" spans="1:28">
      <c r="A1545" s="9">
        <v>1538</v>
      </c>
      <c r="B1545" s="9" t="s">
        <v>1885</v>
      </c>
      <c r="C1545" s="9" t="s">
        <v>1878</v>
      </c>
      <c r="D1545" s="9" t="s">
        <v>1824</v>
      </c>
      <c r="E1545" s="9" t="s">
        <v>33</v>
      </c>
      <c r="F1545" s="7" t="s">
        <v>34</v>
      </c>
      <c r="G1545" s="7" t="s">
        <v>51</v>
      </c>
      <c r="H1545" s="7" t="s">
        <v>51</v>
      </c>
      <c r="I1545" s="9">
        <v>170</v>
      </c>
      <c r="J1545" s="9" t="s">
        <v>1137</v>
      </c>
      <c r="K1545" s="9" t="s">
        <v>38</v>
      </c>
      <c r="L1545" s="11">
        <v>1</v>
      </c>
      <c r="M1545" s="14">
        <v>8500.0</v>
      </c>
      <c r="N1545" s="14"/>
      <c r="O1545" s="16">
        <f>IF(M1545&gt;0, N1545/M1545, 0)</f>
        <v>0</v>
      </c>
      <c r="P1545" s="14">
        <f>M1545-N1545</f>
        <v>8500</v>
      </c>
      <c r="Q1545" s="14">
        <f>L1545*M1545</f>
        <v>8500</v>
      </c>
      <c r="R1545" s="14">
        <f>L1545*N1545</f>
        <v>0</v>
      </c>
      <c r="S1545" s="14">
        <f>L1545*P1545</f>
        <v>8500</v>
      </c>
      <c r="T1545" s="14"/>
      <c r="U1545" s="14">
        <f>L1545*T1545</f>
        <v>0</v>
      </c>
      <c r="V1545" s="14">
        <f>S1545-U1545</f>
        <v>8500</v>
      </c>
      <c r="W1545" s="16">
        <f>IF(S1545&gt;0, V1545/S1545, 0)</f>
        <v>1</v>
      </c>
      <c r="X1545" s="7" t="s">
        <v>39</v>
      </c>
      <c r="Y1545" s="9" t="s">
        <v>40</v>
      </c>
      <c r="Z1545" s="9" t="s">
        <v>41</v>
      </c>
      <c r="AA1545" s="9" t="s">
        <v>42</v>
      </c>
      <c r="AB1545" s="7" t="s">
        <v>42</v>
      </c>
    </row>
    <row r="1546" spans="1:28">
      <c r="A1546" s="8">
        <v>1539</v>
      </c>
      <c r="B1546" s="8" t="s">
        <v>1886</v>
      </c>
      <c r="C1546" s="8" t="s">
        <v>1878</v>
      </c>
      <c r="D1546" s="8" t="s">
        <v>1824</v>
      </c>
      <c r="E1546" s="8" t="s">
        <v>33</v>
      </c>
      <c r="F1546" s="6" t="s">
        <v>34</v>
      </c>
      <c r="G1546" s="6" t="s">
        <v>35</v>
      </c>
      <c r="H1546" s="6" t="s">
        <v>36</v>
      </c>
      <c r="I1546" s="8">
        <v>170</v>
      </c>
      <c r="J1546" s="8" t="s">
        <v>142</v>
      </c>
      <c r="K1546" s="8" t="s">
        <v>38</v>
      </c>
      <c r="L1546" s="10">
        <v>2</v>
      </c>
      <c r="M1546" s="13">
        <v>8000.0</v>
      </c>
      <c r="N1546" s="13"/>
      <c r="O1546" s="15">
        <f>IF(M1546&gt;0, N1546/M1546, 0)</f>
        <v>0</v>
      </c>
      <c r="P1546" s="13">
        <f>M1546-N1546</f>
        <v>8000</v>
      </c>
      <c r="Q1546" s="13">
        <f>L1546*M1546</f>
        <v>16000</v>
      </c>
      <c r="R1546" s="13">
        <f>L1546*N1546</f>
        <v>0</v>
      </c>
      <c r="S1546" s="13">
        <f>L1546*P1546</f>
        <v>16000</v>
      </c>
      <c r="T1546" s="13"/>
      <c r="U1546" s="13">
        <f>L1546*T1546</f>
        <v>0</v>
      </c>
      <c r="V1546" s="13">
        <f>S1546-U1546</f>
        <v>16000</v>
      </c>
      <c r="W1546" s="15">
        <f>IF(S1546&gt;0, V1546/S1546, 0)</f>
        <v>1</v>
      </c>
      <c r="X1546" s="6" t="s">
        <v>39</v>
      </c>
      <c r="Y1546" s="8" t="s">
        <v>40</v>
      </c>
      <c r="Z1546" s="8" t="s">
        <v>41</v>
      </c>
      <c r="AA1546" s="8" t="s">
        <v>42</v>
      </c>
      <c r="AB1546" s="6" t="s">
        <v>42</v>
      </c>
    </row>
    <row r="1547" spans="1:28">
      <c r="A1547" s="9">
        <v>1540</v>
      </c>
      <c r="B1547" s="9" t="s">
        <v>1887</v>
      </c>
      <c r="C1547" s="9" t="s">
        <v>1878</v>
      </c>
      <c r="D1547" s="9" t="s">
        <v>1824</v>
      </c>
      <c r="E1547" s="9" t="s">
        <v>33</v>
      </c>
      <c r="F1547" s="7" t="s">
        <v>34</v>
      </c>
      <c r="G1547" s="7" t="s">
        <v>35</v>
      </c>
      <c r="H1547" s="7" t="s">
        <v>73</v>
      </c>
      <c r="I1547" s="9">
        <v>170</v>
      </c>
      <c r="J1547" s="9" t="s">
        <v>648</v>
      </c>
      <c r="K1547" s="9" t="s">
        <v>38</v>
      </c>
      <c r="L1547" s="11">
        <v>2</v>
      </c>
      <c r="M1547" s="14">
        <v>8800.0</v>
      </c>
      <c r="N1547" s="14"/>
      <c r="O1547" s="16">
        <f>IF(M1547&gt;0, N1547/M1547, 0)</f>
        <v>0</v>
      </c>
      <c r="P1547" s="14">
        <f>M1547-N1547</f>
        <v>8800</v>
      </c>
      <c r="Q1547" s="14">
        <f>L1547*M1547</f>
        <v>17600</v>
      </c>
      <c r="R1547" s="14">
        <f>L1547*N1547</f>
        <v>0</v>
      </c>
      <c r="S1547" s="14">
        <f>L1547*P1547</f>
        <v>17600</v>
      </c>
      <c r="T1547" s="14"/>
      <c r="U1547" s="14">
        <f>L1547*T1547</f>
        <v>0</v>
      </c>
      <c r="V1547" s="14">
        <f>S1547-U1547</f>
        <v>17600</v>
      </c>
      <c r="W1547" s="16">
        <f>IF(S1547&gt;0, V1547/S1547, 0)</f>
        <v>1</v>
      </c>
      <c r="X1547" s="7" t="s">
        <v>39</v>
      </c>
      <c r="Y1547" s="9" t="s">
        <v>40</v>
      </c>
      <c r="Z1547" s="9" t="s">
        <v>41</v>
      </c>
      <c r="AA1547" s="9" t="s">
        <v>42</v>
      </c>
      <c r="AB1547" s="7" t="s">
        <v>42</v>
      </c>
    </row>
    <row r="1548" spans="1:28">
      <c r="A1548" s="8">
        <v>1541</v>
      </c>
      <c r="B1548" s="8" t="s">
        <v>1888</v>
      </c>
      <c r="C1548" s="8" t="s">
        <v>1889</v>
      </c>
      <c r="D1548" s="8" t="s">
        <v>1890</v>
      </c>
      <c r="E1548" s="8" t="s">
        <v>33</v>
      </c>
      <c r="F1548" s="6" t="s">
        <v>34</v>
      </c>
      <c r="G1548" s="6" t="s">
        <v>1852</v>
      </c>
      <c r="H1548" s="6" t="s">
        <v>1853</v>
      </c>
      <c r="I1548" s="8">
        <v>170</v>
      </c>
      <c r="J1548" s="8" t="s">
        <v>1891</v>
      </c>
      <c r="K1548" s="8" t="s">
        <v>42</v>
      </c>
      <c r="L1548" s="10">
        <v>1</v>
      </c>
      <c r="M1548" s="13">
        <v>9500.0</v>
      </c>
      <c r="N1548" s="13"/>
      <c r="O1548" s="15">
        <f>IF(M1548&gt;0, N1548/M1548, 0)</f>
        <v>0</v>
      </c>
      <c r="P1548" s="13">
        <f>M1548-N1548</f>
        <v>9500</v>
      </c>
      <c r="Q1548" s="13">
        <f>L1548*M1548</f>
        <v>9500</v>
      </c>
      <c r="R1548" s="13">
        <f>L1548*N1548</f>
        <v>0</v>
      </c>
      <c r="S1548" s="13">
        <f>L1548*P1548</f>
        <v>9500</v>
      </c>
      <c r="T1548" s="13"/>
      <c r="U1548" s="13">
        <f>L1548*T1548</f>
        <v>0</v>
      </c>
      <c r="V1548" s="13">
        <f>S1548-U1548</f>
        <v>9500</v>
      </c>
      <c r="W1548" s="15">
        <f>IF(S1548&gt;0, V1548/S1548, 0)</f>
        <v>1</v>
      </c>
      <c r="X1548" s="6" t="s">
        <v>39</v>
      </c>
      <c r="Y1548" s="8" t="s">
        <v>40</v>
      </c>
      <c r="Z1548" s="8" t="s">
        <v>41</v>
      </c>
      <c r="AA1548" s="8" t="s">
        <v>42</v>
      </c>
      <c r="AB1548" s="6" t="s">
        <v>42</v>
      </c>
    </row>
    <row r="1549" spans="1:28">
      <c r="A1549" s="5" t="s">
        <v>1893</v>
      </c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12">
        <f>SUBTOTAL(109, L8:L1548)</f>
        <v>1922</v>
      </c>
      <c r="M1549" s="5" t="s">
        <v>42</v>
      </c>
      <c r="N1549" s="5" t="s">
        <v>42</v>
      </c>
      <c r="O1549" s="17">
        <f>IF(Q1549&gt;0, R1549/Q1549, 0)</f>
        <v>0.0009228410992758</v>
      </c>
      <c r="P1549" s="5" t="s">
        <v>42</v>
      </c>
      <c r="Q1549" s="18">
        <f>SUBTOTAL(109, Q8:Q1548)</f>
        <v>19179900</v>
      </c>
      <c r="R1549" s="18">
        <f>SUBTOTAL(109, R8:R1548)</f>
        <v>17700</v>
      </c>
      <c r="S1549" s="18">
        <f>SUBTOTAL(109, S8:S1548)</f>
        <v>19162200</v>
      </c>
      <c r="T1549" s="5" t="s">
        <v>42</v>
      </c>
      <c r="U1549" s="18">
        <f>SUBTOTAL(109, U8:U1548)</f>
        <v>0</v>
      </c>
      <c r="V1549" s="18">
        <f>SUBTOTAL(109, V8:V1548)</f>
        <v>19162200</v>
      </c>
      <c r="W1549" s="17">
        <f>IF(S1549&gt;0, V1549/S1549, 0)</f>
        <v>1</v>
      </c>
      <c r="X1549" s="5" t="str">
        <f>SUBTOTAL(103, A8:A1548) &amp; " позиций"</f>
        <v>1541 позиций</v>
      </c>
      <c r="Y1549" s="5"/>
      <c r="Z1549" s="5"/>
      <c r="AA1549" s="5"/>
      <c r="AB1549" s="5"/>
    </row>
  </sheetData>
  <autoFilter ref="A7:AB1548"/>
  <mergeCells>
    <mergeCell ref="A5:K5"/>
    <mergeCell ref="X5:AB5"/>
    <mergeCell ref="A1549:K1549"/>
    <mergeCell ref="X1549:AB154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P192"/>
  <sheetViews>
    <sheetView tabSelected="0" workbookViewId="0" showGridLines="true" showRowColHeaders="1">
      <pane ySplit="7" activePane="bottomLeft" state="frozen" topLeftCell="A8"/>
      <selection pane="bottomLeft" activeCell="O8" sqref="O8:O192"/>
    </sheetView>
  </sheetViews>
  <sheetFormatPr defaultRowHeight="14.4" outlineLevelRow="0" outlineLevelCol="0"/>
  <cols>
    <col min="1" max="1" width="121.316" bestFit="true" customWidth="true" style="0"/>
    <col min="2" max="2" width="18.997" bestFit="true" customWidth="true" style="0"/>
    <col min="3" max="3" width="17.664" bestFit="true" customWidth="true" style="0"/>
    <col min="4" max="4" width="27.996" bestFit="true" customWidth="true" style="0"/>
    <col min="5" max="5" width="31.162" bestFit="true" customWidth="true" style="0"/>
    <col min="6" max="6" width="25.663" bestFit="true" customWidth="true" style="0"/>
    <col min="7" max="7" width="24.497" bestFit="true" customWidth="true" style="0"/>
    <col min="8" max="8" width="24.497" bestFit="true" customWidth="true" style="0"/>
    <col min="9" max="9" width="23.497" bestFit="true" customWidth="true" style="0"/>
    <col min="10" max="10" width="15.498" bestFit="true" customWidth="true" style="0"/>
    <col min="11" max="11" width="31.162" bestFit="true" customWidth="true" style="0"/>
    <col min="12" max="12" width="28.996" bestFit="true" customWidth="true" style="0"/>
    <col min="13" max="13" width="25.663" bestFit="true" customWidth="true" style="0"/>
    <col min="14" max="14" width="26.663" bestFit="true" customWidth="true" style="0"/>
    <col min="15" max="15" width="24.497" bestFit="true" customWidth="true" style="0"/>
    <col min="16" max="16" width="30.163" bestFit="true" customWidth="true" style="0"/>
  </cols>
  <sheetData>
    <row r="2" spans="1:16">
      <c r="A2" s="1" t="s">
        <v>1894</v>
      </c>
    </row>
    <row r="3" spans="1:16">
      <c r="A3" s="2" t="s">
        <v>1895</v>
      </c>
    </row>
    <row r="5" spans="1:16" customHeight="1" ht="22">
      <c r="A5" s="4" t="s">
        <v>1892</v>
      </c>
      <c r="B5" s="4"/>
      <c r="C5" s="4"/>
      <c r="D5" s="4"/>
      <c r="E5" s="4"/>
      <c r="F5" s="4">
        <f>SUBTOTAL(109, F8:F191)</f>
        <v>1922</v>
      </c>
      <c r="G5" s="4">
        <f>SUBTOTAL(109, G8:G191)</f>
        <v>1676</v>
      </c>
      <c r="H5" s="4">
        <f>SUBTOTAL(109, H8:H191)</f>
        <v>246</v>
      </c>
      <c r="I5" s="4">
        <f>SUBTOTAL(109, I8:I191)</f>
        <v>19179900</v>
      </c>
      <c r="J5" s="4">
        <f>SUBTOTAL(109, J8:J191)</f>
        <v>17700</v>
      </c>
      <c r="K5" s="4">
        <f>SUBTOTAL(109, K8:K191)</f>
        <v>19162200</v>
      </c>
      <c r="L5" s="4">
        <f>SUBTOTAL(109, L8:L191)</f>
        <v>0</v>
      </c>
      <c r="M5" s="4">
        <f>SUBTOTAL(109, M8:M191)</f>
        <v>19162200</v>
      </c>
      <c r="N5" s="4">
        <f>IF(F5&gt;0, K5/F5, 0)</f>
        <v>9969.92715920915725</v>
      </c>
      <c r="O5" s="4">
        <f>IF(K5&gt;0, M5/K5, 0)</f>
        <v>1</v>
      </c>
      <c r="P5" s="4" t="s">
        <v>1981</v>
      </c>
    </row>
    <row r="7" spans="1:16" customHeight="1" ht="28">
      <c r="A7" s="3" t="s">
        <v>2</v>
      </c>
      <c r="B7" s="3" t="s">
        <v>7</v>
      </c>
      <c r="C7" s="3" t="s">
        <v>8</v>
      </c>
      <c r="D7" s="3" t="s">
        <v>9</v>
      </c>
      <c r="E7" s="3" t="s">
        <v>10</v>
      </c>
      <c r="F7" s="3" t="s">
        <v>1896</v>
      </c>
      <c r="G7" s="3" t="s">
        <v>1897</v>
      </c>
      <c r="H7" s="3" t="s">
        <v>1898</v>
      </c>
      <c r="I7" s="3" t="s">
        <v>18</v>
      </c>
      <c r="J7" s="3" t="s">
        <v>1899</v>
      </c>
      <c r="K7" s="3" t="s">
        <v>1900</v>
      </c>
      <c r="L7" s="3" t="s">
        <v>22</v>
      </c>
      <c r="M7" s="3" t="s">
        <v>23</v>
      </c>
      <c r="N7" s="3" t="s">
        <v>1901</v>
      </c>
      <c r="O7" s="3" t="s">
        <v>24</v>
      </c>
      <c r="P7" s="3" t="s">
        <v>1902</v>
      </c>
    </row>
    <row r="8" spans="1:16">
      <c r="A8" s="8">
        <v>1</v>
      </c>
      <c r="B8" s="6" t="s">
        <v>133</v>
      </c>
      <c r="C8" s="6" t="s">
        <v>45</v>
      </c>
      <c r="D8" s="6" t="s">
        <v>45</v>
      </c>
      <c r="E8" s="8">
        <v>128</v>
      </c>
      <c r="F8" s="10">
        <v>1</v>
      </c>
      <c r="G8" s="10">
        <v>1</v>
      </c>
      <c r="H8" s="10"/>
      <c r="I8" s="13">
        <v>18000.0</v>
      </c>
      <c r="J8" s="13"/>
      <c r="K8" s="13">
        <v>18000.0</v>
      </c>
      <c r="L8" s="13"/>
      <c r="M8" s="13">
        <v>18000.0</v>
      </c>
      <c r="N8" s="13">
        <f>IF(F8&gt;0, K8/F8, 0)</f>
        <v>18000</v>
      </c>
      <c r="O8" s="15">
        <f>IF(K8&gt;0, M8/K8, 0)</f>
        <v>1</v>
      </c>
      <c r="P8" s="19" t="s">
        <v>1903</v>
      </c>
    </row>
    <row r="9" spans="1:16">
      <c r="A9" s="9">
        <v>2</v>
      </c>
      <c r="B9" s="7" t="s">
        <v>133</v>
      </c>
      <c r="C9" s="7" t="s">
        <v>158</v>
      </c>
      <c r="D9" s="7" t="s">
        <v>159</v>
      </c>
      <c r="E9" s="9" t="s">
        <v>42</v>
      </c>
      <c r="F9" s="11">
        <v>1</v>
      </c>
      <c r="G9" s="11">
        <v>1</v>
      </c>
      <c r="H9" s="11"/>
      <c r="I9" s="14">
        <v>5000.0</v>
      </c>
      <c r="J9" s="14"/>
      <c r="K9" s="14">
        <v>5000.0</v>
      </c>
      <c r="L9" s="14"/>
      <c r="M9" s="14">
        <v>5000.0</v>
      </c>
      <c r="N9" s="14">
        <f>IF(F9&gt;0, K9/F9, 0)</f>
        <v>5000</v>
      </c>
      <c r="O9" s="16">
        <f>IF(K9&gt;0, M9/K9, 0)</f>
        <v>1</v>
      </c>
      <c r="P9" s="20" t="s">
        <v>1904</v>
      </c>
    </row>
    <row r="10" spans="1:16">
      <c r="A10" s="8">
        <v>3</v>
      </c>
      <c r="B10" s="6" t="s">
        <v>133</v>
      </c>
      <c r="C10" s="6" t="s">
        <v>56</v>
      </c>
      <c r="D10" s="6" t="s">
        <v>1737</v>
      </c>
      <c r="E10" s="8">
        <v>134</v>
      </c>
      <c r="F10" s="10">
        <v>1</v>
      </c>
      <c r="G10" s="10"/>
      <c r="H10" s="10">
        <v>1</v>
      </c>
      <c r="I10" s="13">
        <v>9000.0</v>
      </c>
      <c r="J10" s="13"/>
      <c r="K10" s="13">
        <v>9000.0</v>
      </c>
      <c r="L10" s="13"/>
      <c r="M10" s="13">
        <v>9000.0</v>
      </c>
      <c r="N10" s="13">
        <f>IF(F10&gt;0, K10/F10, 0)</f>
        <v>9000</v>
      </c>
      <c r="O10" s="15">
        <f>IF(K10&gt;0, M10/K10, 0)</f>
        <v>1</v>
      </c>
      <c r="P10" s="19" t="s">
        <v>1903</v>
      </c>
    </row>
    <row r="11" spans="1:16">
      <c r="A11" s="9">
        <v>4</v>
      </c>
      <c r="B11" s="7" t="s">
        <v>50</v>
      </c>
      <c r="C11" s="7" t="s">
        <v>69</v>
      </c>
      <c r="D11" s="7" t="s">
        <v>69</v>
      </c>
      <c r="E11" s="9">
        <v>110</v>
      </c>
      <c r="F11" s="11">
        <v>1</v>
      </c>
      <c r="G11" s="11">
        <v>1</v>
      </c>
      <c r="H11" s="11"/>
      <c r="I11" s="14">
        <v>16000.0</v>
      </c>
      <c r="J11" s="14"/>
      <c r="K11" s="14">
        <v>16000.0</v>
      </c>
      <c r="L11" s="14"/>
      <c r="M11" s="14">
        <v>16000.0</v>
      </c>
      <c r="N11" s="14">
        <f>IF(F11&gt;0, K11/F11, 0)</f>
        <v>16000</v>
      </c>
      <c r="O11" s="16">
        <f>IF(K11&gt;0, M11/K11, 0)</f>
        <v>1</v>
      </c>
      <c r="P11" s="20" t="s">
        <v>1905</v>
      </c>
    </row>
    <row r="12" spans="1:16">
      <c r="A12" s="8">
        <v>5</v>
      </c>
      <c r="B12" s="6" t="s">
        <v>50</v>
      </c>
      <c r="C12" s="6" t="s">
        <v>69</v>
      </c>
      <c r="D12" s="6" t="s">
        <v>69</v>
      </c>
      <c r="E12" s="8">
        <v>116</v>
      </c>
      <c r="F12" s="10">
        <v>8</v>
      </c>
      <c r="G12" s="10">
        <v>8</v>
      </c>
      <c r="H12" s="10"/>
      <c r="I12" s="13">
        <v>129000.0</v>
      </c>
      <c r="J12" s="13"/>
      <c r="K12" s="13">
        <v>129000.0</v>
      </c>
      <c r="L12" s="13"/>
      <c r="M12" s="13">
        <v>129000.0</v>
      </c>
      <c r="N12" s="13">
        <f>IF(F12&gt;0, K12/F12, 0)</f>
        <v>16125</v>
      </c>
      <c r="O12" s="15">
        <f>IF(K12&gt;0, M12/K12, 0)</f>
        <v>1</v>
      </c>
      <c r="P12" s="19" t="s">
        <v>1906</v>
      </c>
    </row>
    <row r="13" spans="1:16">
      <c r="A13" s="9">
        <v>6</v>
      </c>
      <c r="B13" s="7" t="s">
        <v>50</v>
      </c>
      <c r="C13" s="7" t="s">
        <v>69</v>
      </c>
      <c r="D13" s="7" t="s">
        <v>69</v>
      </c>
      <c r="E13" s="9">
        <v>122</v>
      </c>
      <c r="F13" s="11">
        <v>5</v>
      </c>
      <c r="G13" s="11">
        <v>4</v>
      </c>
      <c r="H13" s="11">
        <v>1</v>
      </c>
      <c r="I13" s="14">
        <v>83000.0</v>
      </c>
      <c r="J13" s="14"/>
      <c r="K13" s="14">
        <v>83000.0</v>
      </c>
      <c r="L13" s="14"/>
      <c r="M13" s="14">
        <v>83000.0</v>
      </c>
      <c r="N13" s="14">
        <f>IF(F13&gt;0, K13/F13, 0)</f>
        <v>16600</v>
      </c>
      <c r="O13" s="16">
        <f>IF(K13&gt;0, M13/K13, 0)</f>
        <v>1</v>
      </c>
      <c r="P13" s="20" t="s">
        <v>1907</v>
      </c>
    </row>
    <row r="14" spans="1:16">
      <c r="A14" s="8">
        <v>7</v>
      </c>
      <c r="B14" s="6" t="s">
        <v>50</v>
      </c>
      <c r="C14" s="6" t="s">
        <v>69</v>
      </c>
      <c r="D14" s="6" t="s">
        <v>69</v>
      </c>
      <c r="E14" s="8">
        <v>128</v>
      </c>
      <c r="F14" s="10">
        <v>20</v>
      </c>
      <c r="G14" s="10">
        <v>17</v>
      </c>
      <c r="H14" s="10">
        <v>3</v>
      </c>
      <c r="I14" s="13">
        <v>329500.0</v>
      </c>
      <c r="J14" s="13"/>
      <c r="K14" s="13">
        <v>329500.0</v>
      </c>
      <c r="L14" s="13"/>
      <c r="M14" s="13">
        <v>329500.0</v>
      </c>
      <c r="N14" s="13">
        <f>IF(F14&gt;0, K14/F14, 0)</f>
        <v>16475</v>
      </c>
      <c r="O14" s="15">
        <f>IF(K14&gt;0, M14/K14, 0)</f>
        <v>1</v>
      </c>
      <c r="P14" s="19" t="s">
        <v>1908</v>
      </c>
    </row>
    <row r="15" spans="1:16">
      <c r="A15" s="9">
        <v>8</v>
      </c>
      <c r="B15" s="7" t="s">
        <v>50</v>
      </c>
      <c r="C15" s="7" t="s">
        <v>69</v>
      </c>
      <c r="D15" s="7" t="s">
        <v>69</v>
      </c>
      <c r="E15" s="9">
        <v>134</v>
      </c>
      <c r="F15" s="11">
        <v>21</v>
      </c>
      <c r="G15" s="11">
        <v>21</v>
      </c>
      <c r="H15" s="11"/>
      <c r="I15" s="14">
        <v>347000.0</v>
      </c>
      <c r="J15" s="14"/>
      <c r="K15" s="14">
        <v>347000.0</v>
      </c>
      <c r="L15" s="14"/>
      <c r="M15" s="14">
        <v>347000.0</v>
      </c>
      <c r="N15" s="14">
        <f>IF(F15&gt;0, K15/F15, 0)</f>
        <v>16523.80952380952294</v>
      </c>
      <c r="O15" s="16">
        <f>IF(K15&gt;0, M15/K15, 0)</f>
        <v>1</v>
      </c>
      <c r="P15" s="20" t="s">
        <v>1909</v>
      </c>
    </row>
    <row r="16" spans="1:16">
      <c r="A16" s="8">
        <v>9</v>
      </c>
      <c r="B16" s="6" t="s">
        <v>50</v>
      </c>
      <c r="C16" s="6" t="s">
        <v>69</v>
      </c>
      <c r="D16" s="6" t="s">
        <v>69</v>
      </c>
      <c r="E16" s="8">
        <v>140</v>
      </c>
      <c r="F16" s="10">
        <v>26</v>
      </c>
      <c r="G16" s="10">
        <v>26</v>
      </c>
      <c r="H16" s="10"/>
      <c r="I16" s="13">
        <v>420000.0</v>
      </c>
      <c r="J16" s="13"/>
      <c r="K16" s="13">
        <v>420000.0</v>
      </c>
      <c r="L16" s="13"/>
      <c r="M16" s="13">
        <v>420000.0</v>
      </c>
      <c r="N16" s="13">
        <f>IF(F16&gt;0, K16/F16, 0)</f>
        <v>16153.84615384615427</v>
      </c>
      <c r="O16" s="15">
        <f>IF(K16&gt;0, M16/K16, 0)</f>
        <v>1</v>
      </c>
      <c r="P16" s="19" t="s">
        <v>1910</v>
      </c>
    </row>
    <row r="17" spans="1:16">
      <c r="A17" s="9">
        <v>10</v>
      </c>
      <c r="B17" s="7" t="s">
        <v>50</v>
      </c>
      <c r="C17" s="7" t="s">
        <v>69</v>
      </c>
      <c r="D17" s="7" t="s">
        <v>69</v>
      </c>
      <c r="E17" s="9">
        <v>146</v>
      </c>
      <c r="F17" s="11">
        <v>23</v>
      </c>
      <c r="G17" s="11">
        <v>22</v>
      </c>
      <c r="H17" s="11">
        <v>1</v>
      </c>
      <c r="I17" s="14">
        <v>381500.0</v>
      </c>
      <c r="J17" s="14"/>
      <c r="K17" s="14">
        <v>381500.0</v>
      </c>
      <c r="L17" s="14"/>
      <c r="M17" s="14">
        <v>381500.0</v>
      </c>
      <c r="N17" s="14">
        <f>IF(F17&gt;0, K17/F17, 0)</f>
        <v>16586.95652173913186</v>
      </c>
      <c r="O17" s="16">
        <f>IF(K17&gt;0, M17/K17, 0)</f>
        <v>1</v>
      </c>
      <c r="P17" s="20" t="s">
        <v>1911</v>
      </c>
    </row>
    <row r="18" spans="1:16">
      <c r="A18" s="8">
        <v>11</v>
      </c>
      <c r="B18" s="6" t="s">
        <v>50</v>
      </c>
      <c r="C18" s="6" t="s">
        <v>69</v>
      </c>
      <c r="D18" s="6" t="s">
        <v>69</v>
      </c>
      <c r="E18" s="8">
        <v>152</v>
      </c>
      <c r="F18" s="10">
        <v>23</v>
      </c>
      <c r="G18" s="10">
        <v>23</v>
      </c>
      <c r="H18" s="10"/>
      <c r="I18" s="13">
        <v>372500.0</v>
      </c>
      <c r="J18" s="13"/>
      <c r="K18" s="13">
        <v>372500.0</v>
      </c>
      <c r="L18" s="13"/>
      <c r="M18" s="13">
        <v>372500.0</v>
      </c>
      <c r="N18" s="13">
        <f>IF(F18&gt;0, K18/F18, 0)</f>
        <v>16195.65217391304395</v>
      </c>
      <c r="O18" s="15">
        <f>IF(K18&gt;0, M18/K18, 0)</f>
        <v>1</v>
      </c>
      <c r="P18" s="19" t="s">
        <v>1912</v>
      </c>
    </row>
    <row r="19" spans="1:16">
      <c r="A19" s="9">
        <v>12</v>
      </c>
      <c r="B19" s="7" t="s">
        <v>50</v>
      </c>
      <c r="C19" s="7" t="s">
        <v>69</v>
      </c>
      <c r="D19" s="7" t="s">
        <v>69</v>
      </c>
      <c r="E19" s="9">
        <v>158</v>
      </c>
      <c r="F19" s="11">
        <v>4</v>
      </c>
      <c r="G19" s="11">
        <v>1</v>
      </c>
      <c r="H19" s="11">
        <v>3</v>
      </c>
      <c r="I19" s="14">
        <v>68500.0</v>
      </c>
      <c r="J19" s="14"/>
      <c r="K19" s="14">
        <v>68500.0</v>
      </c>
      <c r="L19" s="14"/>
      <c r="M19" s="14">
        <v>68500.0</v>
      </c>
      <c r="N19" s="14">
        <f>IF(F19&gt;0, K19/F19, 0)</f>
        <v>17125</v>
      </c>
      <c r="O19" s="16">
        <f>IF(K19&gt;0, M19/K19, 0)</f>
        <v>1</v>
      </c>
      <c r="P19" s="20" t="s">
        <v>1913</v>
      </c>
    </row>
    <row r="20" spans="1:16">
      <c r="A20" s="8">
        <v>13</v>
      </c>
      <c r="B20" s="6" t="s">
        <v>50</v>
      </c>
      <c r="C20" s="6" t="s">
        <v>69</v>
      </c>
      <c r="D20" s="6" t="s">
        <v>69</v>
      </c>
      <c r="E20" s="8">
        <v>164</v>
      </c>
      <c r="F20" s="10">
        <v>1</v>
      </c>
      <c r="G20" s="10">
        <v>1</v>
      </c>
      <c r="H20" s="10"/>
      <c r="I20" s="13">
        <v>17000.0</v>
      </c>
      <c r="J20" s="13"/>
      <c r="K20" s="13">
        <v>17000.0</v>
      </c>
      <c r="L20" s="13"/>
      <c r="M20" s="13">
        <v>17000.0</v>
      </c>
      <c r="N20" s="13">
        <f>IF(F20&gt;0, K20/F20, 0)</f>
        <v>17000</v>
      </c>
      <c r="O20" s="15">
        <f>IF(K20&gt;0, M20/K20, 0)</f>
        <v>1</v>
      </c>
      <c r="P20" s="19" t="s">
        <v>1905</v>
      </c>
    </row>
    <row r="21" spans="1:16">
      <c r="A21" s="9">
        <v>14</v>
      </c>
      <c r="B21" s="7" t="s">
        <v>50</v>
      </c>
      <c r="C21" s="7" t="s">
        <v>69</v>
      </c>
      <c r="D21" s="7" t="s">
        <v>69</v>
      </c>
      <c r="E21" s="9">
        <v>170</v>
      </c>
      <c r="F21" s="11">
        <v>2</v>
      </c>
      <c r="G21" s="11">
        <v>1</v>
      </c>
      <c r="H21" s="11">
        <v>1</v>
      </c>
      <c r="I21" s="14">
        <v>34000.0</v>
      </c>
      <c r="J21" s="14">
        <v>2400.0</v>
      </c>
      <c r="K21" s="14">
        <v>31600.0</v>
      </c>
      <c r="L21" s="14"/>
      <c r="M21" s="14">
        <v>31600.0</v>
      </c>
      <c r="N21" s="14">
        <f>IF(F21&gt;0, K21/F21, 0)</f>
        <v>15800</v>
      </c>
      <c r="O21" s="16">
        <f>IF(K21&gt;0, M21/K21, 0)</f>
        <v>1</v>
      </c>
      <c r="P21" s="20" t="s">
        <v>1914</v>
      </c>
    </row>
    <row r="22" spans="1:16">
      <c r="A22" s="8">
        <v>15</v>
      </c>
      <c r="B22" s="6" t="s">
        <v>50</v>
      </c>
      <c r="C22" s="6" t="s">
        <v>69</v>
      </c>
      <c r="D22" s="6" t="s">
        <v>1431</v>
      </c>
      <c r="E22" s="8">
        <v>110</v>
      </c>
      <c r="F22" s="10">
        <v>1</v>
      </c>
      <c r="G22" s="10">
        <v>1</v>
      </c>
      <c r="H22" s="10"/>
      <c r="I22" s="13">
        <v>7000.0</v>
      </c>
      <c r="J22" s="13"/>
      <c r="K22" s="13">
        <v>7000.0</v>
      </c>
      <c r="L22" s="13"/>
      <c r="M22" s="13">
        <v>7000.0</v>
      </c>
      <c r="N22" s="13">
        <f>IF(F22&gt;0, K22/F22, 0)</f>
        <v>7000</v>
      </c>
      <c r="O22" s="15">
        <f>IF(K22&gt;0, M22/K22, 0)</f>
        <v>1</v>
      </c>
      <c r="P22" s="19" t="s">
        <v>1915</v>
      </c>
    </row>
    <row r="23" spans="1:16">
      <c r="A23" s="9">
        <v>16</v>
      </c>
      <c r="B23" s="7" t="s">
        <v>50</v>
      </c>
      <c r="C23" s="7" t="s">
        <v>69</v>
      </c>
      <c r="D23" s="7" t="s">
        <v>1431</v>
      </c>
      <c r="E23" s="9">
        <v>134</v>
      </c>
      <c r="F23" s="11">
        <v>1</v>
      </c>
      <c r="G23" s="11"/>
      <c r="H23" s="11">
        <v>1</v>
      </c>
      <c r="I23" s="14">
        <v>8000.0</v>
      </c>
      <c r="J23" s="14"/>
      <c r="K23" s="14">
        <v>8000.0</v>
      </c>
      <c r="L23" s="14"/>
      <c r="M23" s="14">
        <v>8000.0</v>
      </c>
      <c r="N23" s="14">
        <f>IF(F23&gt;0, K23/F23, 0)</f>
        <v>8000</v>
      </c>
      <c r="O23" s="16">
        <f>IF(K23&gt;0, M23/K23, 0)</f>
        <v>1</v>
      </c>
      <c r="P23" s="20" t="s">
        <v>1915</v>
      </c>
    </row>
    <row r="24" spans="1:16">
      <c r="A24" s="8">
        <v>17</v>
      </c>
      <c r="B24" s="6" t="s">
        <v>50</v>
      </c>
      <c r="C24" s="6" t="s">
        <v>63</v>
      </c>
      <c r="D24" s="6" t="s">
        <v>237</v>
      </c>
      <c r="E24" s="8">
        <v>146</v>
      </c>
      <c r="F24" s="10">
        <v>1</v>
      </c>
      <c r="G24" s="10">
        <v>1</v>
      </c>
      <c r="H24" s="10"/>
      <c r="I24" s="13">
        <v>12000.0</v>
      </c>
      <c r="J24" s="13"/>
      <c r="K24" s="13">
        <v>12000.0</v>
      </c>
      <c r="L24" s="13"/>
      <c r="M24" s="13">
        <v>12000.0</v>
      </c>
      <c r="N24" s="13">
        <f>IF(F24&gt;0, K24/F24, 0)</f>
        <v>12000</v>
      </c>
      <c r="O24" s="15">
        <f>IF(K24&gt;0, M24/K24, 0)</f>
        <v>1</v>
      </c>
      <c r="P24" s="19" t="s">
        <v>1916</v>
      </c>
    </row>
    <row r="25" spans="1:16">
      <c r="A25" s="9">
        <v>18</v>
      </c>
      <c r="B25" s="7" t="s">
        <v>50</v>
      </c>
      <c r="C25" s="7" t="s">
        <v>63</v>
      </c>
      <c r="D25" s="7" t="s">
        <v>64</v>
      </c>
      <c r="E25" s="9">
        <v>116</v>
      </c>
      <c r="F25" s="11">
        <v>1</v>
      </c>
      <c r="G25" s="11">
        <v>1</v>
      </c>
      <c r="H25" s="11"/>
      <c r="I25" s="14">
        <v>9000.0</v>
      </c>
      <c r="J25" s="14"/>
      <c r="K25" s="14">
        <v>9000.0</v>
      </c>
      <c r="L25" s="14"/>
      <c r="M25" s="14">
        <v>9000.0</v>
      </c>
      <c r="N25" s="14">
        <f>IF(F25&gt;0, K25/F25, 0)</f>
        <v>9000</v>
      </c>
      <c r="O25" s="16">
        <f>IF(K25&gt;0, M25/K25, 0)</f>
        <v>1</v>
      </c>
      <c r="P25" s="20" t="s">
        <v>1905</v>
      </c>
    </row>
    <row r="26" spans="1:16">
      <c r="A26" s="8">
        <v>19</v>
      </c>
      <c r="B26" s="6" t="s">
        <v>50</v>
      </c>
      <c r="C26" s="6" t="s">
        <v>63</v>
      </c>
      <c r="D26" s="6" t="s">
        <v>64</v>
      </c>
      <c r="E26" s="8">
        <v>128</v>
      </c>
      <c r="F26" s="10">
        <v>2</v>
      </c>
      <c r="G26" s="10"/>
      <c r="H26" s="10">
        <v>2</v>
      </c>
      <c r="I26" s="13">
        <v>16000.0</v>
      </c>
      <c r="J26" s="13"/>
      <c r="K26" s="13">
        <v>16000.0</v>
      </c>
      <c r="L26" s="13"/>
      <c r="M26" s="13">
        <v>16000.0</v>
      </c>
      <c r="N26" s="13">
        <f>IF(F26&gt;0, K26/F26, 0)</f>
        <v>8000</v>
      </c>
      <c r="O26" s="15">
        <f>IF(K26&gt;0, M26/K26, 0)</f>
        <v>1</v>
      </c>
      <c r="P26" s="19" t="s">
        <v>1914</v>
      </c>
    </row>
    <row r="27" spans="1:16">
      <c r="A27" s="9">
        <v>20</v>
      </c>
      <c r="B27" s="7" t="s">
        <v>50</v>
      </c>
      <c r="C27" s="7" t="s">
        <v>63</v>
      </c>
      <c r="D27" s="7" t="s">
        <v>148</v>
      </c>
      <c r="E27" s="9">
        <v>110</v>
      </c>
      <c r="F27" s="11">
        <v>3</v>
      </c>
      <c r="G27" s="11">
        <v>3</v>
      </c>
      <c r="H27" s="11"/>
      <c r="I27" s="14">
        <v>27000.0</v>
      </c>
      <c r="J27" s="14"/>
      <c r="K27" s="14">
        <v>27000.0</v>
      </c>
      <c r="L27" s="14"/>
      <c r="M27" s="14">
        <v>27000.0</v>
      </c>
      <c r="N27" s="14">
        <f>IF(F27&gt;0, K27/F27, 0)</f>
        <v>9000</v>
      </c>
      <c r="O27" s="16">
        <f>IF(K27&gt;0, M27/K27, 0)</f>
        <v>1</v>
      </c>
      <c r="P27" s="20" t="s">
        <v>1917</v>
      </c>
    </row>
    <row r="28" spans="1:16">
      <c r="A28" s="8">
        <v>21</v>
      </c>
      <c r="B28" s="6" t="s">
        <v>50</v>
      </c>
      <c r="C28" s="6" t="s">
        <v>63</v>
      </c>
      <c r="D28" s="6" t="s">
        <v>148</v>
      </c>
      <c r="E28" s="8">
        <v>116</v>
      </c>
      <c r="F28" s="10">
        <v>4</v>
      </c>
      <c r="G28" s="10">
        <v>4</v>
      </c>
      <c r="H28" s="10"/>
      <c r="I28" s="13">
        <v>36000.0</v>
      </c>
      <c r="J28" s="13"/>
      <c r="K28" s="13">
        <v>36000.0</v>
      </c>
      <c r="L28" s="13"/>
      <c r="M28" s="13">
        <v>36000.0</v>
      </c>
      <c r="N28" s="13">
        <f>IF(F28&gt;0, K28/F28, 0)</f>
        <v>9000</v>
      </c>
      <c r="O28" s="15">
        <f>IF(K28&gt;0, M28/K28, 0)</f>
        <v>1</v>
      </c>
      <c r="P28" s="19" t="s">
        <v>1918</v>
      </c>
    </row>
    <row r="29" spans="1:16">
      <c r="A29" s="9">
        <v>22</v>
      </c>
      <c r="B29" s="7" t="s">
        <v>50</v>
      </c>
      <c r="C29" s="7" t="s">
        <v>63</v>
      </c>
      <c r="D29" s="7" t="s">
        <v>148</v>
      </c>
      <c r="E29" s="9">
        <v>122</v>
      </c>
      <c r="F29" s="11">
        <v>22</v>
      </c>
      <c r="G29" s="11">
        <v>20</v>
      </c>
      <c r="H29" s="11">
        <v>2</v>
      </c>
      <c r="I29" s="14">
        <v>207000.0</v>
      </c>
      <c r="J29" s="14"/>
      <c r="K29" s="14">
        <v>207000.0</v>
      </c>
      <c r="L29" s="14"/>
      <c r="M29" s="14">
        <v>207000.0</v>
      </c>
      <c r="N29" s="14">
        <f>IF(F29&gt;0, K29/F29, 0)</f>
        <v>9409.090909090909918</v>
      </c>
      <c r="O29" s="16">
        <f>IF(K29&gt;0, M29/K29, 0)</f>
        <v>1</v>
      </c>
      <c r="P29" s="20" t="s">
        <v>1919</v>
      </c>
    </row>
    <row r="30" spans="1:16">
      <c r="A30" s="8">
        <v>23</v>
      </c>
      <c r="B30" s="6" t="s">
        <v>50</v>
      </c>
      <c r="C30" s="6" t="s">
        <v>63</v>
      </c>
      <c r="D30" s="6" t="s">
        <v>148</v>
      </c>
      <c r="E30" s="8">
        <v>128</v>
      </c>
      <c r="F30" s="10">
        <v>10</v>
      </c>
      <c r="G30" s="10">
        <v>2</v>
      </c>
      <c r="H30" s="10">
        <v>8</v>
      </c>
      <c r="I30" s="13">
        <v>102000.0</v>
      </c>
      <c r="J30" s="13"/>
      <c r="K30" s="13">
        <v>102000.0</v>
      </c>
      <c r="L30" s="13"/>
      <c r="M30" s="13">
        <v>102000.0</v>
      </c>
      <c r="N30" s="13">
        <f>IF(F30&gt;0, K30/F30, 0)</f>
        <v>10200</v>
      </c>
      <c r="O30" s="15">
        <f>IF(K30&gt;0, M30/K30, 0)</f>
        <v>1</v>
      </c>
      <c r="P30" s="19" t="s">
        <v>1904</v>
      </c>
    </row>
    <row r="31" spans="1:16">
      <c r="A31" s="9">
        <v>24</v>
      </c>
      <c r="B31" s="7" t="s">
        <v>50</v>
      </c>
      <c r="C31" s="7" t="s">
        <v>63</v>
      </c>
      <c r="D31" s="7" t="s">
        <v>148</v>
      </c>
      <c r="E31" s="9">
        <v>134</v>
      </c>
      <c r="F31" s="11">
        <v>19</v>
      </c>
      <c r="G31" s="11">
        <v>6</v>
      </c>
      <c r="H31" s="11">
        <v>13</v>
      </c>
      <c r="I31" s="14">
        <v>196000.0</v>
      </c>
      <c r="J31" s="14">
        <v>1200.0</v>
      </c>
      <c r="K31" s="14">
        <v>194800.0</v>
      </c>
      <c r="L31" s="14"/>
      <c r="M31" s="14">
        <v>194800.0</v>
      </c>
      <c r="N31" s="14">
        <f>IF(F31&gt;0, K31/F31, 0)</f>
        <v>10252.63157894736833</v>
      </c>
      <c r="O31" s="16">
        <f>IF(K31&gt;0, M31/K31, 0)</f>
        <v>1</v>
      </c>
      <c r="P31" s="20" t="s">
        <v>1920</v>
      </c>
    </row>
    <row r="32" spans="1:16">
      <c r="A32" s="8">
        <v>25</v>
      </c>
      <c r="B32" s="6" t="s">
        <v>50</v>
      </c>
      <c r="C32" s="6" t="s">
        <v>63</v>
      </c>
      <c r="D32" s="6" t="s">
        <v>148</v>
      </c>
      <c r="E32" s="8">
        <v>140</v>
      </c>
      <c r="F32" s="10">
        <v>13</v>
      </c>
      <c r="G32" s="10">
        <v>5</v>
      </c>
      <c r="H32" s="10">
        <v>8</v>
      </c>
      <c r="I32" s="13">
        <v>134000.0</v>
      </c>
      <c r="J32" s="13"/>
      <c r="K32" s="13">
        <v>134000.0</v>
      </c>
      <c r="L32" s="13"/>
      <c r="M32" s="13">
        <v>134000.0</v>
      </c>
      <c r="N32" s="13">
        <f>IF(F32&gt;0, K32/F32, 0)</f>
        <v>10307.69230769230853</v>
      </c>
      <c r="O32" s="15">
        <f>IF(K32&gt;0, M32/K32, 0)</f>
        <v>1</v>
      </c>
      <c r="P32" s="19" t="s">
        <v>1921</v>
      </c>
    </row>
    <row r="33" spans="1:16">
      <c r="A33" s="9">
        <v>26</v>
      </c>
      <c r="B33" s="7" t="s">
        <v>50</v>
      </c>
      <c r="C33" s="7" t="s">
        <v>63</v>
      </c>
      <c r="D33" s="7" t="s">
        <v>148</v>
      </c>
      <c r="E33" s="9">
        <v>146</v>
      </c>
      <c r="F33" s="11">
        <v>17</v>
      </c>
      <c r="G33" s="11">
        <v>3</v>
      </c>
      <c r="H33" s="11">
        <v>14</v>
      </c>
      <c r="I33" s="14">
        <v>178000.0</v>
      </c>
      <c r="J33" s="14"/>
      <c r="K33" s="14">
        <v>178000.0</v>
      </c>
      <c r="L33" s="14"/>
      <c r="M33" s="14">
        <v>178000.0</v>
      </c>
      <c r="N33" s="14">
        <f>IF(F33&gt;0, K33/F33, 0)</f>
        <v>10470.58823529411711</v>
      </c>
      <c r="O33" s="16">
        <f>IF(K33&gt;0, M33/K33, 0)</f>
        <v>1</v>
      </c>
      <c r="P33" s="20" t="s">
        <v>1909</v>
      </c>
    </row>
    <row r="34" spans="1:16">
      <c r="A34" s="8">
        <v>27</v>
      </c>
      <c r="B34" s="6" t="s">
        <v>50</v>
      </c>
      <c r="C34" s="6" t="s">
        <v>63</v>
      </c>
      <c r="D34" s="6" t="s">
        <v>148</v>
      </c>
      <c r="E34" s="8">
        <v>152</v>
      </c>
      <c r="F34" s="10">
        <v>18</v>
      </c>
      <c r="G34" s="10">
        <v>14</v>
      </c>
      <c r="H34" s="10">
        <v>4</v>
      </c>
      <c r="I34" s="13">
        <v>170500.0</v>
      </c>
      <c r="J34" s="13"/>
      <c r="K34" s="13">
        <v>170500.0</v>
      </c>
      <c r="L34" s="13"/>
      <c r="M34" s="13">
        <v>170500.0</v>
      </c>
      <c r="N34" s="13">
        <f>IF(F34&gt;0, K34/F34, 0)</f>
        <v>9472.22222222222263</v>
      </c>
      <c r="O34" s="15">
        <f>IF(K34&gt;0, M34/K34, 0)</f>
        <v>1</v>
      </c>
      <c r="P34" s="19" t="s">
        <v>1908</v>
      </c>
    </row>
    <row r="35" spans="1:16">
      <c r="A35" s="9">
        <v>28</v>
      </c>
      <c r="B35" s="7" t="s">
        <v>50</v>
      </c>
      <c r="C35" s="7" t="s">
        <v>63</v>
      </c>
      <c r="D35" s="7" t="s">
        <v>148</v>
      </c>
      <c r="E35" s="9">
        <v>158</v>
      </c>
      <c r="F35" s="11">
        <v>6</v>
      </c>
      <c r="G35" s="11">
        <v>2</v>
      </c>
      <c r="H35" s="11">
        <v>4</v>
      </c>
      <c r="I35" s="14">
        <v>62000.0</v>
      </c>
      <c r="J35" s="14"/>
      <c r="K35" s="14">
        <v>62000.0</v>
      </c>
      <c r="L35" s="14"/>
      <c r="M35" s="14">
        <v>62000.0</v>
      </c>
      <c r="N35" s="14">
        <f>IF(F35&gt;0, K35/F35, 0)</f>
        <v>10333.33333333333394</v>
      </c>
      <c r="O35" s="16">
        <f>IF(K35&gt;0, M35/K35, 0)</f>
        <v>1</v>
      </c>
      <c r="P35" s="20" t="s">
        <v>1922</v>
      </c>
    </row>
    <row r="36" spans="1:16">
      <c r="A36" s="8">
        <v>29</v>
      </c>
      <c r="B36" s="6" t="s">
        <v>50</v>
      </c>
      <c r="C36" s="6" t="s">
        <v>63</v>
      </c>
      <c r="D36" s="6" t="s">
        <v>148</v>
      </c>
      <c r="E36" s="8">
        <v>164</v>
      </c>
      <c r="F36" s="10">
        <v>2</v>
      </c>
      <c r="G36" s="10">
        <v>2</v>
      </c>
      <c r="H36" s="10"/>
      <c r="I36" s="13">
        <v>18000.0</v>
      </c>
      <c r="J36" s="13"/>
      <c r="K36" s="13">
        <v>18000.0</v>
      </c>
      <c r="L36" s="13"/>
      <c r="M36" s="13">
        <v>18000.0</v>
      </c>
      <c r="N36" s="13">
        <f>IF(F36&gt;0, K36/F36, 0)</f>
        <v>9000</v>
      </c>
      <c r="O36" s="15">
        <f>IF(K36&gt;0, M36/K36, 0)</f>
        <v>1</v>
      </c>
      <c r="P36" s="19" t="s">
        <v>1923</v>
      </c>
    </row>
    <row r="37" spans="1:16">
      <c r="A37" s="9">
        <v>30</v>
      </c>
      <c r="B37" s="7" t="s">
        <v>50</v>
      </c>
      <c r="C37" s="7" t="s">
        <v>63</v>
      </c>
      <c r="D37" s="7" t="s">
        <v>148</v>
      </c>
      <c r="E37" s="9">
        <v>176</v>
      </c>
      <c r="F37" s="11">
        <v>1</v>
      </c>
      <c r="G37" s="11">
        <v>1</v>
      </c>
      <c r="H37" s="11"/>
      <c r="I37" s="14">
        <v>9000.0</v>
      </c>
      <c r="J37" s="14"/>
      <c r="K37" s="14">
        <v>9000.0</v>
      </c>
      <c r="L37" s="14"/>
      <c r="M37" s="14">
        <v>9000.0</v>
      </c>
      <c r="N37" s="14">
        <f>IF(F37&gt;0, K37/F37, 0)</f>
        <v>9000</v>
      </c>
      <c r="O37" s="16">
        <f>IF(K37&gt;0, M37/K37, 0)</f>
        <v>1</v>
      </c>
      <c r="P37" s="20" t="s">
        <v>1905</v>
      </c>
    </row>
    <row r="38" spans="1:16">
      <c r="A38" s="8">
        <v>31</v>
      </c>
      <c r="B38" s="6" t="s">
        <v>50</v>
      </c>
      <c r="C38" s="6" t="s">
        <v>35</v>
      </c>
      <c r="D38" s="6" t="s">
        <v>73</v>
      </c>
      <c r="E38" s="8">
        <v>110</v>
      </c>
      <c r="F38" s="10">
        <v>1</v>
      </c>
      <c r="G38" s="10">
        <v>1</v>
      </c>
      <c r="H38" s="10"/>
      <c r="I38" s="13">
        <v>8000.0</v>
      </c>
      <c r="J38" s="13"/>
      <c r="K38" s="13">
        <v>8000.0</v>
      </c>
      <c r="L38" s="13"/>
      <c r="M38" s="13">
        <v>8000.0</v>
      </c>
      <c r="N38" s="13">
        <f>IF(F38&gt;0, K38/F38, 0)</f>
        <v>8000</v>
      </c>
      <c r="O38" s="15">
        <f>IF(K38&gt;0, M38/K38, 0)</f>
        <v>1</v>
      </c>
      <c r="P38" s="19" t="s">
        <v>1924</v>
      </c>
    </row>
    <row r="39" spans="1:16">
      <c r="A39" s="9">
        <v>32</v>
      </c>
      <c r="B39" s="7" t="s">
        <v>50</v>
      </c>
      <c r="C39" s="7" t="s">
        <v>35</v>
      </c>
      <c r="D39" s="7" t="s">
        <v>73</v>
      </c>
      <c r="E39" s="9">
        <v>116</v>
      </c>
      <c r="F39" s="11">
        <v>6</v>
      </c>
      <c r="G39" s="11">
        <v>6</v>
      </c>
      <c r="H39" s="11"/>
      <c r="I39" s="14">
        <v>48000.0</v>
      </c>
      <c r="J39" s="14"/>
      <c r="K39" s="14">
        <v>48000.0</v>
      </c>
      <c r="L39" s="14"/>
      <c r="M39" s="14">
        <v>48000.0</v>
      </c>
      <c r="N39" s="14">
        <f>IF(F39&gt;0, K39/F39, 0)</f>
        <v>8000</v>
      </c>
      <c r="O39" s="16">
        <f>IF(K39&gt;0, M39/K39, 0)</f>
        <v>1</v>
      </c>
      <c r="P39" s="20" t="s">
        <v>1903</v>
      </c>
    </row>
    <row r="40" spans="1:16">
      <c r="A40" s="8">
        <v>33</v>
      </c>
      <c r="B40" s="6" t="s">
        <v>50</v>
      </c>
      <c r="C40" s="6" t="s">
        <v>35</v>
      </c>
      <c r="D40" s="6" t="s">
        <v>73</v>
      </c>
      <c r="E40" s="8">
        <v>122</v>
      </c>
      <c r="F40" s="10">
        <v>14</v>
      </c>
      <c r="G40" s="10">
        <v>12</v>
      </c>
      <c r="H40" s="10">
        <v>2</v>
      </c>
      <c r="I40" s="13">
        <v>114000.0</v>
      </c>
      <c r="J40" s="13"/>
      <c r="K40" s="13">
        <v>114000.0</v>
      </c>
      <c r="L40" s="13"/>
      <c r="M40" s="13">
        <v>114000.0</v>
      </c>
      <c r="N40" s="13">
        <f>IF(F40&gt;0, K40/F40, 0)</f>
        <v>8142.85714285714312</v>
      </c>
      <c r="O40" s="15">
        <f>IF(K40&gt;0, M40/K40, 0)</f>
        <v>1</v>
      </c>
      <c r="P40" s="19" t="s">
        <v>1913</v>
      </c>
    </row>
    <row r="41" spans="1:16">
      <c r="A41" s="9">
        <v>34</v>
      </c>
      <c r="B41" s="7" t="s">
        <v>50</v>
      </c>
      <c r="C41" s="7" t="s">
        <v>35</v>
      </c>
      <c r="D41" s="7" t="s">
        <v>73</v>
      </c>
      <c r="E41" s="9">
        <v>128</v>
      </c>
      <c r="F41" s="11">
        <v>23</v>
      </c>
      <c r="G41" s="11">
        <v>22</v>
      </c>
      <c r="H41" s="11">
        <v>1</v>
      </c>
      <c r="I41" s="14">
        <v>189000.0</v>
      </c>
      <c r="J41" s="14"/>
      <c r="K41" s="14">
        <v>189000.0</v>
      </c>
      <c r="L41" s="14"/>
      <c r="M41" s="14">
        <v>189000.0</v>
      </c>
      <c r="N41" s="14">
        <f>IF(F41&gt;0, K41/F41, 0)</f>
        <v>8217.39130434782601</v>
      </c>
      <c r="O41" s="16">
        <f>IF(K41&gt;0, M41/K41, 0)</f>
        <v>1</v>
      </c>
      <c r="P41" s="20" t="s">
        <v>1925</v>
      </c>
    </row>
    <row r="42" spans="1:16">
      <c r="A42" s="8">
        <v>35</v>
      </c>
      <c r="B42" s="6" t="s">
        <v>50</v>
      </c>
      <c r="C42" s="6" t="s">
        <v>35</v>
      </c>
      <c r="D42" s="6" t="s">
        <v>73</v>
      </c>
      <c r="E42" s="8">
        <v>134</v>
      </c>
      <c r="F42" s="10">
        <v>20</v>
      </c>
      <c r="G42" s="10">
        <v>18</v>
      </c>
      <c r="H42" s="10">
        <v>2</v>
      </c>
      <c r="I42" s="13">
        <v>164000.0</v>
      </c>
      <c r="J42" s="13"/>
      <c r="K42" s="13">
        <v>164000.0</v>
      </c>
      <c r="L42" s="13"/>
      <c r="M42" s="13">
        <v>164000.0</v>
      </c>
      <c r="N42" s="13">
        <f>IF(F42&gt;0, K42/F42, 0)</f>
        <v>8200</v>
      </c>
      <c r="O42" s="15">
        <f>IF(K42&gt;0, M42/K42, 0)</f>
        <v>1</v>
      </c>
      <c r="P42" s="19" t="s">
        <v>1926</v>
      </c>
    </row>
    <row r="43" spans="1:16">
      <c r="A43" s="9">
        <v>36</v>
      </c>
      <c r="B43" s="7" t="s">
        <v>50</v>
      </c>
      <c r="C43" s="7" t="s">
        <v>35</v>
      </c>
      <c r="D43" s="7" t="s">
        <v>73</v>
      </c>
      <c r="E43" s="9">
        <v>140</v>
      </c>
      <c r="F43" s="11">
        <v>21</v>
      </c>
      <c r="G43" s="11">
        <v>20</v>
      </c>
      <c r="H43" s="11">
        <v>1</v>
      </c>
      <c r="I43" s="14">
        <v>173000.0</v>
      </c>
      <c r="J43" s="14"/>
      <c r="K43" s="14">
        <v>173000.0</v>
      </c>
      <c r="L43" s="14"/>
      <c r="M43" s="14">
        <v>173000.0</v>
      </c>
      <c r="N43" s="14">
        <f>IF(F43&gt;0, K43/F43, 0)</f>
        <v>8238.095238095238528</v>
      </c>
      <c r="O43" s="16">
        <f>IF(K43&gt;0, M43/K43, 0)</f>
        <v>1</v>
      </c>
      <c r="P43" s="20" t="s">
        <v>1927</v>
      </c>
    </row>
    <row r="44" spans="1:16">
      <c r="A44" s="8">
        <v>37</v>
      </c>
      <c r="B44" s="6" t="s">
        <v>50</v>
      </c>
      <c r="C44" s="6" t="s">
        <v>35</v>
      </c>
      <c r="D44" s="6" t="s">
        <v>73</v>
      </c>
      <c r="E44" s="8">
        <v>146</v>
      </c>
      <c r="F44" s="10">
        <v>11</v>
      </c>
      <c r="G44" s="10">
        <v>11</v>
      </c>
      <c r="H44" s="10"/>
      <c r="I44" s="13">
        <v>89000.0</v>
      </c>
      <c r="J44" s="13"/>
      <c r="K44" s="13">
        <v>89000.0</v>
      </c>
      <c r="L44" s="13"/>
      <c r="M44" s="13">
        <v>89000.0</v>
      </c>
      <c r="N44" s="13">
        <f>IF(F44&gt;0, K44/F44, 0)</f>
        <v>8090.90909090909099</v>
      </c>
      <c r="O44" s="15">
        <f>IF(K44&gt;0, M44/K44, 0)</f>
        <v>1</v>
      </c>
      <c r="P44" s="19" t="s">
        <v>1928</v>
      </c>
    </row>
    <row r="45" spans="1:16">
      <c r="A45" s="9">
        <v>38</v>
      </c>
      <c r="B45" s="7" t="s">
        <v>50</v>
      </c>
      <c r="C45" s="7" t="s">
        <v>35</v>
      </c>
      <c r="D45" s="7" t="s">
        <v>73</v>
      </c>
      <c r="E45" s="9">
        <v>152</v>
      </c>
      <c r="F45" s="11">
        <v>12</v>
      </c>
      <c r="G45" s="11">
        <v>12</v>
      </c>
      <c r="H45" s="11"/>
      <c r="I45" s="14">
        <v>98000.0</v>
      </c>
      <c r="J45" s="14"/>
      <c r="K45" s="14">
        <v>98000.0</v>
      </c>
      <c r="L45" s="14"/>
      <c r="M45" s="14">
        <v>98000.0</v>
      </c>
      <c r="N45" s="14">
        <f>IF(F45&gt;0, K45/F45, 0)</f>
        <v>8166.66666666666697</v>
      </c>
      <c r="O45" s="16">
        <f>IF(K45&gt;0, M45/K45, 0)</f>
        <v>1</v>
      </c>
      <c r="P45" s="20" t="s">
        <v>1929</v>
      </c>
    </row>
    <row r="46" spans="1:16">
      <c r="A46" s="8">
        <v>39</v>
      </c>
      <c r="B46" s="6" t="s">
        <v>50</v>
      </c>
      <c r="C46" s="6" t="s">
        <v>35</v>
      </c>
      <c r="D46" s="6" t="s">
        <v>73</v>
      </c>
      <c r="E46" s="8">
        <v>158</v>
      </c>
      <c r="F46" s="10">
        <v>2</v>
      </c>
      <c r="G46" s="10">
        <v>2</v>
      </c>
      <c r="H46" s="10"/>
      <c r="I46" s="13">
        <v>16000.0</v>
      </c>
      <c r="J46" s="13"/>
      <c r="K46" s="13">
        <v>16000.0</v>
      </c>
      <c r="L46" s="13"/>
      <c r="M46" s="13">
        <v>16000.0</v>
      </c>
      <c r="N46" s="13">
        <f>IF(F46&gt;0, K46/F46, 0)</f>
        <v>8000</v>
      </c>
      <c r="O46" s="15">
        <f>IF(K46&gt;0, M46/K46, 0)</f>
        <v>1</v>
      </c>
      <c r="P46" s="19" t="s">
        <v>1915</v>
      </c>
    </row>
    <row r="47" spans="1:16">
      <c r="A47" s="9">
        <v>40</v>
      </c>
      <c r="B47" s="7" t="s">
        <v>50</v>
      </c>
      <c r="C47" s="7" t="s">
        <v>35</v>
      </c>
      <c r="D47" s="7" t="s">
        <v>73</v>
      </c>
      <c r="E47" s="9">
        <v>164</v>
      </c>
      <c r="F47" s="11">
        <v>7</v>
      </c>
      <c r="G47" s="11">
        <v>7</v>
      </c>
      <c r="H47" s="11"/>
      <c r="I47" s="14">
        <v>59000.0</v>
      </c>
      <c r="J47" s="14"/>
      <c r="K47" s="14">
        <v>59000.0</v>
      </c>
      <c r="L47" s="14"/>
      <c r="M47" s="14">
        <v>59000.0</v>
      </c>
      <c r="N47" s="14">
        <f>IF(F47&gt;0, K47/F47, 0)</f>
        <v>8428.57142857142935</v>
      </c>
      <c r="O47" s="16">
        <f>IF(K47&gt;0, M47/K47, 0)</f>
        <v>1</v>
      </c>
      <c r="P47" s="20" t="s">
        <v>1923</v>
      </c>
    </row>
    <row r="48" spans="1:16">
      <c r="A48" s="8">
        <v>41</v>
      </c>
      <c r="B48" s="6" t="s">
        <v>50</v>
      </c>
      <c r="C48" s="6" t="s">
        <v>35</v>
      </c>
      <c r="D48" s="6" t="s">
        <v>73</v>
      </c>
      <c r="E48" s="8">
        <v>170</v>
      </c>
      <c r="F48" s="10">
        <v>3</v>
      </c>
      <c r="G48" s="10">
        <v>3</v>
      </c>
      <c r="H48" s="10"/>
      <c r="I48" s="13">
        <v>26500.0</v>
      </c>
      <c r="J48" s="13"/>
      <c r="K48" s="13">
        <v>26500.0</v>
      </c>
      <c r="L48" s="13"/>
      <c r="M48" s="13">
        <v>26500.0</v>
      </c>
      <c r="N48" s="13">
        <f>IF(F48&gt;0, K48/F48, 0)</f>
        <v>8833.33333333333394</v>
      </c>
      <c r="O48" s="15">
        <f>IF(K48&gt;0, M48/K48, 0)</f>
        <v>1</v>
      </c>
      <c r="P48" s="19" t="s">
        <v>1905</v>
      </c>
    </row>
    <row r="49" spans="1:16">
      <c r="A49" s="9">
        <v>42</v>
      </c>
      <c r="B49" s="7" t="s">
        <v>50</v>
      </c>
      <c r="C49" s="7" t="s">
        <v>35</v>
      </c>
      <c r="D49" s="7" t="s">
        <v>36</v>
      </c>
      <c r="E49" s="9">
        <v>110</v>
      </c>
      <c r="F49" s="11">
        <v>1</v>
      </c>
      <c r="G49" s="11">
        <v>1</v>
      </c>
      <c r="H49" s="11"/>
      <c r="I49" s="14">
        <v>7000.0</v>
      </c>
      <c r="J49" s="14"/>
      <c r="K49" s="14">
        <v>7000.0</v>
      </c>
      <c r="L49" s="14"/>
      <c r="M49" s="14">
        <v>7000.0</v>
      </c>
      <c r="N49" s="14">
        <f>IF(F49&gt;0, K49/F49, 0)</f>
        <v>7000</v>
      </c>
      <c r="O49" s="16">
        <f>IF(K49&gt;0, M49/K49, 0)</f>
        <v>1</v>
      </c>
      <c r="P49" s="20" t="s">
        <v>1924</v>
      </c>
    </row>
    <row r="50" spans="1:16">
      <c r="A50" s="8">
        <v>43</v>
      </c>
      <c r="B50" s="6" t="s">
        <v>50</v>
      </c>
      <c r="C50" s="6" t="s">
        <v>35</v>
      </c>
      <c r="D50" s="6" t="s">
        <v>36</v>
      </c>
      <c r="E50" s="8">
        <v>116</v>
      </c>
      <c r="F50" s="10">
        <v>10</v>
      </c>
      <c r="G50" s="10">
        <v>10</v>
      </c>
      <c r="H50" s="10"/>
      <c r="I50" s="13">
        <v>70000.0</v>
      </c>
      <c r="J50" s="13"/>
      <c r="K50" s="13">
        <v>70000.0</v>
      </c>
      <c r="L50" s="13"/>
      <c r="M50" s="13">
        <v>70000.0</v>
      </c>
      <c r="N50" s="13">
        <f>IF(F50&gt;0, K50/F50, 0)</f>
        <v>7000</v>
      </c>
      <c r="O50" s="15">
        <f>IF(K50&gt;0, M50/K50, 0)</f>
        <v>1</v>
      </c>
      <c r="P50" s="19" t="s">
        <v>1930</v>
      </c>
    </row>
    <row r="51" spans="1:16">
      <c r="A51" s="9">
        <v>44</v>
      </c>
      <c r="B51" s="7" t="s">
        <v>50</v>
      </c>
      <c r="C51" s="7" t="s">
        <v>35</v>
      </c>
      <c r="D51" s="7" t="s">
        <v>36</v>
      </c>
      <c r="E51" s="9">
        <v>122</v>
      </c>
      <c r="F51" s="11">
        <v>26</v>
      </c>
      <c r="G51" s="11">
        <v>25</v>
      </c>
      <c r="H51" s="11">
        <v>1</v>
      </c>
      <c r="I51" s="14">
        <v>184000.0</v>
      </c>
      <c r="J51" s="14"/>
      <c r="K51" s="14">
        <v>184000.0</v>
      </c>
      <c r="L51" s="14"/>
      <c r="M51" s="14">
        <v>184000.0</v>
      </c>
      <c r="N51" s="14">
        <f>IF(F51&gt;0, K51/F51, 0)</f>
        <v>7076.92307692307713</v>
      </c>
      <c r="O51" s="16">
        <f>IF(K51&gt;0, M51/K51, 0)</f>
        <v>1</v>
      </c>
      <c r="P51" s="20" t="s">
        <v>1931</v>
      </c>
    </row>
    <row r="52" spans="1:16">
      <c r="A52" s="8">
        <v>45</v>
      </c>
      <c r="B52" s="6" t="s">
        <v>50</v>
      </c>
      <c r="C52" s="6" t="s">
        <v>35</v>
      </c>
      <c r="D52" s="6" t="s">
        <v>36</v>
      </c>
      <c r="E52" s="8">
        <v>128</v>
      </c>
      <c r="F52" s="10">
        <v>30</v>
      </c>
      <c r="G52" s="10">
        <v>30</v>
      </c>
      <c r="H52" s="10"/>
      <c r="I52" s="13">
        <v>212000.0</v>
      </c>
      <c r="J52" s="13"/>
      <c r="K52" s="13">
        <v>212000.0</v>
      </c>
      <c r="L52" s="13"/>
      <c r="M52" s="13">
        <v>212000.0</v>
      </c>
      <c r="N52" s="13">
        <f>IF(F52&gt;0, K52/F52, 0)</f>
        <v>7066.66666666666697</v>
      </c>
      <c r="O52" s="15">
        <f>IF(K52&gt;0, M52/K52, 0)</f>
        <v>1</v>
      </c>
      <c r="P52" s="19" t="s">
        <v>1932</v>
      </c>
    </row>
    <row r="53" spans="1:16">
      <c r="A53" s="9">
        <v>46</v>
      </c>
      <c r="B53" s="7" t="s">
        <v>50</v>
      </c>
      <c r="C53" s="7" t="s">
        <v>35</v>
      </c>
      <c r="D53" s="7" t="s">
        <v>36</v>
      </c>
      <c r="E53" s="9">
        <v>134</v>
      </c>
      <c r="F53" s="11">
        <v>75</v>
      </c>
      <c r="G53" s="11">
        <v>74</v>
      </c>
      <c r="H53" s="11">
        <v>1</v>
      </c>
      <c r="I53" s="14">
        <v>528000.0</v>
      </c>
      <c r="J53" s="14"/>
      <c r="K53" s="14">
        <v>528000.0</v>
      </c>
      <c r="L53" s="14"/>
      <c r="M53" s="14">
        <v>528000.0</v>
      </c>
      <c r="N53" s="14">
        <f>IF(F53&gt;0, K53/F53, 0)</f>
        <v>7040</v>
      </c>
      <c r="O53" s="16">
        <f>IF(K53&gt;0, M53/K53, 0)</f>
        <v>1</v>
      </c>
      <c r="P53" s="20" t="s">
        <v>1933</v>
      </c>
    </row>
    <row r="54" spans="1:16">
      <c r="A54" s="8">
        <v>47</v>
      </c>
      <c r="B54" s="6" t="s">
        <v>50</v>
      </c>
      <c r="C54" s="6" t="s">
        <v>35</v>
      </c>
      <c r="D54" s="6" t="s">
        <v>36</v>
      </c>
      <c r="E54" s="8">
        <v>140</v>
      </c>
      <c r="F54" s="10">
        <v>73</v>
      </c>
      <c r="G54" s="10">
        <v>72</v>
      </c>
      <c r="H54" s="10">
        <v>1</v>
      </c>
      <c r="I54" s="13">
        <v>522400.0</v>
      </c>
      <c r="J54" s="13"/>
      <c r="K54" s="13">
        <v>522400.0</v>
      </c>
      <c r="L54" s="13"/>
      <c r="M54" s="13">
        <v>522400.0</v>
      </c>
      <c r="N54" s="13">
        <f>IF(F54&gt;0, K54/F54, 0)</f>
        <v>7156.16438356164417</v>
      </c>
      <c r="O54" s="15">
        <f>IF(K54&gt;0, M54/K54, 0)</f>
        <v>1</v>
      </c>
      <c r="P54" s="19" t="s">
        <v>1934</v>
      </c>
    </row>
    <row r="55" spans="1:16">
      <c r="A55" s="9">
        <v>48</v>
      </c>
      <c r="B55" s="7" t="s">
        <v>50</v>
      </c>
      <c r="C55" s="7" t="s">
        <v>35</v>
      </c>
      <c r="D55" s="7" t="s">
        <v>36</v>
      </c>
      <c r="E55" s="9">
        <v>146</v>
      </c>
      <c r="F55" s="11">
        <v>43</v>
      </c>
      <c r="G55" s="11">
        <v>42</v>
      </c>
      <c r="H55" s="11">
        <v>1</v>
      </c>
      <c r="I55" s="14">
        <v>303000.0</v>
      </c>
      <c r="J55" s="14"/>
      <c r="K55" s="14">
        <v>303000.0</v>
      </c>
      <c r="L55" s="14"/>
      <c r="M55" s="14">
        <v>303000.0</v>
      </c>
      <c r="N55" s="14">
        <f>IF(F55&gt;0, K55/F55, 0)</f>
        <v>7046.51162790697708</v>
      </c>
      <c r="O55" s="16">
        <f>IF(K55&gt;0, M55/K55, 0)</f>
        <v>1</v>
      </c>
      <c r="P55" s="20" t="s">
        <v>1935</v>
      </c>
    </row>
    <row r="56" spans="1:16">
      <c r="A56" s="8">
        <v>49</v>
      </c>
      <c r="B56" s="6" t="s">
        <v>50</v>
      </c>
      <c r="C56" s="6" t="s">
        <v>35</v>
      </c>
      <c r="D56" s="6" t="s">
        <v>36</v>
      </c>
      <c r="E56" s="8">
        <v>152</v>
      </c>
      <c r="F56" s="10">
        <v>53</v>
      </c>
      <c r="G56" s="10">
        <v>53</v>
      </c>
      <c r="H56" s="10"/>
      <c r="I56" s="13">
        <v>375000.0</v>
      </c>
      <c r="J56" s="13"/>
      <c r="K56" s="13">
        <v>375000.0</v>
      </c>
      <c r="L56" s="13"/>
      <c r="M56" s="13">
        <v>375000.0</v>
      </c>
      <c r="N56" s="13">
        <f>IF(F56&gt;0, K56/F56, 0)</f>
        <v>7075.47169811320782</v>
      </c>
      <c r="O56" s="15">
        <f>IF(K56&gt;0, M56/K56, 0)</f>
        <v>1</v>
      </c>
      <c r="P56" s="19" t="s">
        <v>1936</v>
      </c>
    </row>
    <row r="57" spans="1:16">
      <c r="A57" s="9">
        <v>50</v>
      </c>
      <c r="B57" s="7" t="s">
        <v>50</v>
      </c>
      <c r="C57" s="7" t="s">
        <v>35</v>
      </c>
      <c r="D57" s="7" t="s">
        <v>36</v>
      </c>
      <c r="E57" s="9">
        <v>158</v>
      </c>
      <c r="F57" s="11">
        <v>28</v>
      </c>
      <c r="G57" s="11">
        <v>25</v>
      </c>
      <c r="H57" s="11">
        <v>3</v>
      </c>
      <c r="I57" s="14">
        <v>207000.0</v>
      </c>
      <c r="J57" s="14">
        <v>2100.0</v>
      </c>
      <c r="K57" s="14">
        <v>204900.0</v>
      </c>
      <c r="L57" s="14"/>
      <c r="M57" s="14">
        <v>204900.0</v>
      </c>
      <c r="N57" s="14">
        <f>IF(F57&gt;0, K57/F57, 0)</f>
        <v>7317.85714285714312</v>
      </c>
      <c r="O57" s="16">
        <f>IF(K57&gt;0, M57/K57, 0)</f>
        <v>1</v>
      </c>
      <c r="P57" s="20" t="s">
        <v>1922</v>
      </c>
    </row>
    <row r="58" spans="1:16">
      <c r="A58" s="8">
        <v>51</v>
      </c>
      <c r="B58" s="6" t="s">
        <v>50</v>
      </c>
      <c r="C58" s="6" t="s">
        <v>35</v>
      </c>
      <c r="D58" s="6" t="s">
        <v>36</v>
      </c>
      <c r="E58" s="8">
        <v>164</v>
      </c>
      <c r="F58" s="10">
        <v>16</v>
      </c>
      <c r="G58" s="10">
        <v>16</v>
      </c>
      <c r="H58" s="10"/>
      <c r="I58" s="13">
        <v>114000.0</v>
      </c>
      <c r="J58" s="13"/>
      <c r="K58" s="13">
        <v>114000.0</v>
      </c>
      <c r="L58" s="13"/>
      <c r="M58" s="13">
        <v>114000.0</v>
      </c>
      <c r="N58" s="13">
        <f>IF(F58&gt;0, K58/F58, 0)</f>
        <v>7125</v>
      </c>
      <c r="O58" s="15">
        <f>IF(K58&gt;0, M58/K58, 0)</f>
        <v>1</v>
      </c>
      <c r="P58" s="19" t="s">
        <v>1913</v>
      </c>
    </row>
    <row r="59" spans="1:16">
      <c r="A59" s="9">
        <v>52</v>
      </c>
      <c r="B59" s="7" t="s">
        <v>50</v>
      </c>
      <c r="C59" s="7" t="s">
        <v>35</v>
      </c>
      <c r="D59" s="7" t="s">
        <v>36</v>
      </c>
      <c r="E59" s="9">
        <v>170</v>
      </c>
      <c r="F59" s="11">
        <v>19</v>
      </c>
      <c r="G59" s="11">
        <v>19</v>
      </c>
      <c r="H59" s="11"/>
      <c r="I59" s="14">
        <v>140000.0</v>
      </c>
      <c r="J59" s="14"/>
      <c r="K59" s="14">
        <v>140000.0</v>
      </c>
      <c r="L59" s="14"/>
      <c r="M59" s="14">
        <v>140000.0</v>
      </c>
      <c r="N59" s="14">
        <f>IF(F59&gt;0, K59/F59, 0)</f>
        <v>7368.42105263157919</v>
      </c>
      <c r="O59" s="16">
        <f>IF(K59&gt;0, M59/K59, 0)</f>
        <v>1</v>
      </c>
      <c r="P59" s="20" t="s">
        <v>1907</v>
      </c>
    </row>
    <row r="60" spans="1:16">
      <c r="A60" s="8">
        <v>53</v>
      </c>
      <c r="B60" s="6" t="s">
        <v>50</v>
      </c>
      <c r="C60" s="6" t="s">
        <v>35</v>
      </c>
      <c r="D60" s="6" t="s">
        <v>36</v>
      </c>
      <c r="E60" s="8">
        <v>176</v>
      </c>
      <c r="F60" s="10">
        <v>5</v>
      </c>
      <c r="G60" s="10">
        <v>5</v>
      </c>
      <c r="H60" s="10"/>
      <c r="I60" s="13">
        <v>37000.0</v>
      </c>
      <c r="J60" s="13">
        <v>2100.0</v>
      </c>
      <c r="K60" s="13">
        <v>34900.0</v>
      </c>
      <c r="L60" s="13"/>
      <c r="M60" s="13">
        <v>34900.0</v>
      </c>
      <c r="N60" s="13">
        <f>IF(F60&gt;0, K60/F60, 0)</f>
        <v>6980</v>
      </c>
      <c r="O60" s="15">
        <f>IF(K60&gt;0, M60/K60, 0)</f>
        <v>1</v>
      </c>
      <c r="P60" s="19" t="s">
        <v>1937</v>
      </c>
    </row>
    <row r="61" spans="1:16">
      <c r="A61" s="9">
        <v>54</v>
      </c>
      <c r="B61" s="7" t="s">
        <v>50</v>
      </c>
      <c r="C61" s="7" t="s">
        <v>35</v>
      </c>
      <c r="D61" s="7" t="s">
        <v>36</v>
      </c>
      <c r="E61" s="9">
        <v>182</v>
      </c>
      <c r="F61" s="11">
        <v>2</v>
      </c>
      <c r="G61" s="11">
        <v>2</v>
      </c>
      <c r="H61" s="11"/>
      <c r="I61" s="14">
        <v>16000.0</v>
      </c>
      <c r="J61" s="14"/>
      <c r="K61" s="14">
        <v>16000.0</v>
      </c>
      <c r="L61" s="14"/>
      <c r="M61" s="14">
        <v>16000.0</v>
      </c>
      <c r="N61" s="14">
        <f>IF(F61&gt;0, K61/F61, 0)</f>
        <v>8000</v>
      </c>
      <c r="O61" s="16">
        <f>IF(K61&gt;0, M61/K61, 0)</f>
        <v>1</v>
      </c>
      <c r="P61" s="20" t="s">
        <v>1915</v>
      </c>
    </row>
    <row r="62" spans="1:16">
      <c r="A62" s="8">
        <v>55</v>
      </c>
      <c r="B62" s="6" t="s">
        <v>50</v>
      </c>
      <c r="C62" s="6" t="s">
        <v>35</v>
      </c>
      <c r="D62" s="6" t="s">
        <v>1488</v>
      </c>
      <c r="E62" s="8">
        <v>146</v>
      </c>
      <c r="F62" s="10">
        <v>1</v>
      </c>
      <c r="G62" s="10">
        <v>1</v>
      </c>
      <c r="H62" s="10"/>
      <c r="I62" s="13">
        <v>8500.0</v>
      </c>
      <c r="J62" s="13"/>
      <c r="K62" s="13">
        <v>8500.0</v>
      </c>
      <c r="L62" s="13"/>
      <c r="M62" s="13">
        <v>8500.0</v>
      </c>
      <c r="N62" s="13">
        <f>IF(F62&gt;0, K62/F62, 0)</f>
        <v>8500</v>
      </c>
      <c r="O62" s="15">
        <f>IF(K62&gt;0, M62/K62, 0)</f>
        <v>1</v>
      </c>
      <c r="P62" s="19" t="s">
        <v>1924</v>
      </c>
    </row>
    <row r="63" spans="1:16">
      <c r="A63" s="9">
        <v>56</v>
      </c>
      <c r="B63" s="7" t="s">
        <v>50</v>
      </c>
      <c r="C63" s="7" t="s">
        <v>431</v>
      </c>
      <c r="D63" s="7" t="s">
        <v>431</v>
      </c>
      <c r="E63" s="9">
        <v>152</v>
      </c>
      <c r="F63" s="11">
        <v>1</v>
      </c>
      <c r="G63" s="11"/>
      <c r="H63" s="11">
        <v>1</v>
      </c>
      <c r="I63" s="14">
        <v>15000.0</v>
      </c>
      <c r="J63" s="14"/>
      <c r="K63" s="14">
        <v>15000.0</v>
      </c>
      <c r="L63" s="14"/>
      <c r="M63" s="14">
        <v>15000.0</v>
      </c>
      <c r="N63" s="14">
        <f>IF(F63&gt;0, K63/F63, 0)</f>
        <v>15000</v>
      </c>
      <c r="O63" s="16">
        <f>IF(K63&gt;0, M63/K63, 0)</f>
        <v>1</v>
      </c>
      <c r="P63" s="20" t="s">
        <v>1938</v>
      </c>
    </row>
    <row r="64" spans="1:16">
      <c r="A64" s="8">
        <v>57</v>
      </c>
      <c r="B64" s="6" t="s">
        <v>50</v>
      </c>
      <c r="C64" s="6" t="s">
        <v>431</v>
      </c>
      <c r="D64" s="6" t="s">
        <v>444</v>
      </c>
      <c r="E64" s="8">
        <v>140</v>
      </c>
      <c r="F64" s="10">
        <v>1</v>
      </c>
      <c r="G64" s="10">
        <v>1</v>
      </c>
      <c r="H64" s="10"/>
      <c r="I64" s="13">
        <v>15000.0</v>
      </c>
      <c r="J64" s="13"/>
      <c r="K64" s="13">
        <v>15000.0</v>
      </c>
      <c r="L64" s="13"/>
      <c r="M64" s="13">
        <v>15000.0</v>
      </c>
      <c r="N64" s="13">
        <f>IF(F64&gt;0, K64/F64, 0)</f>
        <v>15000</v>
      </c>
      <c r="O64" s="15">
        <f>IF(K64&gt;0, M64/K64, 0)</f>
        <v>1</v>
      </c>
      <c r="P64" s="19" t="s">
        <v>1938</v>
      </c>
    </row>
    <row r="65" spans="1:16">
      <c r="A65" s="9">
        <v>58</v>
      </c>
      <c r="B65" s="7" t="s">
        <v>50</v>
      </c>
      <c r="C65" s="7" t="s">
        <v>51</v>
      </c>
      <c r="D65" s="7" t="s">
        <v>172</v>
      </c>
      <c r="E65" s="9">
        <v>134</v>
      </c>
      <c r="F65" s="11">
        <v>1</v>
      </c>
      <c r="G65" s="11">
        <v>1</v>
      </c>
      <c r="H65" s="11"/>
      <c r="I65" s="14">
        <v>15000.0</v>
      </c>
      <c r="J65" s="14"/>
      <c r="K65" s="14">
        <v>15000.0</v>
      </c>
      <c r="L65" s="14"/>
      <c r="M65" s="14">
        <v>15000.0</v>
      </c>
      <c r="N65" s="14">
        <f>IF(F65&gt;0, K65/F65, 0)</f>
        <v>15000</v>
      </c>
      <c r="O65" s="16">
        <f>IF(K65&gt;0, M65/K65, 0)</f>
        <v>1</v>
      </c>
      <c r="P65" s="20" t="s">
        <v>1916</v>
      </c>
    </row>
    <row r="66" spans="1:16">
      <c r="A66" s="8">
        <v>59</v>
      </c>
      <c r="B66" s="6" t="s">
        <v>50</v>
      </c>
      <c r="C66" s="6" t="s">
        <v>51</v>
      </c>
      <c r="D66" s="6" t="s">
        <v>153</v>
      </c>
      <c r="E66" s="8">
        <v>134</v>
      </c>
      <c r="F66" s="10">
        <v>1</v>
      </c>
      <c r="G66" s="10">
        <v>1</v>
      </c>
      <c r="H66" s="10"/>
      <c r="I66" s="13">
        <v>15000.0</v>
      </c>
      <c r="J66" s="13"/>
      <c r="K66" s="13">
        <v>15000.0</v>
      </c>
      <c r="L66" s="13"/>
      <c r="M66" s="13">
        <v>15000.0</v>
      </c>
      <c r="N66" s="13">
        <f>IF(F66&gt;0, K66/F66, 0)</f>
        <v>15000</v>
      </c>
      <c r="O66" s="15">
        <f>IF(K66&gt;0, M66/K66, 0)</f>
        <v>1</v>
      </c>
      <c r="P66" s="19" t="s">
        <v>1916</v>
      </c>
    </row>
    <row r="67" spans="1:16">
      <c r="A67" s="9">
        <v>60</v>
      </c>
      <c r="B67" s="7" t="s">
        <v>50</v>
      </c>
      <c r="C67" s="7" t="s">
        <v>51</v>
      </c>
      <c r="D67" s="7" t="s">
        <v>162</v>
      </c>
      <c r="E67" s="9">
        <v>122</v>
      </c>
      <c r="F67" s="11">
        <v>1</v>
      </c>
      <c r="G67" s="11">
        <v>1</v>
      </c>
      <c r="H67" s="11"/>
      <c r="I67" s="14">
        <v>15000.0</v>
      </c>
      <c r="J67" s="14"/>
      <c r="K67" s="14">
        <v>15000.0</v>
      </c>
      <c r="L67" s="14"/>
      <c r="M67" s="14">
        <v>15000.0</v>
      </c>
      <c r="N67" s="14">
        <f>IF(F67&gt;0, K67/F67, 0)</f>
        <v>15000</v>
      </c>
      <c r="O67" s="16">
        <f>IF(K67&gt;0, M67/K67, 0)</f>
        <v>1</v>
      </c>
      <c r="P67" s="20" t="s">
        <v>1916</v>
      </c>
    </row>
    <row r="68" spans="1:16">
      <c r="A68" s="8">
        <v>61</v>
      </c>
      <c r="B68" s="6" t="s">
        <v>50</v>
      </c>
      <c r="C68" s="6" t="s">
        <v>51</v>
      </c>
      <c r="D68" s="6" t="s">
        <v>51</v>
      </c>
      <c r="E68" s="8">
        <v>110</v>
      </c>
      <c r="F68" s="10">
        <v>4</v>
      </c>
      <c r="G68" s="10">
        <v>4</v>
      </c>
      <c r="H68" s="10"/>
      <c r="I68" s="13">
        <v>32000.0</v>
      </c>
      <c r="J68" s="13"/>
      <c r="K68" s="13">
        <v>32000.0</v>
      </c>
      <c r="L68" s="13"/>
      <c r="M68" s="13">
        <v>32000.0</v>
      </c>
      <c r="N68" s="13">
        <f>IF(F68&gt;0, K68/F68, 0)</f>
        <v>8000</v>
      </c>
      <c r="O68" s="15">
        <f>IF(K68&gt;0, M68/K68, 0)</f>
        <v>1</v>
      </c>
      <c r="P68" s="19" t="s">
        <v>1939</v>
      </c>
    </row>
    <row r="69" spans="1:16">
      <c r="A69" s="9">
        <v>62</v>
      </c>
      <c r="B69" s="7" t="s">
        <v>50</v>
      </c>
      <c r="C69" s="7" t="s">
        <v>51</v>
      </c>
      <c r="D69" s="7" t="s">
        <v>51</v>
      </c>
      <c r="E69" s="9">
        <v>116</v>
      </c>
      <c r="F69" s="11">
        <v>3</v>
      </c>
      <c r="G69" s="11">
        <v>1</v>
      </c>
      <c r="H69" s="11">
        <v>2</v>
      </c>
      <c r="I69" s="14">
        <v>26000.0</v>
      </c>
      <c r="J69" s="14"/>
      <c r="K69" s="14">
        <v>26000.0</v>
      </c>
      <c r="L69" s="14"/>
      <c r="M69" s="14">
        <v>26000.0</v>
      </c>
      <c r="N69" s="14">
        <f>IF(F69&gt;0, K69/F69, 0)</f>
        <v>8666.66666666666606</v>
      </c>
      <c r="O69" s="16">
        <f>IF(K69&gt;0, M69/K69, 0)</f>
        <v>1</v>
      </c>
      <c r="P69" s="20" t="s">
        <v>1940</v>
      </c>
    </row>
    <row r="70" spans="1:16">
      <c r="A70" s="8">
        <v>63</v>
      </c>
      <c r="B70" s="6" t="s">
        <v>50</v>
      </c>
      <c r="C70" s="6" t="s">
        <v>51</v>
      </c>
      <c r="D70" s="6" t="s">
        <v>51</v>
      </c>
      <c r="E70" s="8">
        <v>122</v>
      </c>
      <c r="F70" s="10">
        <v>21</v>
      </c>
      <c r="G70" s="10">
        <v>20</v>
      </c>
      <c r="H70" s="10">
        <v>1</v>
      </c>
      <c r="I70" s="13">
        <v>170000.0</v>
      </c>
      <c r="J70" s="13"/>
      <c r="K70" s="13">
        <v>170000.0</v>
      </c>
      <c r="L70" s="13"/>
      <c r="M70" s="13">
        <v>170000.0</v>
      </c>
      <c r="N70" s="13">
        <f>IF(F70&gt;0, K70/F70, 0)</f>
        <v>8095.23809523809541</v>
      </c>
      <c r="O70" s="15">
        <f>IF(K70&gt;0, M70/K70, 0)</f>
        <v>1</v>
      </c>
      <c r="P70" s="19" t="s">
        <v>1941</v>
      </c>
    </row>
    <row r="71" spans="1:16">
      <c r="A71" s="9">
        <v>64</v>
      </c>
      <c r="B71" s="7" t="s">
        <v>50</v>
      </c>
      <c r="C71" s="7" t="s">
        <v>51</v>
      </c>
      <c r="D71" s="7" t="s">
        <v>51</v>
      </c>
      <c r="E71" s="9">
        <v>128</v>
      </c>
      <c r="F71" s="11">
        <v>18</v>
      </c>
      <c r="G71" s="11">
        <v>18</v>
      </c>
      <c r="H71" s="11"/>
      <c r="I71" s="14">
        <v>144000.0</v>
      </c>
      <c r="J71" s="14"/>
      <c r="K71" s="14">
        <v>144000.0</v>
      </c>
      <c r="L71" s="14"/>
      <c r="M71" s="14">
        <v>144000.0</v>
      </c>
      <c r="N71" s="14">
        <f>IF(F71&gt;0, K71/F71, 0)</f>
        <v>8000</v>
      </c>
      <c r="O71" s="16">
        <f>IF(K71&gt;0, M71/K71, 0)</f>
        <v>1</v>
      </c>
      <c r="P71" s="20" t="s">
        <v>1942</v>
      </c>
    </row>
    <row r="72" spans="1:16">
      <c r="A72" s="8">
        <v>65</v>
      </c>
      <c r="B72" s="6" t="s">
        <v>50</v>
      </c>
      <c r="C72" s="6" t="s">
        <v>51</v>
      </c>
      <c r="D72" s="6" t="s">
        <v>51</v>
      </c>
      <c r="E72" s="8">
        <v>134</v>
      </c>
      <c r="F72" s="10">
        <v>42</v>
      </c>
      <c r="G72" s="10">
        <v>42</v>
      </c>
      <c r="H72" s="10"/>
      <c r="I72" s="13">
        <v>339800.0</v>
      </c>
      <c r="J72" s="13"/>
      <c r="K72" s="13">
        <v>339800.0</v>
      </c>
      <c r="L72" s="13"/>
      <c r="M72" s="13">
        <v>339800.0</v>
      </c>
      <c r="N72" s="13">
        <f>IF(F72&gt;0, K72/F72, 0)</f>
        <v>8090.47619047619082</v>
      </c>
      <c r="O72" s="15">
        <f>IF(K72&gt;0, M72/K72, 0)</f>
        <v>1</v>
      </c>
      <c r="P72" s="19" t="s">
        <v>1943</v>
      </c>
    </row>
    <row r="73" spans="1:16">
      <c r="A73" s="9">
        <v>66</v>
      </c>
      <c r="B73" s="7" t="s">
        <v>50</v>
      </c>
      <c r="C73" s="7" t="s">
        <v>51</v>
      </c>
      <c r="D73" s="7" t="s">
        <v>51</v>
      </c>
      <c r="E73" s="9">
        <v>140</v>
      </c>
      <c r="F73" s="11">
        <v>36</v>
      </c>
      <c r="G73" s="11">
        <v>35</v>
      </c>
      <c r="H73" s="11">
        <v>1</v>
      </c>
      <c r="I73" s="14">
        <v>286600.0</v>
      </c>
      <c r="J73" s="14">
        <v>800.0</v>
      </c>
      <c r="K73" s="14">
        <v>285800.0</v>
      </c>
      <c r="L73" s="14"/>
      <c r="M73" s="14">
        <v>285800.0</v>
      </c>
      <c r="N73" s="14">
        <f>IF(F73&gt;0, K73/F73, 0)</f>
        <v>7938.88888888888869</v>
      </c>
      <c r="O73" s="16">
        <f>IF(K73&gt;0, M73/K73, 0)</f>
        <v>1</v>
      </c>
      <c r="P73" s="20" t="s">
        <v>1944</v>
      </c>
    </row>
    <row r="74" spans="1:16">
      <c r="A74" s="8">
        <v>67</v>
      </c>
      <c r="B74" s="6" t="s">
        <v>50</v>
      </c>
      <c r="C74" s="6" t="s">
        <v>51</v>
      </c>
      <c r="D74" s="6" t="s">
        <v>51</v>
      </c>
      <c r="E74" s="8">
        <v>146</v>
      </c>
      <c r="F74" s="10">
        <v>25</v>
      </c>
      <c r="G74" s="10">
        <v>25</v>
      </c>
      <c r="H74" s="10"/>
      <c r="I74" s="13">
        <v>200000.0</v>
      </c>
      <c r="J74" s="13">
        <v>800.0</v>
      </c>
      <c r="K74" s="13">
        <v>199200.0</v>
      </c>
      <c r="L74" s="13"/>
      <c r="M74" s="13">
        <v>199200.0</v>
      </c>
      <c r="N74" s="13">
        <f>IF(F74&gt;0, K74/F74, 0)</f>
        <v>7968</v>
      </c>
      <c r="O74" s="15">
        <f>IF(K74&gt;0, M74/K74, 0)</f>
        <v>1</v>
      </c>
      <c r="P74" s="19" t="s">
        <v>1945</v>
      </c>
    </row>
    <row r="75" spans="1:16">
      <c r="A75" s="9">
        <v>68</v>
      </c>
      <c r="B75" s="7" t="s">
        <v>50</v>
      </c>
      <c r="C75" s="7" t="s">
        <v>51</v>
      </c>
      <c r="D75" s="7" t="s">
        <v>51</v>
      </c>
      <c r="E75" s="9">
        <v>152</v>
      </c>
      <c r="F75" s="11">
        <v>17</v>
      </c>
      <c r="G75" s="11">
        <v>17</v>
      </c>
      <c r="H75" s="11"/>
      <c r="I75" s="14">
        <v>136000.0</v>
      </c>
      <c r="J75" s="14"/>
      <c r="K75" s="14">
        <v>136000.0</v>
      </c>
      <c r="L75" s="14"/>
      <c r="M75" s="14">
        <v>136000.0</v>
      </c>
      <c r="N75" s="14">
        <f>IF(F75&gt;0, K75/F75, 0)</f>
        <v>8000</v>
      </c>
      <c r="O75" s="16">
        <f>IF(K75&gt;0, M75/K75, 0)</f>
        <v>1</v>
      </c>
      <c r="P75" s="20" t="s">
        <v>1904</v>
      </c>
    </row>
    <row r="76" spans="1:16">
      <c r="A76" s="8">
        <v>69</v>
      </c>
      <c r="B76" s="6" t="s">
        <v>50</v>
      </c>
      <c r="C76" s="6" t="s">
        <v>51</v>
      </c>
      <c r="D76" s="6" t="s">
        <v>51</v>
      </c>
      <c r="E76" s="8">
        <v>158</v>
      </c>
      <c r="F76" s="10">
        <v>11</v>
      </c>
      <c r="G76" s="10">
        <v>11</v>
      </c>
      <c r="H76" s="10"/>
      <c r="I76" s="13">
        <v>89000.0</v>
      </c>
      <c r="J76" s="13"/>
      <c r="K76" s="13">
        <v>89000.0</v>
      </c>
      <c r="L76" s="13"/>
      <c r="M76" s="13">
        <v>89000.0</v>
      </c>
      <c r="N76" s="13">
        <f>IF(F76&gt;0, K76/F76, 0)</f>
        <v>8090.90909090909099</v>
      </c>
      <c r="O76" s="15">
        <f>IF(K76&gt;0, M76/K76, 0)</f>
        <v>1</v>
      </c>
      <c r="P76" s="19" t="s">
        <v>1906</v>
      </c>
    </row>
    <row r="77" spans="1:16">
      <c r="A77" s="9">
        <v>70</v>
      </c>
      <c r="B77" s="7" t="s">
        <v>50</v>
      </c>
      <c r="C77" s="7" t="s">
        <v>51</v>
      </c>
      <c r="D77" s="7" t="s">
        <v>51</v>
      </c>
      <c r="E77" s="9">
        <v>164</v>
      </c>
      <c r="F77" s="11">
        <v>13</v>
      </c>
      <c r="G77" s="11">
        <v>12</v>
      </c>
      <c r="H77" s="11">
        <v>1</v>
      </c>
      <c r="I77" s="14">
        <v>106500.0</v>
      </c>
      <c r="J77" s="14"/>
      <c r="K77" s="14">
        <v>106500.0</v>
      </c>
      <c r="L77" s="14"/>
      <c r="M77" s="14">
        <v>106500.0</v>
      </c>
      <c r="N77" s="14">
        <f>IF(F77&gt;0, K77/F77, 0)</f>
        <v>8192.30769230769147</v>
      </c>
      <c r="O77" s="16">
        <f>IF(K77&gt;0, M77/K77, 0)</f>
        <v>1</v>
      </c>
      <c r="P77" s="20" t="s">
        <v>1946</v>
      </c>
    </row>
    <row r="78" spans="1:16">
      <c r="A78" s="8">
        <v>71</v>
      </c>
      <c r="B78" s="6" t="s">
        <v>50</v>
      </c>
      <c r="C78" s="6" t="s">
        <v>51</v>
      </c>
      <c r="D78" s="6" t="s">
        <v>51</v>
      </c>
      <c r="E78" s="8">
        <v>170</v>
      </c>
      <c r="F78" s="10">
        <v>6</v>
      </c>
      <c r="G78" s="10">
        <v>5</v>
      </c>
      <c r="H78" s="10">
        <v>1</v>
      </c>
      <c r="I78" s="13">
        <v>49000.0</v>
      </c>
      <c r="J78" s="13">
        <v>2400.0</v>
      </c>
      <c r="K78" s="13">
        <v>46600.0</v>
      </c>
      <c r="L78" s="13"/>
      <c r="M78" s="13">
        <v>46600.0</v>
      </c>
      <c r="N78" s="13">
        <f>IF(F78&gt;0, K78/F78, 0)</f>
        <v>7766.66666666666697</v>
      </c>
      <c r="O78" s="15">
        <f>IF(K78&gt;0, M78/K78, 0)</f>
        <v>1</v>
      </c>
      <c r="P78" s="19" t="s">
        <v>1913</v>
      </c>
    </row>
    <row r="79" spans="1:16">
      <c r="A79" s="9">
        <v>72</v>
      </c>
      <c r="B79" s="7" t="s">
        <v>50</v>
      </c>
      <c r="C79" s="7" t="s">
        <v>51</v>
      </c>
      <c r="D79" s="7" t="s">
        <v>51</v>
      </c>
      <c r="E79" s="9">
        <v>176</v>
      </c>
      <c r="F79" s="11">
        <v>2</v>
      </c>
      <c r="G79" s="11"/>
      <c r="H79" s="11">
        <v>2</v>
      </c>
      <c r="I79" s="14">
        <v>18000.0</v>
      </c>
      <c r="J79" s="14">
        <v>2700.0</v>
      </c>
      <c r="K79" s="14">
        <v>15300.0</v>
      </c>
      <c r="L79" s="14"/>
      <c r="M79" s="14">
        <v>15300.0</v>
      </c>
      <c r="N79" s="14">
        <f>IF(F79&gt;0, K79/F79, 0)</f>
        <v>7650</v>
      </c>
      <c r="O79" s="16">
        <f>IF(K79&gt;0, M79/K79, 0)</f>
        <v>1</v>
      </c>
      <c r="P79" s="20" t="s">
        <v>1916</v>
      </c>
    </row>
    <row r="80" spans="1:16">
      <c r="A80" s="8">
        <v>73</v>
      </c>
      <c r="B80" s="6" t="s">
        <v>50</v>
      </c>
      <c r="C80" s="6" t="s">
        <v>51</v>
      </c>
      <c r="D80" s="6" t="s">
        <v>51</v>
      </c>
      <c r="E80" s="8">
        <v>182</v>
      </c>
      <c r="F80" s="10">
        <v>1</v>
      </c>
      <c r="G80" s="10">
        <v>1</v>
      </c>
      <c r="H80" s="10"/>
      <c r="I80" s="13">
        <v>8500.0</v>
      </c>
      <c r="J80" s="13"/>
      <c r="K80" s="13">
        <v>8500.0</v>
      </c>
      <c r="L80" s="13"/>
      <c r="M80" s="13">
        <v>8500.0</v>
      </c>
      <c r="N80" s="13">
        <f>IF(F80&gt;0, K80/F80, 0)</f>
        <v>8500</v>
      </c>
      <c r="O80" s="15">
        <f>IF(K80&gt;0, M80/K80, 0)</f>
        <v>1</v>
      </c>
      <c r="P80" s="19" t="s">
        <v>1947</v>
      </c>
    </row>
    <row r="81" spans="1:16">
      <c r="A81" s="9">
        <v>74</v>
      </c>
      <c r="B81" s="7" t="s">
        <v>50</v>
      </c>
      <c r="C81" s="7" t="s">
        <v>51</v>
      </c>
      <c r="D81" s="7" t="s">
        <v>94</v>
      </c>
      <c r="E81" s="9">
        <v>122</v>
      </c>
      <c r="F81" s="11">
        <v>1</v>
      </c>
      <c r="G81" s="11">
        <v>1</v>
      </c>
      <c r="H81" s="11"/>
      <c r="I81" s="14">
        <v>8000.0</v>
      </c>
      <c r="J81" s="14"/>
      <c r="K81" s="14">
        <v>8000.0</v>
      </c>
      <c r="L81" s="14"/>
      <c r="M81" s="14">
        <v>8000.0</v>
      </c>
      <c r="N81" s="14">
        <f>IF(F81&gt;0, K81/F81, 0)</f>
        <v>8000</v>
      </c>
      <c r="O81" s="16">
        <f>IF(K81&gt;0, M81/K81, 0)</f>
        <v>1</v>
      </c>
      <c r="P81" s="20" t="s">
        <v>1947</v>
      </c>
    </row>
    <row r="82" spans="1:16">
      <c r="A82" s="8">
        <v>75</v>
      </c>
      <c r="B82" s="6" t="s">
        <v>50</v>
      </c>
      <c r="C82" s="6" t="s">
        <v>45</v>
      </c>
      <c r="D82" s="6" t="s">
        <v>599</v>
      </c>
      <c r="E82" s="8">
        <v>140</v>
      </c>
      <c r="F82" s="10">
        <v>1</v>
      </c>
      <c r="G82" s="10">
        <v>1</v>
      </c>
      <c r="H82" s="10"/>
      <c r="I82" s="13">
        <v>15000.0</v>
      </c>
      <c r="J82" s="13"/>
      <c r="K82" s="13">
        <v>15000.0</v>
      </c>
      <c r="L82" s="13"/>
      <c r="M82" s="13">
        <v>15000.0</v>
      </c>
      <c r="N82" s="13">
        <f>IF(F82&gt;0, K82/F82, 0)</f>
        <v>15000</v>
      </c>
      <c r="O82" s="15">
        <f>IF(K82&gt;0, M82/K82, 0)</f>
        <v>1</v>
      </c>
      <c r="P82" s="19" t="s">
        <v>1916</v>
      </c>
    </row>
    <row r="83" spans="1:16">
      <c r="A83" s="9">
        <v>76</v>
      </c>
      <c r="B83" s="7" t="s">
        <v>50</v>
      </c>
      <c r="C83" s="7" t="s">
        <v>45</v>
      </c>
      <c r="D83" s="7" t="s">
        <v>46</v>
      </c>
      <c r="E83" s="9">
        <v>110</v>
      </c>
      <c r="F83" s="11">
        <v>1</v>
      </c>
      <c r="G83" s="11">
        <v>1</v>
      </c>
      <c r="H83" s="11"/>
      <c r="I83" s="14">
        <v>18000.0</v>
      </c>
      <c r="J83" s="14"/>
      <c r="K83" s="14">
        <v>18000.0</v>
      </c>
      <c r="L83" s="14"/>
      <c r="M83" s="14">
        <v>18000.0</v>
      </c>
      <c r="N83" s="14">
        <f>IF(F83&gt;0, K83/F83, 0)</f>
        <v>18000</v>
      </c>
      <c r="O83" s="16">
        <f>IF(K83&gt;0, M83/K83, 0)</f>
        <v>1</v>
      </c>
      <c r="P83" s="20" t="s">
        <v>1903</v>
      </c>
    </row>
    <row r="84" spans="1:16">
      <c r="A84" s="8">
        <v>77</v>
      </c>
      <c r="B84" s="6" t="s">
        <v>50</v>
      </c>
      <c r="C84" s="6" t="s">
        <v>45</v>
      </c>
      <c r="D84" s="6" t="s">
        <v>46</v>
      </c>
      <c r="E84" s="8">
        <v>116</v>
      </c>
      <c r="F84" s="10">
        <v>4</v>
      </c>
      <c r="G84" s="10">
        <v>4</v>
      </c>
      <c r="H84" s="10"/>
      <c r="I84" s="13">
        <v>72000.0</v>
      </c>
      <c r="J84" s="13"/>
      <c r="K84" s="13">
        <v>72000.0</v>
      </c>
      <c r="L84" s="13"/>
      <c r="M84" s="13">
        <v>72000.0</v>
      </c>
      <c r="N84" s="13">
        <f>IF(F84&gt;0, K84/F84, 0)</f>
        <v>18000</v>
      </c>
      <c r="O84" s="15">
        <f>IF(K84&gt;0, M84/K84, 0)</f>
        <v>1</v>
      </c>
      <c r="P84" s="19" t="s">
        <v>1931</v>
      </c>
    </row>
    <row r="85" spans="1:16">
      <c r="A85" s="9">
        <v>78</v>
      </c>
      <c r="B85" s="7" t="s">
        <v>50</v>
      </c>
      <c r="C85" s="7" t="s">
        <v>45</v>
      </c>
      <c r="D85" s="7" t="s">
        <v>46</v>
      </c>
      <c r="E85" s="9">
        <v>122</v>
      </c>
      <c r="F85" s="11">
        <v>6</v>
      </c>
      <c r="G85" s="11">
        <v>6</v>
      </c>
      <c r="H85" s="11"/>
      <c r="I85" s="14">
        <v>108000.0</v>
      </c>
      <c r="J85" s="14"/>
      <c r="K85" s="14">
        <v>108000.0</v>
      </c>
      <c r="L85" s="14"/>
      <c r="M85" s="14">
        <v>108000.0</v>
      </c>
      <c r="N85" s="14">
        <f>IF(F85&gt;0, K85/F85, 0)</f>
        <v>18000</v>
      </c>
      <c r="O85" s="16">
        <f>IF(K85&gt;0, M85/K85, 0)</f>
        <v>1</v>
      </c>
      <c r="P85" s="20" t="s">
        <v>1948</v>
      </c>
    </row>
    <row r="86" spans="1:16">
      <c r="A86" s="8">
        <v>79</v>
      </c>
      <c r="B86" s="6" t="s">
        <v>50</v>
      </c>
      <c r="C86" s="6" t="s">
        <v>45</v>
      </c>
      <c r="D86" s="6" t="s">
        <v>46</v>
      </c>
      <c r="E86" s="8">
        <v>128</v>
      </c>
      <c r="F86" s="10">
        <v>11</v>
      </c>
      <c r="G86" s="10">
        <v>11</v>
      </c>
      <c r="H86" s="10"/>
      <c r="I86" s="13">
        <v>198000.0</v>
      </c>
      <c r="J86" s="13"/>
      <c r="K86" s="13">
        <v>198000.0</v>
      </c>
      <c r="L86" s="13"/>
      <c r="M86" s="13">
        <v>198000.0</v>
      </c>
      <c r="N86" s="13">
        <f>IF(F86&gt;0, K86/F86, 0)</f>
        <v>18000</v>
      </c>
      <c r="O86" s="15">
        <f>IF(K86&gt;0, M86/K86, 0)</f>
        <v>1</v>
      </c>
      <c r="P86" s="19" t="s">
        <v>1949</v>
      </c>
    </row>
    <row r="87" spans="1:16">
      <c r="A87" s="9">
        <v>80</v>
      </c>
      <c r="B87" s="7" t="s">
        <v>50</v>
      </c>
      <c r="C87" s="7" t="s">
        <v>45</v>
      </c>
      <c r="D87" s="7" t="s">
        <v>46</v>
      </c>
      <c r="E87" s="9">
        <v>134</v>
      </c>
      <c r="F87" s="11">
        <v>9</v>
      </c>
      <c r="G87" s="11">
        <v>9</v>
      </c>
      <c r="H87" s="11"/>
      <c r="I87" s="14">
        <v>162000.0</v>
      </c>
      <c r="J87" s="14"/>
      <c r="K87" s="14">
        <v>162000.0</v>
      </c>
      <c r="L87" s="14"/>
      <c r="M87" s="14">
        <v>162000.0</v>
      </c>
      <c r="N87" s="14">
        <f>IF(F87&gt;0, K87/F87, 0)</f>
        <v>18000</v>
      </c>
      <c r="O87" s="16">
        <f>IF(K87&gt;0, M87/K87, 0)</f>
        <v>1</v>
      </c>
      <c r="P87" s="20" t="s">
        <v>1950</v>
      </c>
    </row>
    <row r="88" spans="1:16">
      <c r="A88" s="8">
        <v>81</v>
      </c>
      <c r="B88" s="6" t="s">
        <v>50</v>
      </c>
      <c r="C88" s="6" t="s">
        <v>45</v>
      </c>
      <c r="D88" s="6" t="s">
        <v>46</v>
      </c>
      <c r="E88" s="8">
        <v>140</v>
      </c>
      <c r="F88" s="10">
        <v>12</v>
      </c>
      <c r="G88" s="10">
        <v>12</v>
      </c>
      <c r="H88" s="10"/>
      <c r="I88" s="13">
        <v>216000.0</v>
      </c>
      <c r="J88" s="13"/>
      <c r="K88" s="13">
        <v>216000.0</v>
      </c>
      <c r="L88" s="13"/>
      <c r="M88" s="13">
        <v>216000.0</v>
      </c>
      <c r="N88" s="13">
        <f>IF(F88&gt;0, K88/F88, 0)</f>
        <v>18000</v>
      </c>
      <c r="O88" s="15">
        <f>IF(K88&gt;0, M88/K88, 0)</f>
        <v>1</v>
      </c>
      <c r="P88" s="19" t="s">
        <v>1951</v>
      </c>
    </row>
    <row r="89" spans="1:16">
      <c r="A89" s="9">
        <v>82</v>
      </c>
      <c r="B89" s="7" t="s">
        <v>50</v>
      </c>
      <c r="C89" s="7" t="s">
        <v>45</v>
      </c>
      <c r="D89" s="7" t="s">
        <v>46</v>
      </c>
      <c r="E89" s="9">
        <v>146</v>
      </c>
      <c r="F89" s="11">
        <v>11</v>
      </c>
      <c r="G89" s="11">
        <v>11</v>
      </c>
      <c r="H89" s="11"/>
      <c r="I89" s="14">
        <v>198000.0</v>
      </c>
      <c r="J89" s="14"/>
      <c r="K89" s="14">
        <v>198000.0</v>
      </c>
      <c r="L89" s="14"/>
      <c r="M89" s="14">
        <v>198000.0</v>
      </c>
      <c r="N89" s="14">
        <f>IF(F89&gt;0, K89/F89, 0)</f>
        <v>18000</v>
      </c>
      <c r="O89" s="16">
        <f>IF(K89&gt;0, M89/K89, 0)</f>
        <v>1</v>
      </c>
      <c r="P89" s="20" t="s">
        <v>1949</v>
      </c>
    </row>
    <row r="90" spans="1:16">
      <c r="A90" s="8">
        <v>83</v>
      </c>
      <c r="B90" s="6" t="s">
        <v>50</v>
      </c>
      <c r="C90" s="6" t="s">
        <v>45</v>
      </c>
      <c r="D90" s="6" t="s">
        <v>46</v>
      </c>
      <c r="E90" s="8">
        <v>152</v>
      </c>
      <c r="F90" s="10">
        <v>8</v>
      </c>
      <c r="G90" s="10">
        <v>8</v>
      </c>
      <c r="H90" s="10"/>
      <c r="I90" s="13">
        <v>144000.0</v>
      </c>
      <c r="J90" s="13"/>
      <c r="K90" s="13">
        <v>144000.0</v>
      </c>
      <c r="L90" s="13"/>
      <c r="M90" s="13">
        <v>144000.0</v>
      </c>
      <c r="N90" s="13">
        <f>IF(F90&gt;0, K90/F90, 0)</f>
        <v>18000</v>
      </c>
      <c r="O90" s="15">
        <f>IF(K90&gt;0, M90/K90, 0)</f>
        <v>1</v>
      </c>
      <c r="P90" s="19" t="s">
        <v>1952</v>
      </c>
    </row>
    <row r="91" spans="1:16">
      <c r="A91" s="9">
        <v>84</v>
      </c>
      <c r="B91" s="7" t="s">
        <v>50</v>
      </c>
      <c r="C91" s="7" t="s">
        <v>45</v>
      </c>
      <c r="D91" s="7" t="s">
        <v>46</v>
      </c>
      <c r="E91" s="9">
        <v>158</v>
      </c>
      <c r="F91" s="11">
        <v>9</v>
      </c>
      <c r="G91" s="11">
        <v>9</v>
      </c>
      <c r="H91" s="11"/>
      <c r="I91" s="14">
        <v>160000.0</v>
      </c>
      <c r="J91" s="14">
        <v>2400.0</v>
      </c>
      <c r="K91" s="14">
        <v>157600.0</v>
      </c>
      <c r="L91" s="14"/>
      <c r="M91" s="14">
        <v>157600.0</v>
      </c>
      <c r="N91" s="14">
        <f>IF(F91&gt;0, K91/F91, 0)</f>
        <v>17511.11111111110949</v>
      </c>
      <c r="O91" s="16">
        <f>IF(K91&gt;0, M91/K91, 0)</f>
        <v>1</v>
      </c>
      <c r="P91" s="20" t="s">
        <v>1953</v>
      </c>
    </row>
    <row r="92" spans="1:16">
      <c r="A92" s="8">
        <v>85</v>
      </c>
      <c r="B92" s="6" t="s">
        <v>50</v>
      </c>
      <c r="C92" s="6" t="s">
        <v>45</v>
      </c>
      <c r="D92" s="6" t="s">
        <v>46</v>
      </c>
      <c r="E92" s="8">
        <v>170</v>
      </c>
      <c r="F92" s="10">
        <v>2</v>
      </c>
      <c r="G92" s="10">
        <v>2</v>
      </c>
      <c r="H92" s="10"/>
      <c r="I92" s="13">
        <v>36000.0</v>
      </c>
      <c r="J92" s="13"/>
      <c r="K92" s="13">
        <v>36000.0</v>
      </c>
      <c r="L92" s="13"/>
      <c r="M92" s="13">
        <v>36000.0</v>
      </c>
      <c r="N92" s="13">
        <f>IF(F92&gt;0, K92/F92, 0)</f>
        <v>18000</v>
      </c>
      <c r="O92" s="15">
        <f>IF(K92&gt;0, M92/K92, 0)</f>
        <v>1</v>
      </c>
      <c r="P92" s="19" t="s">
        <v>1928</v>
      </c>
    </row>
    <row r="93" spans="1:16">
      <c r="A93" s="9">
        <v>86</v>
      </c>
      <c r="B93" s="7" t="s">
        <v>50</v>
      </c>
      <c r="C93" s="7" t="s">
        <v>158</v>
      </c>
      <c r="D93" s="7" t="s">
        <v>159</v>
      </c>
      <c r="E93" s="9" t="s">
        <v>42</v>
      </c>
      <c r="F93" s="11">
        <v>11</v>
      </c>
      <c r="G93" s="11">
        <v>7</v>
      </c>
      <c r="H93" s="11">
        <v>4</v>
      </c>
      <c r="I93" s="14">
        <v>55000.0</v>
      </c>
      <c r="J93" s="14"/>
      <c r="K93" s="14">
        <v>55000.0</v>
      </c>
      <c r="L93" s="14"/>
      <c r="M93" s="14">
        <v>55000.0</v>
      </c>
      <c r="N93" s="14">
        <f>IF(F93&gt;0, K93/F93, 0)</f>
        <v>5000</v>
      </c>
      <c r="O93" s="16">
        <f>IF(K93&gt;0, M93/K93, 0)</f>
        <v>1</v>
      </c>
      <c r="P93" s="20" t="s">
        <v>1954</v>
      </c>
    </row>
    <row r="94" spans="1:16">
      <c r="A94" s="8">
        <v>87</v>
      </c>
      <c r="B94" s="6" t="s">
        <v>50</v>
      </c>
      <c r="C94" s="6" t="s">
        <v>158</v>
      </c>
      <c r="D94" s="6" t="s">
        <v>608</v>
      </c>
      <c r="E94" s="8" t="s">
        <v>42</v>
      </c>
      <c r="F94" s="10">
        <v>1</v>
      </c>
      <c r="G94" s="10">
        <v>1</v>
      </c>
      <c r="H94" s="10"/>
      <c r="I94" s="13">
        <v>5000.0</v>
      </c>
      <c r="J94" s="13"/>
      <c r="K94" s="13">
        <v>5000.0</v>
      </c>
      <c r="L94" s="13"/>
      <c r="M94" s="13">
        <v>5000.0</v>
      </c>
      <c r="N94" s="13">
        <f>IF(F94&gt;0, K94/F94, 0)</f>
        <v>5000</v>
      </c>
      <c r="O94" s="15">
        <f>IF(K94&gt;0, M94/K94, 0)</f>
        <v>1</v>
      </c>
      <c r="P94" s="19" t="s">
        <v>1904</v>
      </c>
    </row>
    <row r="95" spans="1:16">
      <c r="A95" s="9">
        <v>88</v>
      </c>
      <c r="B95" s="7" t="s">
        <v>50</v>
      </c>
      <c r="C95" s="7" t="s">
        <v>158</v>
      </c>
      <c r="D95" s="7" t="s">
        <v>567</v>
      </c>
      <c r="E95" s="9" t="s">
        <v>42</v>
      </c>
      <c r="F95" s="11">
        <v>2</v>
      </c>
      <c r="G95" s="11">
        <v>1</v>
      </c>
      <c r="H95" s="11">
        <v>1</v>
      </c>
      <c r="I95" s="14">
        <v>10000.0</v>
      </c>
      <c r="J95" s="14"/>
      <c r="K95" s="14">
        <v>10000.0</v>
      </c>
      <c r="L95" s="14"/>
      <c r="M95" s="14">
        <v>10000.0</v>
      </c>
      <c r="N95" s="14">
        <f>IF(F95&gt;0, K95/F95, 0)</f>
        <v>5000</v>
      </c>
      <c r="O95" s="16">
        <f>IF(K95&gt;0, M95/K95, 0)</f>
        <v>1</v>
      </c>
      <c r="P95" s="20" t="s">
        <v>1955</v>
      </c>
    </row>
    <row r="96" spans="1:16">
      <c r="A96" s="8">
        <v>89</v>
      </c>
      <c r="B96" s="6" t="s">
        <v>50</v>
      </c>
      <c r="C96" s="6" t="s">
        <v>56</v>
      </c>
      <c r="D96" s="6" t="s">
        <v>56</v>
      </c>
      <c r="E96" s="8">
        <v>110</v>
      </c>
      <c r="F96" s="10">
        <v>9</v>
      </c>
      <c r="G96" s="10">
        <v>9</v>
      </c>
      <c r="H96" s="10"/>
      <c r="I96" s="13">
        <v>64000.0</v>
      </c>
      <c r="J96" s="13"/>
      <c r="K96" s="13">
        <v>64000.0</v>
      </c>
      <c r="L96" s="13"/>
      <c r="M96" s="13">
        <v>64000.0</v>
      </c>
      <c r="N96" s="13">
        <f>IF(F96&gt;0, K96/F96, 0)</f>
        <v>7111.11111111111131</v>
      </c>
      <c r="O96" s="15">
        <f>IF(K96&gt;0, M96/K96, 0)</f>
        <v>1</v>
      </c>
      <c r="P96" s="19" t="s">
        <v>1942</v>
      </c>
    </row>
    <row r="97" spans="1:16">
      <c r="A97" s="9">
        <v>90</v>
      </c>
      <c r="B97" s="7" t="s">
        <v>50</v>
      </c>
      <c r="C97" s="7" t="s">
        <v>56</v>
      </c>
      <c r="D97" s="7" t="s">
        <v>56</v>
      </c>
      <c r="E97" s="9">
        <v>116</v>
      </c>
      <c r="F97" s="11">
        <v>4</v>
      </c>
      <c r="G97" s="11">
        <v>3</v>
      </c>
      <c r="H97" s="11">
        <v>1</v>
      </c>
      <c r="I97" s="14">
        <v>29000.0</v>
      </c>
      <c r="J97" s="14"/>
      <c r="K97" s="14">
        <v>29000.0</v>
      </c>
      <c r="L97" s="14"/>
      <c r="M97" s="14">
        <v>29000.0</v>
      </c>
      <c r="N97" s="14">
        <f>IF(F97&gt;0, K97/F97, 0)</f>
        <v>7250</v>
      </c>
      <c r="O97" s="16">
        <f>IF(K97&gt;0, M97/K97, 0)</f>
        <v>1</v>
      </c>
      <c r="P97" s="20" t="s">
        <v>1956</v>
      </c>
    </row>
    <row r="98" spans="1:16">
      <c r="A98" s="8">
        <v>91</v>
      </c>
      <c r="B98" s="6" t="s">
        <v>50</v>
      </c>
      <c r="C98" s="6" t="s">
        <v>56</v>
      </c>
      <c r="D98" s="6" t="s">
        <v>56</v>
      </c>
      <c r="E98" s="8">
        <v>122</v>
      </c>
      <c r="F98" s="10">
        <v>6</v>
      </c>
      <c r="G98" s="10">
        <v>2</v>
      </c>
      <c r="H98" s="10">
        <v>4</v>
      </c>
      <c r="I98" s="13">
        <v>48000.0</v>
      </c>
      <c r="J98" s="13"/>
      <c r="K98" s="13">
        <v>48000.0</v>
      </c>
      <c r="L98" s="13"/>
      <c r="M98" s="13">
        <v>48000.0</v>
      </c>
      <c r="N98" s="13">
        <f>IF(F98&gt;0, K98/F98, 0)</f>
        <v>8000</v>
      </c>
      <c r="O98" s="15">
        <f>IF(K98&gt;0, M98/K98, 0)</f>
        <v>1</v>
      </c>
      <c r="P98" s="19" t="s">
        <v>1946</v>
      </c>
    </row>
    <row r="99" spans="1:16">
      <c r="A99" s="9">
        <v>92</v>
      </c>
      <c r="B99" s="7" t="s">
        <v>50</v>
      </c>
      <c r="C99" s="7" t="s">
        <v>56</v>
      </c>
      <c r="D99" s="7" t="s">
        <v>56</v>
      </c>
      <c r="E99" s="9">
        <v>128</v>
      </c>
      <c r="F99" s="11">
        <v>8</v>
      </c>
      <c r="G99" s="11">
        <v>1</v>
      </c>
      <c r="H99" s="11">
        <v>7</v>
      </c>
      <c r="I99" s="14">
        <v>64000.0</v>
      </c>
      <c r="J99" s="14"/>
      <c r="K99" s="14">
        <v>64000.0</v>
      </c>
      <c r="L99" s="14"/>
      <c r="M99" s="14">
        <v>64000.0</v>
      </c>
      <c r="N99" s="14">
        <f>IF(F99&gt;0, K99/F99, 0)</f>
        <v>8000</v>
      </c>
      <c r="O99" s="16">
        <f>IF(K99&gt;0, M99/K99, 0)</f>
        <v>1</v>
      </c>
      <c r="P99" s="20" t="s">
        <v>1942</v>
      </c>
    </row>
    <row r="100" spans="1:16">
      <c r="A100" s="8">
        <v>93</v>
      </c>
      <c r="B100" s="6" t="s">
        <v>50</v>
      </c>
      <c r="C100" s="6" t="s">
        <v>56</v>
      </c>
      <c r="D100" s="6" t="s">
        <v>56</v>
      </c>
      <c r="E100" s="8">
        <v>134</v>
      </c>
      <c r="F100" s="10">
        <v>15</v>
      </c>
      <c r="G100" s="10">
        <v>4</v>
      </c>
      <c r="H100" s="10">
        <v>11</v>
      </c>
      <c r="I100" s="13">
        <v>121000.0</v>
      </c>
      <c r="J100" s="13"/>
      <c r="K100" s="13">
        <v>121000.0</v>
      </c>
      <c r="L100" s="13"/>
      <c r="M100" s="13">
        <v>121000.0</v>
      </c>
      <c r="N100" s="13">
        <f>IF(F100&gt;0, K100/F100, 0)</f>
        <v>8066.66666666666697</v>
      </c>
      <c r="O100" s="15">
        <f>IF(K100&gt;0, M100/K100, 0)</f>
        <v>1</v>
      </c>
      <c r="P100" s="19" t="s">
        <v>1955</v>
      </c>
    </row>
    <row r="101" spans="1:16">
      <c r="A101" s="9">
        <v>94</v>
      </c>
      <c r="B101" s="7" t="s">
        <v>50</v>
      </c>
      <c r="C101" s="7" t="s">
        <v>56</v>
      </c>
      <c r="D101" s="7" t="s">
        <v>56</v>
      </c>
      <c r="E101" s="9">
        <v>140</v>
      </c>
      <c r="F101" s="11">
        <v>15</v>
      </c>
      <c r="G101" s="11">
        <v>9</v>
      </c>
      <c r="H101" s="11">
        <v>6</v>
      </c>
      <c r="I101" s="14">
        <v>114000.0</v>
      </c>
      <c r="J101" s="14">
        <v>800.0</v>
      </c>
      <c r="K101" s="14">
        <v>113200.0</v>
      </c>
      <c r="L101" s="14"/>
      <c r="M101" s="14">
        <v>113200.0</v>
      </c>
      <c r="N101" s="14">
        <f>IF(F101&gt;0, K101/F101, 0)</f>
        <v>7546.66666666666697</v>
      </c>
      <c r="O101" s="16">
        <f>IF(K101&gt;0, M101/K101, 0)</f>
        <v>1</v>
      </c>
      <c r="P101" s="20" t="s">
        <v>1957</v>
      </c>
    </row>
    <row r="102" spans="1:16">
      <c r="A102" s="8">
        <v>95</v>
      </c>
      <c r="B102" s="6" t="s">
        <v>50</v>
      </c>
      <c r="C102" s="6" t="s">
        <v>56</v>
      </c>
      <c r="D102" s="6" t="s">
        <v>56</v>
      </c>
      <c r="E102" s="8">
        <v>146</v>
      </c>
      <c r="F102" s="10">
        <v>6</v>
      </c>
      <c r="G102" s="10"/>
      <c r="H102" s="10">
        <v>6</v>
      </c>
      <c r="I102" s="13">
        <v>48000.0</v>
      </c>
      <c r="J102" s="13"/>
      <c r="K102" s="13">
        <v>48000.0</v>
      </c>
      <c r="L102" s="13"/>
      <c r="M102" s="13">
        <v>48000.0</v>
      </c>
      <c r="N102" s="13">
        <f>IF(F102&gt;0, K102/F102, 0)</f>
        <v>8000</v>
      </c>
      <c r="O102" s="15">
        <f>IF(K102&gt;0, M102/K102, 0)</f>
        <v>1</v>
      </c>
      <c r="P102" s="19" t="s">
        <v>1946</v>
      </c>
    </row>
    <row r="103" spans="1:16">
      <c r="A103" s="9">
        <v>96</v>
      </c>
      <c r="B103" s="7" t="s">
        <v>50</v>
      </c>
      <c r="C103" s="7" t="s">
        <v>56</v>
      </c>
      <c r="D103" s="7" t="s">
        <v>56</v>
      </c>
      <c r="E103" s="9">
        <v>152</v>
      </c>
      <c r="F103" s="11">
        <v>17</v>
      </c>
      <c r="G103" s="11">
        <v>16</v>
      </c>
      <c r="H103" s="11">
        <v>1</v>
      </c>
      <c r="I103" s="14">
        <v>120000.0</v>
      </c>
      <c r="J103" s="14"/>
      <c r="K103" s="14">
        <v>120000.0</v>
      </c>
      <c r="L103" s="14"/>
      <c r="M103" s="14">
        <v>120000.0</v>
      </c>
      <c r="N103" s="14">
        <f>IF(F103&gt;0, K103/F103, 0)</f>
        <v>7058.82352941176487</v>
      </c>
      <c r="O103" s="16">
        <f>IF(K103&gt;0, M103/K103, 0)</f>
        <v>1</v>
      </c>
      <c r="P103" s="20" t="s">
        <v>1958</v>
      </c>
    </row>
    <row r="104" spans="1:16">
      <c r="A104" s="8">
        <v>97</v>
      </c>
      <c r="B104" s="6" t="s">
        <v>50</v>
      </c>
      <c r="C104" s="6" t="s">
        <v>56</v>
      </c>
      <c r="D104" s="6" t="s">
        <v>56</v>
      </c>
      <c r="E104" s="8">
        <v>158</v>
      </c>
      <c r="F104" s="10">
        <v>8</v>
      </c>
      <c r="G104" s="10">
        <v>8</v>
      </c>
      <c r="H104" s="10"/>
      <c r="I104" s="13">
        <v>58500.0</v>
      </c>
      <c r="J104" s="13"/>
      <c r="K104" s="13">
        <v>58500.0</v>
      </c>
      <c r="L104" s="13"/>
      <c r="M104" s="13">
        <v>58500.0</v>
      </c>
      <c r="N104" s="13">
        <f>IF(F104&gt;0, K104/F104, 0)</f>
        <v>7312.5</v>
      </c>
      <c r="O104" s="15">
        <f>IF(K104&gt;0, M104/K104, 0)</f>
        <v>1</v>
      </c>
      <c r="P104" s="19" t="s">
        <v>1959</v>
      </c>
    </row>
    <row r="105" spans="1:16">
      <c r="A105" s="9">
        <v>98</v>
      </c>
      <c r="B105" s="7" t="s">
        <v>50</v>
      </c>
      <c r="C105" s="7" t="s">
        <v>56</v>
      </c>
      <c r="D105" s="7" t="s">
        <v>56</v>
      </c>
      <c r="E105" s="9">
        <v>164</v>
      </c>
      <c r="F105" s="11">
        <v>4</v>
      </c>
      <c r="G105" s="11">
        <v>4</v>
      </c>
      <c r="H105" s="11"/>
      <c r="I105" s="14">
        <v>31000.0</v>
      </c>
      <c r="J105" s="14"/>
      <c r="K105" s="14">
        <v>31000.0</v>
      </c>
      <c r="L105" s="14"/>
      <c r="M105" s="14">
        <v>31000.0</v>
      </c>
      <c r="N105" s="14">
        <f>IF(F105&gt;0, K105/F105, 0)</f>
        <v>7750</v>
      </c>
      <c r="O105" s="16">
        <f>IF(K105&gt;0, M105/K105, 0)</f>
        <v>1</v>
      </c>
      <c r="P105" s="20" t="s">
        <v>1927</v>
      </c>
    </row>
    <row r="106" spans="1:16">
      <c r="A106" s="8">
        <v>99</v>
      </c>
      <c r="B106" s="6" t="s">
        <v>50</v>
      </c>
      <c r="C106" s="6" t="s">
        <v>56</v>
      </c>
      <c r="D106" s="6" t="s">
        <v>56</v>
      </c>
      <c r="E106" s="8">
        <v>170</v>
      </c>
      <c r="F106" s="10">
        <v>1</v>
      </c>
      <c r="G106" s="10">
        <v>1</v>
      </c>
      <c r="H106" s="10"/>
      <c r="I106" s="13">
        <v>7500.0</v>
      </c>
      <c r="J106" s="13"/>
      <c r="K106" s="13">
        <v>7500.0</v>
      </c>
      <c r="L106" s="13"/>
      <c r="M106" s="13">
        <v>7500.0</v>
      </c>
      <c r="N106" s="13">
        <f>IF(F106&gt;0, K106/F106, 0)</f>
        <v>7500</v>
      </c>
      <c r="O106" s="15">
        <f>IF(K106&gt;0, M106/K106, 0)</f>
        <v>1</v>
      </c>
      <c r="P106" s="19" t="s">
        <v>1916</v>
      </c>
    </row>
    <row r="107" spans="1:16">
      <c r="A107" s="9">
        <v>100</v>
      </c>
      <c r="B107" s="7" t="s">
        <v>50</v>
      </c>
      <c r="C107" s="7" t="s">
        <v>1852</v>
      </c>
      <c r="D107" s="7" t="s">
        <v>1853</v>
      </c>
      <c r="E107" s="9">
        <v>128</v>
      </c>
      <c r="F107" s="11">
        <v>1</v>
      </c>
      <c r="G107" s="11"/>
      <c r="H107" s="11">
        <v>1</v>
      </c>
      <c r="I107" s="14">
        <v>10000.0</v>
      </c>
      <c r="J107" s="14"/>
      <c r="K107" s="14">
        <v>10000.0</v>
      </c>
      <c r="L107" s="14"/>
      <c r="M107" s="14">
        <v>10000.0</v>
      </c>
      <c r="N107" s="14">
        <f>IF(F107&gt;0, K107/F107, 0)</f>
        <v>10000</v>
      </c>
      <c r="O107" s="16">
        <f>IF(K107&gt;0, M107/K107, 0)</f>
        <v>1</v>
      </c>
      <c r="P107" s="20" t="s">
        <v>1960</v>
      </c>
    </row>
    <row r="108" spans="1:16">
      <c r="A108" s="8">
        <v>101</v>
      </c>
      <c r="B108" s="6" t="s">
        <v>34</v>
      </c>
      <c r="C108" s="6" t="s">
        <v>69</v>
      </c>
      <c r="D108" s="6" t="s">
        <v>69</v>
      </c>
      <c r="E108" s="8">
        <v>134</v>
      </c>
      <c r="F108" s="10">
        <v>1</v>
      </c>
      <c r="G108" s="10">
        <v>1</v>
      </c>
      <c r="H108" s="10"/>
      <c r="I108" s="13">
        <v>18000.0</v>
      </c>
      <c r="J108" s="13"/>
      <c r="K108" s="13">
        <v>18000.0</v>
      </c>
      <c r="L108" s="13"/>
      <c r="M108" s="13">
        <v>18000.0</v>
      </c>
      <c r="N108" s="13">
        <f>IF(F108&gt;0, K108/F108, 0)</f>
        <v>18000</v>
      </c>
      <c r="O108" s="15">
        <f>IF(K108&gt;0, M108/K108, 0)</f>
        <v>1</v>
      </c>
      <c r="P108" s="19" t="s">
        <v>1937</v>
      </c>
    </row>
    <row r="109" spans="1:16">
      <c r="A109" s="9">
        <v>102</v>
      </c>
      <c r="B109" s="7" t="s">
        <v>34</v>
      </c>
      <c r="C109" s="7" t="s">
        <v>69</v>
      </c>
      <c r="D109" s="7" t="s">
        <v>69</v>
      </c>
      <c r="E109" s="9">
        <v>140</v>
      </c>
      <c r="F109" s="11">
        <v>3</v>
      </c>
      <c r="G109" s="11"/>
      <c r="H109" s="11">
        <v>3</v>
      </c>
      <c r="I109" s="14">
        <v>51000.0</v>
      </c>
      <c r="J109" s="14"/>
      <c r="K109" s="14">
        <v>51000.0</v>
      </c>
      <c r="L109" s="14"/>
      <c r="M109" s="14">
        <v>51000.0</v>
      </c>
      <c r="N109" s="14">
        <f>IF(F109&gt;0, K109/F109, 0)</f>
        <v>17000</v>
      </c>
      <c r="O109" s="16">
        <f>IF(K109&gt;0, M109/K109, 0)</f>
        <v>1</v>
      </c>
      <c r="P109" s="20" t="s">
        <v>1917</v>
      </c>
    </row>
    <row r="110" spans="1:16">
      <c r="A110" s="8">
        <v>103</v>
      </c>
      <c r="B110" s="6" t="s">
        <v>34</v>
      </c>
      <c r="C110" s="6" t="s">
        <v>69</v>
      </c>
      <c r="D110" s="6" t="s">
        <v>69</v>
      </c>
      <c r="E110" s="8">
        <v>146</v>
      </c>
      <c r="F110" s="10">
        <v>5</v>
      </c>
      <c r="G110" s="10">
        <v>4</v>
      </c>
      <c r="H110" s="10">
        <v>1</v>
      </c>
      <c r="I110" s="13">
        <v>81500.0</v>
      </c>
      <c r="J110" s="13"/>
      <c r="K110" s="13">
        <v>81500.0</v>
      </c>
      <c r="L110" s="13"/>
      <c r="M110" s="13">
        <v>81500.0</v>
      </c>
      <c r="N110" s="13">
        <f>IF(F110&gt;0, K110/F110, 0)</f>
        <v>16300</v>
      </c>
      <c r="O110" s="15">
        <f>IF(K110&gt;0, M110/K110, 0)</f>
        <v>1</v>
      </c>
      <c r="P110" s="19" t="s">
        <v>1907</v>
      </c>
    </row>
    <row r="111" spans="1:16">
      <c r="A111" s="9">
        <v>104</v>
      </c>
      <c r="B111" s="7" t="s">
        <v>34</v>
      </c>
      <c r="C111" s="7" t="s">
        <v>69</v>
      </c>
      <c r="D111" s="7" t="s">
        <v>69</v>
      </c>
      <c r="E111" s="9">
        <v>152</v>
      </c>
      <c r="F111" s="11">
        <v>11</v>
      </c>
      <c r="G111" s="11">
        <v>9</v>
      </c>
      <c r="H111" s="11">
        <v>2</v>
      </c>
      <c r="I111" s="14">
        <v>184000.0</v>
      </c>
      <c r="J111" s="14"/>
      <c r="K111" s="14">
        <v>184000.0</v>
      </c>
      <c r="L111" s="14"/>
      <c r="M111" s="14">
        <v>184000.0</v>
      </c>
      <c r="N111" s="14">
        <f>IF(F111&gt;0, K111/F111, 0)</f>
        <v>16727.27272727272793</v>
      </c>
      <c r="O111" s="16">
        <f>IF(K111&gt;0, M111/K111, 0)</f>
        <v>1</v>
      </c>
      <c r="P111" s="20" t="s">
        <v>1961</v>
      </c>
    </row>
    <row r="112" spans="1:16">
      <c r="A112" s="8">
        <v>105</v>
      </c>
      <c r="B112" s="6" t="s">
        <v>34</v>
      </c>
      <c r="C112" s="6" t="s">
        <v>69</v>
      </c>
      <c r="D112" s="6" t="s">
        <v>69</v>
      </c>
      <c r="E112" s="8">
        <v>158</v>
      </c>
      <c r="F112" s="10">
        <v>16</v>
      </c>
      <c r="G112" s="10">
        <v>4</v>
      </c>
      <c r="H112" s="10">
        <v>12</v>
      </c>
      <c r="I112" s="13">
        <v>283000.0</v>
      </c>
      <c r="J112" s="13"/>
      <c r="K112" s="13">
        <v>283000.0</v>
      </c>
      <c r="L112" s="13"/>
      <c r="M112" s="13">
        <v>283000.0</v>
      </c>
      <c r="N112" s="13">
        <f>IF(F112&gt;0, K112/F112, 0)</f>
        <v>17687.5</v>
      </c>
      <c r="O112" s="15">
        <f>IF(K112&gt;0, M112/K112, 0)</f>
        <v>1</v>
      </c>
      <c r="P112" s="19" t="s">
        <v>1962</v>
      </c>
    </row>
    <row r="113" spans="1:16">
      <c r="A113" s="9">
        <v>106</v>
      </c>
      <c r="B113" s="7" t="s">
        <v>34</v>
      </c>
      <c r="C113" s="7" t="s">
        <v>69</v>
      </c>
      <c r="D113" s="7" t="s">
        <v>69</v>
      </c>
      <c r="E113" s="9">
        <v>164</v>
      </c>
      <c r="F113" s="11">
        <v>15</v>
      </c>
      <c r="G113" s="11">
        <v>4</v>
      </c>
      <c r="H113" s="11">
        <v>11</v>
      </c>
      <c r="I113" s="14">
        <v>270000.0</v>
      </c>
      <c r="J113" s="14"/>
      <c r="K113" s="14">
        <v>270000.0</v>
      </c>
      <c r="L113" s="14"/>
      <c r="M113" s="14">
        <v>270000.0</v>
      </c>
      <c r="N113" s="14">
        <f>IF(F113&gt;0, K113/F113, 0)</f>
        <v>18000</v>
      </c>
      <c r="O113" s="16">
        <f>IF(K113&gt;0, M113/K113, 0)</f>
        <v>1</v>
      </c>
      <c r="P113" s="20" t="s">
        <v>1963</v>
      </c>
    </row>
    <row r="114" spans="1:16">
      <c r="A114" s="8">
        <v>107</v>
      </c>
      <c r="B114" s="6" t="s">
        <v>34</v>
      </c>
      <c r="C114" s="6" t="s">
        <v>69</v>
      </c>
      <c r="D114" s="6" t="s">
        <v>69</v>
      </c>
      <c r="E114" s="8">
        <v>170</v>
      </c>
      <c r="F114" s="10">
        <v>11</v>
      </c>
      <c r="G114" s="10">
        <v>10</v>
      </c>
      <c r="H114" s="10">
        <v>1</v>
      </c>
      <c r="I114" s="13">
        <v>187500.0</v>
      </c>
      <c r="J114" s="13"/>
      <c r="K114" s="13">
        <v>187500.0</v>
      </c>
      <c r="L114" s="13"/>
      <c r="M114" s="13">
        <v>187500.0</v>
      </c>
      <c r="N114" s="13">
        <f>IF(F114&gt;0, K114/F114, 0)</f>
        <v>17045.45454545454413</v>
      </c>
      <c r="O114" s="15">
        <f>IF(K114&gt;0, M114/K114, 0)</f>
        <v>1</v>
      </c>
      <c r="P114" s="19" t="s">
        <v>1959</v>
      </c>
    </row>
    <row r="115" spans="1:16">
      <c r="A115" s="9">
        <v>108</v>
      </c>
      <c r="B115" s="7" t="s">
        <v>34</v>
      </c>
      <c r="C115" s="7" t="s">
        <v>69</v>
      </c>
      <c r="D115" s="7" t="s">
        <v>69</v>
      </c>
      <c r="E115" s="9">
        <v>176</v>
      </c>
      <c r="F115" s="11">
        <v>22</v>
      </c>
      <c r="G115" s="11">
        <v>19</v>
      </c>
      <c r="H115" s="11">
        <v>3</v>
      </c>
      <c r="I115" s="14">
        <v>368500.0</v>
      </c>
      <c r="J115" s="14"/>
      <c r="K115" s="14">
        <v>368500.0</v>
      </c>
      <c r="L115" s="14"/>
      <c r="M115" s="14">
        <v>368500.0</v>
      </c>
      <c r="N115" s="14">
        <f>IF(F115&gt;0, K115/F115, 0)</f>
        <v>16750</v>
      </c>
      <c r="O115" s="16">
        <f>IF(K115&gt;0, M115/K115, 0)</f>
        <v>1</v>
      </c>
      <c r="P115" s="20" t="s">
        <v>1964</v>
      </c>
    </row>
    <row r="116" spans="1:16">
      <c r="A116" s="8">
        <v>109</v>
      </c>
      <c r="B116" s="6" t="s">
        <v>34</v>
      </c>
      <c r="C116" s="6" t="s">
        <v>69</v>
      </c>
      <c r="D116" s="6" t="s">
        <v>69</v>
      </c>
      <c r="E116" s="8">
        <v>182</v>
      </c>
      <c r="F116" s="10">
        <v>10</v>
      </c>
      <c r="G116" s="10">
        <v>10</v>
      </c>
      <c r="H116" s="10"/>
      <c r="I116" s="13">
        <v>166500.0</v>
      </c>
      <c r="J116" s="13"/>
      <c r="K116" s="13">
        <v>166500.0</v>
      </c>
      <c r="L116" s="13"/>
      <c r="M116" s="13">
        <v>166500.0</v>
      </c>
      <c r="N116" s="13">
        <f>IF(F116&gt;0, K116/F116, 0)</f>
        <v>16650</v>
      </c>
      <c r="O116" s="15">
        <f>IF(K116&gt;0, M116/K116, 0)</f>
        <v>1</v>
      </c>
      <c r="P116" s="19" t="s">
        <v>1965</v>
      </c>
    </row>
    <row r="117" spans="1:16">
      <c r="A117" s="9">
        <v>110</v>
      </c>
      <c r="B117" s="7" t="s">
        <v>34</v>
      </c>
      <c r="C117" s="7" t="s">
        <v>69</v>
      </c>
      <c r="D117" s="7" t="s">
        <v>69</v>
      </c>
      <c r="E117" s="9">
        <v>188</v>
      </c>
      <c r="F117" s="11">
        <v>3</v>
      </c>
      <c r="G117" s="11">
        <v>3</v>
      </c>
      <c r="H117" s="11"/>
      <c r="I117" s="14">
        <v>49500.0</v>
      </c>
      <c r="J117" s="14"/>
      <c r="K117" s="14">
        <v>49500.0</v>
      </c>
      <c r="L117" s="14"/>
      <c r="M117" s="14">
        <v>49500.0</v>
      </c>
      <c r="N117" s="14">
        <f>IF(F117&gt;0, K117/F117, 0)</f>
        <v>16500</v>
      </c>
      <c r="O117" s="16">
        <f>IF(K117&gt;0, M117/K117, 0)</f>
        <v>1</v>
      </c>
      <c r="P117" s="20" t="s">
        <v>1917</v>
      </c>
    </row>
    <row r="118" spans="1:16">
      <c r="A118" s="8">
        <v>111</v>
      </c>
      <c r="B118" s="6" t="s">
        <v>34</v>
      </c>
      <c r="C118" s="6" t="s">
        <v>69</v>
      </c>
      <c r="D118" s="6" t="s">
        <v>69</v>
      </c>
      <c r="E118" s="8">
        <v>194</v>
      </c>
      <c r="F118" s="10">
        <v>2</v>
      </c>
      <c r="G118" s="10">
        <v>2</v>
      </c>
      <c r="H118" s="10"/>
      <c r="I118" s="13">
        <v>33000.0</v>
      </c>
      <c r="J118" s="13"/>
      <c r="K118" s="13">
        <v>33000.0</v>
      </c>
      <c r="L118" s="13"/>
      <c r="M118" s="13">
        <v>33000.0</v>
      </c>
      <c r="N118" s="13">
        <f>IF(F118&gt;0, K118/F118, 0)</f>
        <v>16500</v>
      </c>
      <c r="O118" s="15">
        <f>IF(K118&gt;0, M118/K118, 0)</f>
        <v>1</v>
      </c>
      <c r="P118" s="19" t="s">
        <v>1914</v>
      </c>
    </row>
    <row r="119" spans="1:16">
      <c r="A119" s="9">
        <v>112</v>
      </c>
      <c r="B119" s="7" t="s">
        <v>34</v>
      </c>
      <c r="C119" s="7" t="s">
        <v>69</v>
      </c>
      <c r="D119" s="7" t="s">
        <v>283</v>
      </c>
      <c r="E119" s="9">
        <v>140</v>
      </c>
      <c r="F119" s="11">
        <v>1</v>
      </c>
      <c r="G119" s="11">
        <v>1</v>
      </c>
      <c r="H119" s="11"/>
      <c r="I119" s="14">
        <v>18000.0</v>
      </c>
      <c r="J119" s="14"/>
      <c r="K119" s="14">
        <v>18000.0</v>
      </c>
      <c r="L119" s="14"/>
      <c r="M119" s="14">
        <v>18000.0</v>
      </c>
      <c r="N119" s="14">
        <f>IF(F119&gt;0, K119/F119, 0)</f>
        <v>18000</v>
      </c>
      <c r="O119" s="16">
        <f>IF(K119&gt;0, M119/K119, 0)</f>
        <v>1</v>
      </c>
      <c r="P119" s="20" t="s">
        <v>1937</v>
      </c>
    </row>
    <row r="120" spans="1:16">
      <c r="A120" s="8">
        <v>113</v>
      </c>
      <c r="B120" s="6" t="s">
        <v>34</v>
      </c>
      <c r="C120" s="6" t="s">
        <v>69</v>
      </c>
      <c r="D120" s="6" t="s">
        <v>1488</v>
      </c>
      <c r="E120" s="8">
        <v>152</v>
      </c>
      <c r="F120" s="10">
        <v>1</v>
      </c>
      <c r="G120" s="10"/>
      <c r="H120" s="10">
        <v>1</v>
      </c>
      <c r="I120" s="13">
        <v>10000.0</v>
      </c>
      <c r="J120" s="13"/>
      <c r="K120" s="13">
        <v>10000.0</v>
      </c>
      <c r="L120" s="13"/>
      <c r="M120" s="13">
        <v>10000.0</v>
      </c>
      <c r="N120" s="13">
        <f>IF(F120&gt;0, K120/F120, 0)</f>
        <v>10000</v>
      </c>
      <c r="O120" s="15">
        <f>IF(K120&gt;0, M120/K120, 0)</f>
        <v>1</v>
      </c>
      <c r="P120" s="19" t="s">
        <v>1947</v>
      </c>
    </row>
    <row r="121" spans="1:16">
      <c r="A121" s="9">
        <v>114</v>
      </c>
      <c r="B121" s="7" t="s">
        <v>34</v>
      </c>
      <c r="C121" s="7" t="s">
        <v>63</v>
      </c>
      <c r="D121" s="7" t="s">
        <v>64</v>
      </c>
      <c r="E121" s="9">
        <v>164</v>
      </c>
      <c r="F121" s="11">
        <v>1</v>
      </c>
      <c r="G121" s="11">
        <v>1</v>
      </c>
      <c r="H121" s="11"/>
      <c r="I121" s="14">
        <v>9500.0</v>
      </c>
      <c r="J121" s="14"/>
      <c r="K121" s="14">
        <v>9500.0</v>
      </c>
      <c r="L121" s="14"/>
      <c r="M121" s="14">
        <v>9500.0</v>
      </c>
      <c r="N121" s="14">
        <f>IF(F121&gt;0, K121/F121, 0)</f>
        <v>9500</v>
      </c>
      <c r="O121" s="16">
        <f>IF(K121&gt;0, M121/K121, 0)</f>
        <v>1</v>
      </c>
      <c r="P121" s="20" t="s">
        <v>1937</v>
      </c>
    </row>
    <row r="122" spans="1:16">
      <c r="A122" s="8">
        <v>115</v>
      </c>
      <c r="B122" s="6" t="s">
        <v>34</v>
      </c>
      <c r="C122" s="6" t="s">
        <v>63</v>
      </c>
      <c r="D122" s="6" t="s">
        <v>148</v>
      </c>
      <c r="E122" s="8">
        <v>128</v>
      </c>
      <c r="F122" s="10">
        <v>1</v>
      </c>
      <c r="G122" s="10"/>
      <c r="H122" s="10">
        <v>1</v>
      </c>
      <c r="I122" s="13">
        <v>10000.0</v>
      </c>
      <c r="J122" s="13"/>
      <c r="K122" s="13">
        <v>10000.0</v>
      </c>
      <c r="L122" s="13"/>
      <c r="M122" s="13">
        <v>10000.0</v>
      </c>
      <c r="N122" s="13">
        <f>IF(F122&gt;0, K122/F122, 0)</f>
        <v>10000</v>
      </c>
      <c r="O122" s="15">
        <f>IF(K122&gt;0, M122/K122, 0)</f>
        <v>1</v>
      </c>
      <c r="P122" s="19" t="s">
        <v>1937</v>
      </c>
    </row>
    <row r="123" spans="1:16">
      <c r="A123" s="9">
        <v>116</v>
      </c>
      <c r="B123" s="7" t="s">
        <v>34</v>
      </c>
      <c r="C123" s="7" t="s">
        <v>63</v>
      </c>
      <c r="D123" s="7" t="s">
        <v>148</v>
      </c>
      <c r="E123" s="9">
        <v>134</v>
      </c>
      <c r="F123" s="11">
        <v>1</v>
      </c>
      <c r="G123" s="11"/>
      <c r="H123" s="11">
        <v>1</v>
      </c>
      <c r="I123" s="14">
        <v>11000.0</v>
      </c>
      <c r="J123" s="14"/>
      <c r="K123" s="14">
        <v>11000.0</v>
      </c>
      <c r="L123" s="14"/>
      <c r="M123" s="14">
        <v>11000.0</v>
      </c>
      <c r="N123" s="14">
        <f>IF(F123&gt;0, K123/F123, 0)</f>
        <v>11000</v>
      </c>
      <c r="O123" s="16">
        <f>IF(K123&gt;0, M123/K123, 0)</f>
        <v>1</v>
      </c>
      <c r="P123" s="20" t="s">
        <v>1937</v>
      </c>
    </row>
    <row r="124" spans="1:16">
      <c r="A124" s="8">
        <v>117</v>
      </c>
      <c r="B124" s="6" t="s">
        <v>34</v>
      </c>
      <c r="C124" s="6" t="s">
        <v>63</v>
      </c>
      <c r="D124" s="6" t="s">
        <v>148</v>
      </c>
      <c r="E124" s="8">
        <v>152</v>
      </c>
      <c r="F124" s="10">
        <v>9</v>
      </c>
      <c r="G124" s="10">
        <v>7</v>
      </c>
      <c r="H124" s="10">
        <v>2</v>
      </c>
      <c r="I124" s="13">
        <v>121500.0</v>
      </c>
      <c r="J124" s="13"/>
      <c r="K124" s="13">
        <v>121500.0</v>
      </c>
      <c r="L124" s="13"/>
      <c r="M124" s="13">
        <v>121500.0</v>
      </c>
      <c r="N124" s="13">
        <f>IF(F124&gt;0, K124/F124, 0)</f>
        <v>13500</v>
      </c>
      <c r="O124" s="15">
        <f>IF(K124&gt;0, M124/K124, 0)</f>
        <v>1</v>
      </c>
      <c r="P124" s="19" t="s">
        <v>1953</v>
      </c>
    </row>
    <row r="125" spans="1:16">
      <c r="A125" s="9">
        <v>118</v>
      </c>
      <c r="B125" s="7" t="s">
        <v>34</v>
      </c>
      <c r="C125" s="7" t="s">
        <v>63</v>
      </c>
      <c r="D125" s="7" t="s">
        <v>148</v>
      </c>
      <c r="E125" s="9">
        <v>158</v>
      </c>
      <c r="F125" s="11">
        <v>12</v>
      </c>
      <c r="G125" s="11">
        <v>6</v>
      </c>
      <c r="H125" s="11">
        <v>6</v>
      </c>
      <c r="I125" s="14">
        <v>123000.0</v>
      </c>
      <c r="J125" s="14"/>
      <c r="K125" s="14">
        <v>123000.0</v>
      </c>
      <c r="L125" s="14"/>
      <c r="M125" s="14">
        <v>123000.0</v>
      </c>
      <c r="N125" s="14">
        <f>IF(F125&gt;0, K125/F125, 0)</f>
        <v>10250</v>
      </c>
      <c r="O125" s="16">
        <f>IF(K125&gt;0, M125/K125, 0)</f>
        <v>1</v>
      </c>
      <c r="P125" s="20" t="s">
        <v>1966</v>
      </c>
    </row>
    <row r="126" spans="1:16">
      <c r="A126" s="8">
        <v>119</v>
      </c>
      <c r="B126" s="6" t="s">
        <v>34</v>
      </c>
      <c r="C126" s="6" t="s">
        <v>63</v>
      </c>
      <c r="D126" s="6" t="s">
        <v>148</v>
      </c>
      <c r="E126" s="8">
        <v>164</v>
      </c>
      <c r="F126" s="10">
        <v>12</v>
      </c>
      <c r="G126" s="10">
        <v>4</v>
      </c>
      <c r="H126" s="10">
        <v>8</v>
      </c>
      <c r="I126" s="13">
        <v>133500.0</v>
      </c>
      <c r="J126" s="13"/>
      <c r="K126" s="13">
        <v>133500.0</v>
      </c>
      <c r="L126" s="13"/>
      <c r="M126" s="13">
        <v>133500.0</v>
      </c>
      <c r="N126" s="13">
        <f>IF(F126&gt;0, K126/F126, 0)</f>
        <v>11125</v>
      </c>
      <c r="O126" s="15">
        <f>IF(K126&gt;0, M126/K126, 0)</f>
        <v>1</v>
      </c>
      <c r="P126" s="19" t="s">
        <v>1921</v>
      </c>
    </row>
    <row r="127" spans="1:16">
      <c r="A127" s="9">
        <v>120</v>
      </c>
      <c r="B127" s="7" t="s">
        <v>34</v>
      </c>
      <c r="C127" s="7" t="s">
        <v>63</v>
      </c>
      <c r="D127" s="7" t="s">
        <v>148</v>
      </c>
      <c r="E127" s="9">
        <v>170</v>
      </c>
      <c r="F127" s="11">
        <v>16</v>
      </c>
      <c r="G127" s="11">
        <v>12</v>
      </c>
      <c r="H127" s="11">
        <v>4</v>
      </c>
      <c r="I127" s="14">
        <v>172500.0</v>
      </c>
      <c r="J127" s="14"/>
      <c r="K127" s="14">
        <v>172500.0</v>
      </c>
      <c r="L127" s="14"/>
      <c r="M127" s="14">
        <v>172500.0</v>
      </c>
      <c r="N127" s="14">
        <f>IF(F127&gt;0, K127/F127, 0)</f>
        <v>10781.25</v>
      </c>
      <c r="O127" s="16">
        <f>IF(K127&gt;0, M127/K127, 0)</f>
        <v>1</v>
      </c>
      <c r="P127" s="20" t="s">
        <v>1967</v>
      </c>
    </row>
    <row r="128" spans="1:16">
      <c r="A128" s="8">
        <v>121</v>
      </c>
      <c r="B128" s="6" t="s">
        <v>34</v>
      </c>
      <c r="C128" s="6" t="s">
        <v>63</v>
      </c>
      <c r="D128" s="6" t="s">
        <v>148</v>
      </c>
      <c r="E128" s="8">
        <v>176</v>
      </c>
      <c r="F128" s="10">
        <v>14</v>
      </c>
      <c r="G128" s="10">
        <v>14</v>
      </c>
      <c r="H128" s="10"/>
      <c r="I128" s="13">
        <v>138500.0</v>
      </c>
      <c r="J128" s="13"/>
      <c r="K128" s="13">
        <v>138500.0</v>
      </c>
      <c r="L128" s="13"/>
      <c r="M128" s="13">
        <v>138500.0</v>
      </c>
      <c r="N128" s="13">
        <f>IF(F128&gt;0, K128/F128, 0)</f>
        <v>9892.85714285714312</v>
      </c>
      <c r="O128" s="15">
        <f>IF(K128&gt;0, M128/K128, 0)</f>
        <v>1</v>
      </c>
      <c r="P128" s="19" t="s">
        <v>1968</v>
      </c>
    </row>
    <row r="129" spans="1:16">
      <c r="A129" s="9">
        <v>122</v>
      </c>
      <c r="B129" s="7" t="s">
        <v>34</v>
      </c>
      <c r="C129" s="7" t="s">
        <v>63</v>
      </c>
      <c r="D129" s="7" t="s">
        <v>148</v>
      </c>
      <c r="E129" s="9">
        <v>182</v>
      </c>
      <c r="F129" s="11">
        <v>9</v>
      </c>
      <c r="G129" s="11">
        <v>9</v>
      </c>
      <c r="H129" s="11"/>
      <c r="I129" s="14">
        <v>85500.0</v>
      </c>
      <c r="J129" s="14"/>
      <c r="K129" s="14">
        <v>85500.0</v>
      </c>
      <c r="L129" s="14"/>
      <c r="M129" s="14">
        <v>85500.0</v>
      </c>
      <c r="N129" s="14">
        <f>IF(F129&gt;0, K129/F129, 0)</f>
        <v>9500</v>
      </c>
      <c r="O129" s="16">
        <f>IF(K129&gt;0, M129/K129, 0)</f>
        <v>1</v>
      </c>
      <c r="P129" s="20" t="s">
        <v>1965</v>
      </c>
    </row>
    <row r="130" spans="1:16">
      <c r="A130" s="8">
        <v>123</v>
      </c>
      <c r="B130" s="6" t="s">
        <v>34</v>
      </c>
      <c r="C130" s="6" t="s">
        <v>63</v>
      </c>
      <c r="D130" s="6" t="s">
        <v>148</v>
      </c>
      <c r="E130" s="8">
        <v>188</v>
      </c>
      <c r="F130" s="10">
        <v>4</v>
      </c>
      <c r="G130" s="10">
        <v>4</v>
      </c>
      <c r="H130" s="10"/>
      <c r="I130" s="13">
        <v>43500.0</v>
      </c>
      <c r="J130" s="13"/>
      <c r="K130" s="13">
        <v>43500.0</v>
      </c>
      <c r="L130" s="13"/>
      <c r="M130" s="13">
        <v>43500.0</v>
      </c>
      <c r="N130" s="13">
        <f>IF(F130&gt;0, K130/F130, 0)</f>
        <v>10875</v>
      </c>
      <c r="O130" s="15">
        <f>IF(K130&gt;0, M130/K130, 0)</f>
        <v>1</v>
      </c>
      <c r="P130" s="19" t="s">
        <v>1907</v>
      </c>
    </row>
    <row r="131" spans="1:16">
      <c r="A131" s="9">
        <v>124</v>
      </c>
      <c r="B131" s="7" t="s">
        <v>34</v>
      </c>
      <c r="C131" s="7" t="s">
        <v>35</v>
      </c>
      <c r="D131" s="7" t="s">
        <v>73</v>
      </c>
      <c r="E131" s="9">
        <v>128</v>
      </c>
      <c r="F131" s="11">
        <v>3</v>
      </c>
      <c r="G131" s="11">
        <v>3</v>
      </c>
      <c r="H131" s="11"/>
      <c r="I131" s="14">
        <v>24000.0</v>
      </c>
      <c r="J131" s="14"/>
      <c r="K131" s="14">
        <v>24000.0</v>
      </c>
      <c r="L131" s="14"/>
      <c r="M131" s="14">
        <v>24000.0</v>
      </c>
      <c r="N131" s="14">
        <f>IF(F131&gt;0, K131/F131, 0)</f>
        <v>8000</v>
      </c>
      <c r="O131" s="16">
        <f>IF(K131&gt;0, M131/K131, 0)</f>
        <v>1</v>
      </c>
      <c r="P131" s="20" t="s">
        <v>1905</v>
      </c>
    </row>
    <row r="132" spans="1:16">
      <c r="A132" s="8">
        <v>125</v>
      </c>
      <c r="B132" s="6" t="s">
        <v>34</v>
      </c>
      <c r="C132" s="6" t="s">
        <v>35</v>
      </c>
      <c r="D132" s="6" t="s">
        <v>73</v>
      </c>
      <c r="E132" s="8">
        <v>134</v>
      </c>
      <c r="F132" s="10">
        <v>2</v>
      </c>
      <c r="G132" s="10">
        <v>2</v>
      </c>
      <c r="H132" s="10"/>
      <c r="I132" s="13">
        <v>16000.0</v>
      </c>
      <c r="J132" s="13"/>
      <c r="K132" s="13">
        <v>16000.0</v>
      </c>
      <c r="L132" s="13"/>
      <c r="M132" s="13">
        <v>16000.0</v>
      </c>
      <c r="N132" s="13">
        <f>IF(F132&gt;0, K132/F132, 0)</f>
        <v>8000</v>
      </c>
      <c r="O132" s="15">
        <f>IF(K132&gt;0, M132/K132, 0)</f>
        <v>1</v>
      </c>
      <c r="P132" s="19" t="s">
        <v>1915</v>
      </c>
    </row>
    <row r="133" spans="1:16">
      <c r="A133" s="9">
        <v>126</v>
      </c>
      <c r="B133" s="7" t="s">
        <v>34</v>
      </c>
      <c r="C133" s="7" t="s">
        <v>35</v>
      </c>
      <c r="D133" s="7" t="s">
        <v>73</v>
      </c>
      <c r="E133" s="9">
        <v>140</v>
      </c>
      <c r="F133" s="11">
        <v>2</v>
      </c>
      <c r="G133" s="11">
        <v>2</v>
      </c>
      <c r="H133" s="11"/>
      <c r="I133" s="14">
        <v>16000.0</v>
      </c>
      <c r="J133" s="14"/>
      <c r="K133" s="14">
        <v>16000.0</v>
      </c>
      <c r="L133" s="14"/>
      <c r="M133" s="14">
        <v>16000.0</v>
      </c>
      <c r="N133" s="14">
        <f>IF(F133&gt;0, K133/F133, 0)</f>
        <v>8000</v>
      </c>
      <c r="O133" s="16">
        <f>IF(K133&gt;0, M133/K133, 0)</f>
        <v>1</v>
      </c>
      <c r="P133" s="20" t="s">
        <v>1915</v>
      </c>
    </row>
    <row r="134" spans="1:16">
      <c r="A134" s="8">
        <v>127</v>
      </c>
      <c r="B134" s="6" t="s">
        <v>34</v>
      </c>
      <c r="C134" s="6" t="s">
        <v>35</v>
      </c>
      <c r="D134" s="6" t="s">
        <v>73</v>
      </c>
      <c r="E134" s="8">
        <v>146</v>
      </c>
      <c r="F134" s="10">
        <v>2</v>
      </c>
      <c r="G134" s="10">
        <v>1</v>
      </c>
      <c r="H134" s="10">
        <v>1</v>
      </c>
      <c r="I134" s="13">
        <v>19000.0</v>
      </c>
      <c r="J134" s="13"/>
      <c r="K134" s="13">
        <v>19000.0</v>
      </c>
      <c r="L134" s="13"/>
      <c r="M134" s="13">
        <v>19000.0</v>
      </c>
      <c r="N134" s="13">
        <f>IF(F134&gt;0, K134/F134, 0)</f>
        <v>9500</v>
      </c>
      <c r="O134" s="15">
        <f>IF(K134&gt;0, M134/K134, 0)</f>
        <v>1</v>
      </c>
      <c r="P134" s="19" t="s">
        <v>1947</v>
      </c>
    </row>
    <row r="135" spans="1:16">
      <c r="A135" s="9">
        <v>128</v>
      </c>
      <c r="B135" s="7" t="s">
        <v>34</v>
      </c>
      <c r="C135" s="7" t="s">
        <v>35</v>
      </c>
      <c r="D135" s="7" t="s">
        <v>73</v>
      </c>
      <c r="E135" s="9">
        <v>152</v>
      </c>
      <c r="F135" s="11">
        <v>3</v>
      </c>
      <c r="G135" s="11">
        <v>2</v>
      </c>
      <c r="H135" s="11">
        <v>1</v>
      </c>
      <c r="I135" s="14">
        <v>31000.0</v>
      </c>
      <c r="J135" s="14"/>
      <c r="K135" s="14">
        <v>31000.0</v>
      </c>
      <c r="L135" s="14"/>
      <c r="M135" s="14">
        <v>31000.0</v>
      </c>
      <c r="N135" s="14">
        <f>IF(F135&gt;0, K135/F135, 0)</f>
        <v>10333.33333333333394</v>
      </c>
      <c r="O135" s="16">
        <f>IF(K135&gt;0, M135/K135, 0)</f>
        <v>1</v>
      </c>
      <c r="P135" s="20" t="s">
        <v>1937</v>
      </c>
    </row>
    <row r="136" spans="1:16">
      <c r="A136" s="8">
        <v>129</v>
      </c>
      <c r="B136" s="6" t="s">
        <v>34</v>
      </c>
      <c r="C136" s="6" t="s">
        <v>35</v>
      </c>
      <c r="D136" s="6" t="s">
        <v>73</v>
      </c>
      <c r="E136" s="8">
        <v>158</v>
      </c>
      <c r="F136" s="10">
        <v>8</v>
      </c>
      <c r="G136" s="10">
        <v>1</v>
      </c>
      <c r="H136" s="10">
        <v>7</v>
      </c>
      <c r="I136" s="13">
        <v>84000.0</v>
      </c>
      <c r="J136" s="13"/>
      <c r="K136" s="13">
        <v>84000.0</v>
      </c>
      <c r="L136" s="13"/>
      <c r="M136" s="13">
        <v>84000.0</v>
      </c>
      <c r="N136" s="13">
        <f>IF(F136&gt;0, K136/F136, 0)</f>
        <v>10500</v>
      </c>
      <c r="O136" s="15">
        <f>IF(K136&gt;0, M136/K136, 0)</f>
        <v>1</v>
      </c>
      <c r="P136" s="19" t="s">
        <v>1917</v>
      </c>
    </row>
    <row r="137" spans="1:16">
      <c r="A137" s="9">
        <v>130</v>
      </c>
      <c r="B137" s="7" t="s">
        <v>34</v>
      </c>
      <c r="C137" s="7" t="s">
        <v>35</v>
      </c>
      <c r="D137" s="7" t="s">
        <v>73</v>
      </c>
      <c r="E137" s="9">
        <v>164</v>
      </c>
      <c r="F137" s="11">
        <v>15</v>
      </c>
      <c r="G137" s="11">
        <v>13</v>
      </c>
      <c r="H137" s="11">
        <v>2</v>
      </c>
      <c r="I137" s="14">
        <v>139000.0</v>
      </c>
      <c r="J137" s="14"/>
      <c r="K137" s="14">
        <v>139000.0</v>
      </c>
      <c r="L137" s="14"/>
      <c r="M137" s="14">
        <v>139000.0</v>
      </c>
      <c r="N137" s="14">
        <f>IF(F137&gt;0, K137/F137, 0)</f>
        <v>9266.66666666666606</v>
      </c>
      <c r="O137" s="16">
        <f>IF(K137&gt;0, M137/K137, 0)</f>
        <v>1</v>
      </c>
      <c r="P137" s="20" t="s">
        <v>1907</v>
      </c>
    </row>
    <row r="138" spans="1:16">
      <c r="A138" s="8">
        <v>131</v>
      </c>
      <c r="B138" s="6" t="s">
        <v>34</v>
      </c>
      <c r="C138" s="6" t="s">
        <v>35</v>
      </c>
      <c r="D138" s="6" t="s">
        <v>73</v>
      </c>
      <c r="E138" s="8">
        <v>170</v>
      </c>
      <c r="F138" s="10">
        <v>19</v>
      </c>
      <c r="G138" s="10">
        <v>18</v>
      </c>
      <c r="H138" s="10">
        <v>1</v>
      </c>
      <c r="I138" s="13">
        <v>172600.0</v>
      </c>
      <c r="J138" s="13"/>
      <c r="K138" s="13">
        <v>172600.0</v>
      </c>
      <c r="L138" s="13"/>
      <c r="M138" s="13">
        <v>172600.0</v>
      </c>
      <c r="N138" s="13">
        <f>IF(F138&gt;0, K138/F138, 0)</f>
        <v>9084.21052631579005</v>
      </c>
      <c r="O138" s="15">
        <f>IF(K138&gt;0, M138/K138, 0)</f>
        <v>1</v>
      </c>
      <c r="P138" s="19" t="s">
        <v>1927</v>
      </c>
    </row>
    <row r="139" spans="1:16">
      <c r="A139" s="9">
        <v>132</v>
      </c>
      <c r="B139" s="7" t="s">
        <v>34</v>
      </c>
      <c r="C139" s="7" t="s">
        <v>35</v>
      </c>
      <c r="D139" s="7" t="s">
        <v>73</v>
      </c>
      <c r="E139" s="9">
        <v>176</v>
      </c>
      <c r="F139" s="11">
        <v>21</v>
      </c>
      <c r="G139" s="11">
        <v>21</v>
      </c>
      <c r="H139" s="11"/>
      <c r="I139" s="14">
        <v>189000.0</v>
      </c>
      <c r="J139" s="14"/>
      <c r="K139" s="14">
        <v>189000.0</v>
      </c>
      <c r="L139" s="14"/>
      <c r="M139" s="14">
        <v>189000.0</v>
      </c>
      <c r="N139" s="14">
        <f>IF(F139&gt;0, K139/F139, 0)</f>
        <v>9000</v>
      </c>
      <c r="O139" s="16">
        <f>IF(K139&gt;0, M139/K139, 0)</f>
        <v>1</v>
      </c>
      <c r="P139" s="20" t="s">
        <v>1925</v>
      </c>
    </row>
    <row r="140" spans="1:16">
      <c r="A140" s="8">
        <v>133</v>
      </c>
      <c r="B140" s="6" t="s">
        <v>34</v>
      </c>
      <c r="C140" s="6" t="s">
        <v>35</v>
      </c>
      <c r="D140" s="6" t="s">
        <v>73</v>
      </c>
      <c r="E140" s="8">
        <v>182</v>
      </c>
      <c r="F140" s="10">
        <v>8</v>
      </c>
      <c r="G140" s="10">
        <v>8</v>
      </c>
      <c r="H140" s="10"/>
      <c r="I140" s="13">
        <v>72000.0</v>
      </c>
      <c r="J140" s="13"/>
      <c r="K140" s="13">
        <v>72000.0</v>
      </c>
      <c r="L140" s="13"/>
      <c r="M140" s="13">
        <v>72000.0</v>
      </c>
      <c r="N140" s="13">
        <f>IF(F140&gt;0, K140/F140, 0)</f>
        <v>9000</v>
      </c>
      <c r="O140" s="15">
        <f>IF(K140&gt;0, M140/K140, 0)</f>
        <v>1</v>
      </c>
      <c r="P140" s="19" t="s">
        <v>1930</v>
      </c>
    </row>
    <row r="141" spans="1:16">
      <c r="A141" s="9">
        <v>134</v>
      </c>
      <c r="B141" s="7" t="s">
        <v>34</v>
      </c>
      <c r="C141" s="7" t="s">
        <v>35</v>
      </c>
      <c r="D141" s="7" t="s">
        <v>73</v>
      </c>
      <c r="E141" s="9">
        <v>188</v>
      </c>
      <c r="F141" s="11">
        <v>2</v>
      </c>
      <c r="G141" s="11">
        <v>2</v>
      </c>
      <c r="H141" s="11"/>
      <c r="I141" s="14">
        <v>18000.0</v>
      </c>
      <c r="J141" s="14"/>
      <c r="K141" s="14">
        <v>18000.0</v>
      </c>
      <c r="L141" s="14"/>
      <c r="M141" s="14">
        <v>18000.0</v>
      </c>
      <c r="N141" s="14">
        <f>IF(F141&gt;0, K141/F141, 0)</f>
        <v>9000</v>
      </c>
      <c r="O141" s="16">
        <f>IF(K141&gt;0, M141/K141, 0)</f>
        <v>1</v>
      </c>
      <c r="P141" s="20" t="s">
        <v>1947</v>
      </c>
    </row>
    <row r="142" spans="1:16">
      <c r="A142" s="8">
        <v>135</v>
      </c>
      <c r="B142" s="6" t="s">
        <v>34</v>
      </c>
      <c r="C142" s="6" t="s">
        <v>35</v>
      </c>
      <c r="D142" s="6" t="s">
        <v>73</v>
      </c>
      <c r="E142" s="8">
        <v>194</v>
      </c>
      <c r="F142" s="10">
        <v>4</v>
      </c>
      <c r="G142" s="10">
        <v>4</v>
      </c>
      <c r="H142" s="10"/>
      <c r="I142" s="13">
        <v>36000.0</v>
      </c>
      <c r="J142" s="13"/>
      <c r="K142" s="13">
        <v>36000.0</v>
      </c>
      <c r="L142" s="13"/>
      <c r="M142" s="13">
        <v>36000.0</v>
      </c>
      <c r="N142" s="13">
        <f>IF(F142&gt;0, K142/F142, 0)</f>
        <v>9000</v>
      </c>
      <c r="O142" s="15">
        <f>IF(K142&gt;0, M142/K142, 0)</f>
        <v>1</v>
      </c>
      <c r="P142" s="19" t="s">
        <v>1916</v>
      </c>
    </row>
    <row r="143" spans="1:16">
      <c r="A143" s="9">
        <v>136</v>
      </c>
      <c r="B143" s="7" t="s">
        <v>34</v>
      </c>
      <c r="C143" s="7" t="s">
        <v>35</v>
      </c>
      <c r="D143" s="7" t="s">
        <v>36</v>
      </c>
      <c r="E143" s="9">
        <v>110</v>
      </c>
      <c r="F143" s="11">
        <v>1</v>
      </c>
      <c r="G143" s="11">
        <v>1</v>
      </c>
      <c r="H143" s="11"/>
      <c r="I143" s="14">
        <v>7000.0</v>
      </c>
      <c r="J143" s="14"/>
      <c r="K143" s="14">
        <v>7000.0</v>
      </c>
      <c r="L143" s="14"/>
      <c r="M143" s="14">
        <v>7000.0</v>
      </c>
      <c r="N143" s="14">
        <f>IF(F143&gt;0, K143/F143, 0)</f>
        <v>7000</v>
      </c>
      <c r="O143" s="16">
        <f>IF(K143&gt;0, M143/K143, 0)</f>
        <v>1</v>
      </c>
      <c r="P143" s="20" t="s">
        <v>1924</v>
      </c>
    </row>
    <row r="144" spans="1:16">
      <c r="A144" s="8">
        <v>137</v>
      </c>
      <c r="B144" s="6" t="s">
        <v>34</v>
      </c>
      <c r="C144" s="6" t="s">
        <v>35</v>
      </c>
      <c r="D144" s="6" t="s">
        <v>36</v>
      </c>
      <c r="E144" s="8">
        <v>116</v>
      </c>
      <c r="F144" s="10">
        <v>1</v>
      </c>
      <c r="G144" s="10">
        <v>1</v>
      </c>
      <c r="H144" s="10"/>
      <c r="I144" s="13">
        <v>7000.0</v>
      </c>
      <c r="J144" s="13"/>
      <c r="K144" s="13">
        <v>7000.0</v>
      </c>
      <c r="L144" s="13"/>
      <c r="M144" s="13">
        <v>7000.0</v>
      </c>
      <c r="N144" s="13">
        <f>IF(F144&gt;0, K144/F144, 0)</f>
        <v>7000</v>
      </c>
      <c r="O144" s="15">
        <f>IF(K144&gt;0, M144/K144, 0)</f>
        <v>1</v>
      </c>
      <c r="P144" s="19" t="s">
        <v>1924</v>
      </c>
    </row>
    <row r="145" spans="1:16">
      <c r="A145" s="9">
        <v>138</v>
      </c>
      <c r="B145" s="7" t="s">
        <v>34</v>
      </c>
      <c r="C145" s="7" t="s">
        <v>35</v>
      </c>
      <c r="D145" s="7" t="s">
        <v>36</v>
      </c>
      <c r="E145" s="9">
        <v>128</v>
      </c>
      <c r="F145" s="11">
        <v>1</v>
      </c>
      <c r="G145" s="11">
        <v>1</v>
      </c>
      <c r="H145" s="11"/>
      <c r="I145" s="14">
        <v>7000.0</v>
      </c>
      <c r="J145" s="14"/>
      <c r="K145" s="14">
        <v>7000.0</v>
      </c>
      <c r="L145" s="14"/>
      <c r="M145" s="14">
        <v>7000.0</v>
      </c>
      <c r="N145" s="14">
        <f>IF(F145&gt;0, K145/F145, 0)</f>
        <v>7000</v>
      </c>
      <c r="O145" s="16">
        <f>IF(K145&gt;0, M145/K145, 0)</f>
        <v>1</v>
      </c>
      <c r="P145" s="20" t="s">
        <v>1924</v>
      </c>
    </row>
    <row r="146" spans="1:16">
      <c r="A146" s="8">
        <v>139</v>
      </c>
      <c r="B146" s="6" t="s">
        <v>34</v>
      </c>
      <c r="C146" s="6" t="s">
        <v>35</v>
      </c>
      <c r="D146" s="6" t="s">
        <v>36</v>
      </c>
      <c r="E146" s="8">
        <v>134</v>
      </c>
      <c r="F146" s="10">
        <v>12</v>
      </c>
      <c r="G146" s="10">
        <v>12</v>
      </c>
      <c r="H146" s="10"/>
      <c r="I146" s="13">
        <v>84000.0</v>
      </c>
      <c r="J146" s="13"/>
      <c r="K146" s="13">
        <v>84000.0</v>
      </c>
      <c r="L146" s="13"/>
      <c r="M146" s="13">
        <v>84000.0</v>
      </c>
      <c r="N146" s="13">
        <f>IF(F146&gt;0, K146/F146, 0)</f>
        <v>7000</v>
      </c>
      <c r="O146" s="15">
        <f>IF(K146&gt;0, M146/K146, 0)</f>
        <v>1</v>
      </c>
      <c r="P146" s="19" t="s">
        <v>1917</v>
      </c>
    </row>
    <row r="147" spans="1:16">
      <c r="A147" s="9">
        <v>140</v>
      </c>
      <c r="B147" s="7" t="s">
        <v>34</v>
      </c>
      <c r="C147" s="7" t="s">
        <v>35</v>
      </c>
      <c r="D147" s="7" t="s">
        <v>36</v>
      </c>
      <c r="E147" s="9">
        <v>146</v>
      </c>
      <c r="F147" s="11">
        <v>10</v>
      </c>
      <c r="G147" s="11">
        <v>6</v>
      </c>
      <c r="H147" s="11">
        <v>4</v>
      </c>
      <c r="I147" s="14">
        <v>82000.0</v>
      </c>
      <c r="J147" s="14"/>
      <c r="K147" s="14">
        <v>82000.0</v>
      </c>
      <c r="L147" s="14"/>
      <c r="M147" s="14">
        <v>82000.0</v>
      </c>
      <c r="N147" s="14">
        <f>IF(F147&gt;0, K147/F147, 0)</f>
        <v>8200</v>
      </c>
      <c r="O147" s="16">
        <f>IF(K147&gt;0, M147/K147, 0)</f>
        <v>1</v>
      </c>
      <c r="P147" s="20" t="s">
        <v>1917</v>
      </c>
    </row>
    <row r="148" spans="1:16">
      <c r="A148" s="8">
        <v>141</v>
      </c>
      <c r="B148" s="6" t="s">
        <v>34</v>
      </c>
      <c r="C148" s="6" t="s">
        <v>35</v>
      </c>
      <c r="D148" s="6" t="s">
        <v>36</v>
      </c>
      <c r="E148" s="8">
        <v>152</v>
      </c>
      <c r="F148" s="10">
        <v>15</v>
      </c>
      <c r="G148" s="10">
        <v>11</v>
      </c>
      <c r="H148" s="10">
        <v>4</v>
      </c>
      <c r="I148" s="13">
        <v>141000.0</v>
      </c>
      <c r="J148" s="13"/>
      <c r="K148" s="13">
        <v>141000.0</v>
      </c>
      <c r="L148" s="13"/>
      <c r="M148" s="13">
        <v>141000.0</v>
      </c>
      <c r="N148" s="13">
        <f>IF(F148&gt;0, K148/F148, 0)</f>
        <v>9400</v>
      </c>
      <c r="O148" s="15">
        <f>IF(K148&gt;0, M148/K148, 0)</f>
        <v>1</v>
      </c>
      <c r="P148" s="19" t="s">
        <v>1969</v>
      </c>
    </row>
    <row r="149" spans="1:16">
      <c r="A149" s="9">
        <v>142</v>
      </c>
      <c r="B149" s="7" t="s">
        <v>34</v>
      </c>
      <c r="C149" s="7" t="s">
        <v>35</v>
      </c>
      <c r="D149" s="7" t="s">
        <v>36</v>
      </c>
      <c r="E149" s="9">
        <v>158</v>
      </c>
      <c r="F149" s="11">
        <v>32</v>
      </c>
      <c r="G149" s="11">
        <v>22</v>
      </c>
      <c r="H149" s="11">
        <v>10</v>
      </c>
      <c r="I149" s="14">
        <v>276000.0</v>
      </c>
      <c r="J149" s="14"/>
      <c r="K149" s="14">
        <v>276000.0</v>
      </c>
      <c r="L149" s="14"/>
      <c r="M149" s="14">
        <v>276000.0</v>
      </c>
      <c r="N149" s="14">
        <f>IF(F149&gt;0, K149/F149, 0)</f>
        <v>8625</v>
      </c>
      <c r="O149" s="16">
        <f>IF(K149&gt;0, M149/K149, 0)</f>
        <v>1</v>
      </c>
      <c r="P149" s="20" t="s">
        <v>1965</v>
      </c>
    </row>
    <row r="150" spans="1:16">
      <c r="A150" s="8">
        <v>143</v>
      </c>
      <c r="B150" s="6" t="s">
        <v>34</v>
      </c>
      <c r="C150" s="6" t="s">
        <v>35</v>
      </c>
      <c r="D150" s="6" t="s">
        <v>36</v>
      </c>
      <c r="E150" s="8">
        <v>164</v>
      </c>
      <c r="F150" s="10">
        <v>53</v>
      </c>
      <c r="G150" s="10">
        <v>44</v>
      </c>
      <c r="H150" s="10">
        <v>9</v>
      </c>
      <c r="I150" s="13">
        <v>444000.0</v>
      </c>
      <c r="J150" s="13"/>
      <c r="K150" s="13">
        <v>444000.0</v>
      </c>
      <c r="L150" s="13"/>
      <c r="M150" s="13">
        <v>444000.0</v>
      </c>
      <c r="N150" s="13">
        <f>IF(F150&gt;0, K150/F150, 0)</f>
        <v>8377.35849056603729</v>
      </c>
      <c r="O150" s="15">
        <f>IF(K150&gt;0, M150/K150, 0)</f>
        <v>1</v>
      </c>
      <c r="P150" s="19" t="s">
        <v>1968</v>
      </c>
    </row>
    <row r="151" spans="1:16">
      <c r="A151" s="9">
        <v>144</v>
      </c>
      <c r="B151" s="7" t="s">
        <v>34</v>
      </c>
      <c r="C151" s="7" t="s">
        <v>35</v>
      </c>
      <c r="D151" s="7" t="s">
        <v>36</v>
      </c>
      <c r="E151" s="9">
        <v>170</v>
      </c>
      <c r="F151" s="11">
        <v>67</v>
      </c>
      <c r="G151" s="11">
        <v>63</v>
      </c>
      <c r="H151" s="11">
        <v>4</v>
      </c>
      <c r="I151" s="14">
        <v>547000.0</v>
      </c>
      <c r="J151" s="14"/>
      <c r="K151" s="14">
        <v>547000.0</v>
      </c>
      <c r="L151" s="14"/>
      <c r="M151" s="14">
        <v>547000.0</v>
      </c>
      <c r="N151" s="14">
        <f>IF(F151&gt;0, K151/F151, 0)</f>
        <v>8164.17910447761187</v>
      </c>
      <c r="O151" s="16">
        <f>IF(K151&gt;0, M151/K151, 0)</f>
        <v>1</v>
      </c>
      <c r="P151" s="20" t="s">
        <v>1908</v>
      </c>
    </row>
    <row r="152" spans="1:16">
      <c r="A152" s="8">
        <v>145</v>
      </c>
      <c r="B152" s="6" t="s">
        <v>34</v>
      </c>
      <c r="C152" s="6" t="s">
        <v>35</v>
      </c>
      <c r="D152" s="6" t="s">
        <v>36</v>
      </c>
      <c r="E152" s="8">
        <v>176</v>
      </c>
      <c r="F152" s="10">
        <v>26</v>
      </c>
      <c r="G152" s="10">
        <v>26</v>
      </c>
      <c r="H152" s="10"/>
      <c r="I152" s="13">
        <v>207500.0</v>
      </c>
      <c r="J152" s="13"/>
      <c r="K152" s="13">
        <v>207500.0</v>
      </c>
      <c r="L152" s="13"/>
      <c r="M152" s="13">
        <v>207500.0</v>
      </c>
      <c r="N152" s="13">
        <f>IF(F152&gt;0, K152/F152, 0)</f>
        <v>7980.76923076923049</v>
      </c>
      <c r="O152" s="15">
        <f>IF(K152&gt;0, M152/K152, 0)</f>
        <v>1</v>
      </c>
      <c r="P152" s="19" t="s">
        <v>1932</v>
      </c>
    </row>
    <row r="153" spans="1:16">
      <c r="A153" s="9">
        <v>146</v>
      </c>
      <c r="B153" s="7" t="s">
        <v>34</v>
      </c>
      <c r="C153" s="7" t="s">
        <v>35</v>
      </c>
      <c r="D153" s="7" t="s">
        <v>36</v>
      </c>
      <c r="E153" s="9">
        <v>182</v>
      </c>
      <c r="F153" s="11">
        <v>15</v>
      </c>
      <c r="G153" s="11">
        <v>15</v>
      </c>
      <c r="H153" s="11"/>
      <c r="I153" s="14">
        <v>120000.0</v>
      </c>
      <c r="J153" s="14"/>
      <c r="K153" s="14">
        <v>120000.0</v>
      </c>
      <c r="L153" s="14"/>
      <c r="M153" s="14">
        <v>120000.0</v>
      </c>
      <c r="N153" s="14">
        <f>IF(F153&gt;0, K153/F153, 0)</f>
        <v>8000</v>
      </c>
      <c r="O153" s="16">
        <f>IF(K153&gt;0, M153/K153, 0)</f>
        <v>1</v>
      </c>
      <c r="P153" s="20" t="s">
        <v>1918</v>
      </c>
    </row>
    <row r="154" spans="1:16">
      <c r="A154" s="8">
        <v>147</v>
      </c>
      <c r="B154" s="6" t="s">
        <v>34</v>
      </c>
      <c r="C154" s="6" t="s">
        <v>35</v>
      </c>
      <c r="D154" s="6" t="s">
        <v>36</v>
      </c>
      <c r="E154" s="8">
        <v>188</v>
      </c>
      <c r="F154" s="10">
        <v>4</v>
      </c>
      <c r="G154" s="10">
        <v>3</v>
      </c>
      <c r="H154" s="10">
        <v>1</v>
      </c>
      <c r="I154" s="13">
        <v>37000.0</v>
      </c>
      <c r="J154" s="13"/>
      <c r="K154" s="13">
        <v>37000.0</v>
      </c>
      <c r="L154" s="13"/>
      <c r="M154" s="13">
        <v>37000.0</v>
      </c>
      <c r="N154" s="13">
        <f>IF(F154&gt;0, K154/F154, 0)</f>
        <v>9250</v>
      </c>
      <c r="O154" s="15">
        <f>IF(K154&gt;0, M154/K154, 0)</f>
        <v>1</v>
      </c>
      <c r="P154" s="19" t="s">
        <v>1916</v>
      </c>
    </row>
    <row r="155" spans="1:16">
      <c r="A155" s="9">
        <v>148</v>
      </c>
      <c r="B155" s="7" t="s">
        <v>34</v>
      </c>
      <c r="C155" s="7" t="s">
        <v>35</v>
      </c>
      <c r="D155" s="7" t="s">
        <v>36</v>
      </c>
      <c r="E155" s="9">
        <v>194</v>
      </c>
      <c r="F155" s="11">
        <v>5</v>
      </c>
      <c r="G155" s="11">
        <v>4</v>
      </c>
      <c r="H155" s="11">
        <v>1</v>
      </c>
      <c r="I155" s="14">
        <v>50000.0</v>
      </c>
      <c r="J155" s="14"/>
      <c r="K155" s="14">
        <v>50000.0</v>
      </c>
      <c r="L155" s="14"/>
      <c r="M155" s="14">
        <v>50000.0</v>
      </c>
      <c r="N155" s="14">
        <f>IF(F155&gt;0, K155/F155, 0)</f>
        <v>10000</v>
      </c>
      <c r="O155" s="16">
        <f>IF(K155&gt;0, M155/K155, 0)</f>
        <v>1</v>
      </c>
      <c r="P155" s="20" t="s">
        <v>1914</v>
      </c>
    </row>
    <row r="156" spans="1:16">
      <c r="A156" s="8">
        <v>149</v>
      </c>
      <c r="B156" s="6" t="s">
        <v>34</v>
      </c>
      <c r="C156" s="6" t="s">
        <v>51</v>
      </c>
      <c r="D156" s="6" t="s">
        <v>51</v>
      </c>
      <c r="E156" s="8">
        <v>128</v>
      </c>
      <c r="F156" s="10">
        <v>2</v>
      </c>
      <c r="G156" s="10">
        <v>2</v>
      </c>
      <c r="H156" s="10"/>
      <c r="I156" s="13">
        <v>16000.0</v>
      </c>
      <c r="J156" s="13"/>
      <c r="K156" s="13">
        <v>16000.0</v>
      </c>
      <c r="L156" s="13"/>
      <c r="M156" s="13">
        <v>16000.0</v>
      </c>
      <c r="N156" s="13">
        <f>IF(F156&gt;0, K156/F156, 0)</f>
        <v>8000</v>
      </c>
      <c r="O156" s="15">
        <f>IF(K156&gt;0, M156/K156, 0)</f>
        <v>1</v>
      </c>
      <c r="P156" s="19" t="s">
        <v>1916</v>
      </c>
    </row>
    <row r="157" spans="1:16">
      <c r="A157" s="9">
        <v>150</v>
      </c>
      <c r="B157" s="7" t="s">
        <v>34</v>
      </c>
      <c r="C157" s="7" t="s">
        <v>51</v>
      </c>
      <c r="D157" s="7" t="s">
        <v>51</v>
      </c>
      <c r="E157" s="9">
        <v>140</v>
      </c>
      <c r="F157" s="11">
        <v>2</v>
      </c>
      <c r="G157" s="11">
        <v>2</v>
      </c>
      <c r="H157" s="11"/>
      <c r="I157" s="14">
        <v>16000.0</v>
      </c>
      <c r="J157" s="14"/>
      <c r="K157" s="14">
        <v>16000.0</v>
      </c>
      <c r="L157" s="14"/>
      <c r="M157" s="14">
        <v>16000.0</v>
      </c>
      <c r="N157" s="14">
        <f>IF(F157&gt;0, K157/F157, 0)</f>
        <v>8000</v>
      </c>
      <c r="O157" s="16">
        <f>IF(K157&gt;0, M157/K157, 0)</f>
        <v>1</v>
      </c>
      <c r="P157" s="20" t="s">
        <v>1916</v>
      </c>
    </row>
    <row r="158" spans="1:16">
      <c r="A158" s="8">
        <v>151</v>
      </c>
      <c r="B158" s="6" t="s">
        <v>34</v>
      </c>
      <c r="C158" s="6" t="s">
        <v>51</v>
      </c>
      <c r="D158" s="6" t="s">
        <v>51</v>
      </c>
      <c r="E158" s="8">
        <v>146</v>
      </c>
      <c r="F158" s="10">
        <v>4</v>
      </c>
      <c r="G158" s="10">
        <v>1</v>
      </c>
      <c r="H158" s="10">
        <v>3</v>
      </c>
      <c r="I158" s="13">
        <v>38500.0</v>
      </c>
      <c r="J158" s="13"/>
      <c r="K158" s="13">
        <v>38500.0</v>
      </c>
      <c r="L158" s="13"/>
      <c r="M158" s="13">
        <v>38500.0</v>
      </c>
      <c r="N158" s="13">
        <f>IF(F158&gt;0, K158/F158, 0)</f>
        <v>9625</v>
      </c>
      <c r="O158" s="15">
        <f>IF(K158&gt;0, M158/K158, 0)</f>
        <v>1</v>
      </c>
      <c r="P158" s="19" t="s">
        <v>1928</v>
      </c>
    </row>
    <row r="159" spans="1:16">
      <c r="A159" s="9">
        <v>152</v>
      </c>
      <c r="B159" s="7" t="s">
        <v>34</v>
      </c>
      <c r="C159" s="7" t="s">
        <v>51</v>
      </c>
      <c r="D159" s="7" t="s">
        <v>51</v>
      </c>
      <c r="E159" s="9">
        <v>152</v>
      </c>
      <c r="F159" s="11">
        <v>6</v>
      </c>
      <c r="G159" s="11">
        <v>4</v>
      </c>
      <c r="H159" s="11">
        <v>2</v>
      </c>
      <c r="I159" s="14">
        <v>54000.0</v>
      </c>
      <c r="J159" s="14"/>
      <c r="K159" s="14">
        <v>54000.0</v>
      </c>
      <c r="L159" s="14"/>
      <c r="M159" s="14">
        <v>54000.0</v>
      </c>
      <c r="N159" s="14">
        <f>IF(F159&gt;0, K159/F159, 0)</f>
        <v>9000</v>
      </c>
      <c r="O159" s="16">
        <f>IF(K159&gt;0, M159/K159, 0)</f>
        <v>1</v>
      </c>
      <c r="P159" s="20" t="s">
        <v>1970</v>
      </c>
    </row>
    <row r="160" spans="1:16">
      <c r="A160" s="8">
        <v>153</v>
      </c>
      <c r="B160" s="6" t="s">
        <v>34</v>
      </c>
      <c r="C160" s="6" t="s">
        <v>51</v>
      </c>
      <c r="D160" s="6" t="s">
        <v>51</v>
      </c>
      <c r="E160" s="8">
        <v>158</v>
      </c>
      <c r="F160" s="10">
        <v>32</v>
      </c>
      <c r="G160" s="10">
        <v>30</v>
      </c>
      <c r="H160" s="10">
        <v>2</v>
      </c>
      <c r="I160" s="13">
        <v>275000.0</v>
      </c>
      <c r="J160" s="13"/>
      <c r="K160" s="13">
        <v>275000.0</v>
      </c>
      <c r="L160" s="13"/>
      <c r="M160" s="13">
        <v>275000.0</v>
      </c>
      <c r="N160" s="13">
        <f>IF(F160&gt;0, K160/F160, 0)</f>
        <v>8593.75</v>
      </c>
      <c r="O160" s="15">
        <f>IF(K160&gt;0, M160/K160, 0)</f>
        <v>1</v>
      </c>
      <c r="P160" s="19" t="s">
        <v>1919</v>
      </c>
    </row>
    <row r="161" spans="1:16">
      <c r="A161" s="9">
        <v>154</v>
      </c>
      <c r="B161" s="7" t="s">
        <v>34</v>
      </c>
      <c r="C161" s="7" t="s">
        <v>51</v>
      </c>
      <c r="D161" s="7" t="s">
        <v>51</v>
      </c>
      <c r="E161" s="9">
        <v>164</v>
      </c>
      <c r="F161" s="11">
        <v>33</v>
      </c>
      <c r="G161" s="11">
        <v>33</v>
      </c>
      <c r="H161" s="11"/>
      <c r="I161" s="14">
        <v>282500.0</v>
      </c>
      <c r="J161" s="14"/>
      <c r="K161" s="14">
        <v>282500.0</v>
      </c>
      <c r="L161" s="14"/>
      <c r="M161" s="14">
        <v>282500.0</v>
      </c>
      <c r="N161" s="14">
        <f>IF(F161&gt;0, K161/F161, 0)</f>
        <v>8560.60606060606005</v>
      </c>
      <c r="O161" s="16">
        <f>IF(K161&gt;0, M161/K161, 0)</f>
        <v>1</v>
      </c>
      <c r="P161" s="20" t="s">
        <v>1971</v>
      </c>
    </row>
    <row r="162" spans="1:16">
      <c r="A162" s="8">
        <v>155</v>
      </c>
      <c r="B162" s="6" t="s">
        <v>34</v>
      </c>
      <c r="C162" s="6" t="s">
        <v>51</v>
      </c>
      <c r="D162" s="6" t="s">
        <v>51</v>
      </c>
      <c r="E162" s="8">
        <v>170</v>
      </c>
      <c r="F162" s="10">
        <v>11</v>
      </c>
      <c r="G162" s="10">
        <v>10</v>
      </c>
      <c r="H162" s="10">
        <v>1</v>
      </c>
      <c r="I162" s="13">
        <v>94500.0</v>
      </c>
      <c r="J162" s="13"/>
      <c r="K162" s="13">
        <v>94500.0</v>
      </c>
      <c r="L162" s="13"/>
      <c r="M162" s="13">
        <v>94500.0</v>
      </c>
      <c r="N162" s="13">
        <f>IF(F162&gt;0, K162/F162, 0)</f>
        <v>8590.90909090909008</v>
      </c>
      <c r="O162" s="15">
        <f>IF(K162&gt;0, M162/K162, 0)</f>
        <v>1</v>
      </c>
      <c r="P162" s="19" t="s">
        <v>1972</v>
      </c>
    </row>
    <row r="163" spans="1:16">
      <c r="A163" s="9">
        <v>156</v>
      </c>
      <c r="B163" s="7" t="s">
        <v>34</v>
      </c>
      <c r="C163" s="7" t="s">
        <v>51</v>
      </c>
      <c r="D163" s="7" t="s">
        <v>51</v>
      </c>
      <c r="E163" s="9">
        <v>176</v>
      </c>
      <c r="F163" s="11">
        <v>16</v>
      </c>
      <c r="G163" s="11">
        <v>16</v>
      </c>
      <c r="H163" s="11"/>
      <c r="I163" s="14">
        <v>135500.0</v>
      </c>
      <c r="J163" s="14"/>
      <c r="K163" s="14">
        <v>135500.0</v>
      </c>
      <c r="L163" s="14"/>
      <c r="M163" s="14">
        <v>135500.0</v>
      </c>
      <c r="N163" s="14">
        <f>IF(F163&gt;0, K163/F163, 0)</f>
        <v>8468.75</v>
      </c>
      <c r="O163" s="16">
        <f>IF(K163&gt;0, M163/K163, 0)</f>
        <v>1</v>
      </c>
      <c r="P163" s="20" t="s">
        <v>1904</v>
      </c>
    </row>
    <row r="164" spans="1:16">
      <c r="A164" s="8">
        <v>157</v>
      </c>
      <c r="B164" s="6" t="s">
        <v>34</v>
      </c>
      <c r="C164" s="6" t="s">
        <v>51</v>
      </c>
      <c r="D164" s="6" t="s">
        <v>51</v>
      </c>
      <c r="E164" s="8">
        <v>182</v>
      </c>
      <c r="F164" s="10">
        <v>6</v>
      </c>
      <c r="G164" s="10">
        <v>6</v>
      </c>
      <c r="H164" s="10"/>
      <c r="I164" s="13">
        <v>51000.0</v>
      </c>
      <c r="J164" s="13"/>
      <c r="K164" s="13">
        <v>51000.0</v>
      </c>
      <c r="L164" s="13"/>
      <c r="M164" s="13">
        <v>51000.0</v>
      </c>
      <c r="N164" s="13">
        <f>IF(F164&gt;0, K164/F164, 0)</f>
        <v>8500</v>
      </c>
      <c r="O164" s="15">
        <f>IF(K164&gt;0, M164/K164, 0)</f>
        <v>1</v>
      </c>
      <c r="P164" s="19" t="s">
        <v>1973</v>
      </c>
    </row>
    <row r="165" spans="1:16">
      <c r="A165" s="9">
        <v>158</v>
      </c>
      <c r="B165" s="7" t="s">
        <v>34</v>
      </c>
      <c r="C165" s="7" t="s">
        <v>51</v>
      </c>
      <c r="D165" s="7" t="s">
        <v>51</v>
      </c>
      <c r="E165" s="9">
        <v>188</v>
      </c>
      <c r="F165" s="11">
        <v>3</v>
      </c>
      <c r="G165" s="11">
        <v>3</v>
      </c>
      <c r="H165" s="11"/>
      <c r="I165" s="14">
        <v>25500.0</v>
      </c>
      <c r="J165" s="14"/>
      <c r="K165" s="14">
        <v>25500.0</v>
      </c>
      <c r="L165" s="14"/>
      <c r="M165" s="14">
        <v>25500.0</v>
      </c>
      <c r="N165" s="14">
        <f>IF(F165&gt;0, K165/F165, 0)</f>
        <v>8500</v>
      </c>
      <c r="O165" s="16">
        <f>IF(K165&gt;0, M165/K165, 0)</f>
        <v>1</v>
      </c>
      <c r="P165" s="20" t="s">
        <v>1923</v>
      </c>
    </row>
    <row r="166" spans="1:16">
      <c r="A166" s="8">
        <v>159</v>
      </c>
      <c r="B166" s="6" t="s">
        <v>34</v>
      </c>
      <c r="C166" s="6" t="s">
        <v>51</v>
      </c>
      <c r="D166" s="6" t="s">
        <v>51</v>
      </c>
      <c r="E166" s="8">
        <v>194</v>
      </c>
      <c r="F166" s="10">
        <v>6</v>
      </c>
      <c r="G166" s="10">
        <v>4</v>
      </c>
      <c r="H166" s="10">
        <v>2</v>
      </c>
      <c r="I166" s="13">
        <v>54000.0</v>
      </c>
      <c r="J166" s="13"/>
      <c r="K166" s="13">
        <v>54000.0</v>
      </c>
      <c r="L166" s="13"/>
      <c r="M166" s="13">
        <v>54000.0</v>
      </c>
      <c r="N166" s="13">
        <f>IF(F166&gt;0, K166/F166, 0)</f>
        <v>9000</v>
      </c>
      <c r="O166" s="15">
        <f>IF(K166&gt;0, M166/K166, 0)</f>
        <v>1</v>
      </c>
      <c r="P166" s="19" t="s">
        <v>1970</v>
      </c>
    </row>
    <row r="167" spans="1:16">
      <c r="A167" s="9">
        <v>160</v>
      </c>
      <c r="B167" s="7" t="s">
        <v>34</v>
      </c>
      <c r="C167" s="7" t="s">
        <v>45</v>
      </c>
      <c r="D167" s="7" t="s">
        <v>45</v>
      </c>
      <c r="E167" s="9">
        <v>164</v>
      </c>
      <c r="F167" s="11">
        <v>1</v>
      </c>
      <c r="G167" s="11">
        <v>1</v>
      </c>
      <c r="H167" s="11"/>
      <c r="I167" s="14">
        <v>18000.0</v>
      </c>
      <c r="J167" s="14"/>
      <c r="K167" s="14">
        <v>18000.0</v>
      </c>
      <c r="L167" s="14"/>
      <c r="M167" s="14">
        <v>18000.0</v>
      </c>
      <c r="N167" s="14">
        <f>IF(F167&gt;0, K167/F167, 0)</f>
        <v>18000</v>
      </c>
      <c r="O167" s="16">
        <f>IF(K167&gt;0, M167/K167, 0)</f>
        <v>1</v>
      </c>
      <c r="P167" s="20" t="s">
        <v>1903</v>
      </c>
    </row>
    <row r="168" spans="1:16">
      <c r="A168" s="8">
        <v>161</v>
      </c>
      <c r="B168" s="6" t="s">
        <v>34</v>
      </c>
      <c r="C168" s="6" t="s">
        <v>45</v>
      </c>
      <c r="D168" s="6" t="s">
        <v>46</v>
      </c>
      <c r="E168" s="8">
        <v>140</v>
      </c>
      <c r="F168" s="10">
        <v>1</v>
      </c>
      <c r="G168" s="10">
        <v>1</v>
      </c>
      <c r="H168" s="10"/>
      <c r="I168" s="13">
        <v>18000.0</v>
      </c>
      <c r="J168" s="13"/>
      <c r="K168" s="13">
        <v>18000.0</v>
      </c>
      <c r="L168" s="13"/>
      <c r="M168" s="13">
        <v>18000.0</v>
      </c>
      <c r="N168" s="13">
        <f>IF(F168&gt;0, K168/F168, 0)</f>
        <v>18000</v>
      </c>
      <c r="O168" s="15">
        <f>IF(K168&gt;0, M168/K168, 0)</f>
        <v>1</v>
      </c>
      <c r="P168" s="19" t="s">
        <v>1903</v>
      </c>
    </row>
    <row r="169" spans="1:16">
      <c r="A169" s="9">
        <v>162</v>
      </c>
      <c r="B169" s="7" t="s">
        <v>34</v>
      </c>
      <c r="C169" s="7" t="s">
        <v>45</v>
      </c>
      <c r="D169" s="7" t="s">
        <v>46</v>
      </c>
      <c r="E169" s="9">
        <v>146</v>
      </c>
      <c r="F169" s="11">
        <v>4</v>
      </c>
      <c r="G169" s="11">
        <v>4</v>
      </c>
      <c r="H169" s="11"/>
      <c r="I169" s="14">
        <v>72000.0</v>
      </c>
      <c r="J169" s="14"/>
      <c r="K169" s="14">
        <v>72000.0</v>
      </c>
      <c r="L169" s="14"/>
      <c r="M169" s="14">
        <v>72000.0</v>
      </c>
      <c r="N169" s="14">
        <f>IF(F169&gt;0, K169/F169, 0)</f>
        <v>18000</v>
      </c>
      <c r="O169" s="16">
        <f>IF(K169&gt;0, M169/K169, 0)</f>
        <v>1</v>
      </c>
      <c r="P169" s="20" t="s">
        <v>1931</v>
      </c>
    </row>
    <row r="170" spans="1:16">
      <c r="A170" s="8">
        <v>163</v>
      </c>
      <c r="B170" s="6" t="s">
        <v>34</v>
      </c>
      <c r="C170" s="6" t="s">
        <v>45</v>
      </c>
      <c r="D170" s="6" t="s">
        <v>46</v>
      </c>
      <c r="E170" s="8">
        <v>152</v>
      </c>
      <c r="F170" s="10">
        <v>6</v>
      </c>
      <c r="G170" s="10">
        <v>6</v>
      </c>
      <c r="H170" s="10"/>
      <c r="I170" s="13">
        <v>108000.0</v>
      </c>
      <c r="J170" s="13"/>
      <c r="K170" s="13">
        <v>108000.0</v>
      </c>
      <c r="L170" s="13"/>
      <c r="M170" s="13">
        <v>108000.0</v>
      </c>
      <c r="N170" s="13">
        <f>IF(F170&gt;0, K170/F170, 0)</f>
        <v>18000</v>
      </c>
      <c r="O170" s="15">
        <f>IF(K170&gt;0, M170/K170, 0)</f>
        <v>1</v>
      </c>
      <c r="P170" s="19" t="s">
        <v>1948</v>
      </c>
    </row>
    <row r="171" spans="1:16">
      <c r="A171" s="9">
        <v>164</v>
      </c>
      <c r="B171" s="7" t="s">
        <v>34</v>
      </c>
      <c r="C171" s="7" t="s">
        <v>45</v>
      </c>
      <c r="D171" s="7" t="s">
        <v>46</v>
      </c>
      <c r="E171" s="9">
        <v>158</v>
      </c>
      <c r="F171" s="11">
        <v>9</v>
      </c>
      <c r="G171" s="11">
        <v>9</v>
      </c>
      <c r="H171" s="11"/>
      <c r="I171" s="14">
        <v>162000.0</v>
      </c>
      <c r="J171" s="14"/>
      <c r="K171" s="14">
        <v>162000.0</v>
      </c>
      <c r="L171" s="14"/>
      <c r="M171" s="14">
        <v>162000.0</v>
      </c>
      <c r="N171" s="14">
        <f>IF(F171&gt;0, K171/F171, 0)</f>
        <v>18000</v>
      </c>
      <c r="O171" s="16">
        <f>IF(K171&gt;0, M171/K171, 0)</f>
        <v>1</v>
      </c>
      <c r="P171" s="20" t="s">
        <v>1950</v>
      </c>
    </row>
    <row r="172" spans="1:16">
      <c r="A172" s="8">
        <v>165</v>
      </c>
      <c r="B172" s="6" t="s">
        <v>34</v>
      </c>
      <c r="C172" s="6" t="s">
        <v>45</v>
      </c>
      <c r="D172" s="6" t="s">
        <v>46</v>
      </c>
      <c r="E172" s="8">
        <v>164</v>
      </c>
      <c r="F172" s="10">
        <v>17</v>
      </c>
      <c r="G172" s="10">
        <v>17</v>
      </c>
      <c r="H172" s="10"/>
      <c r="I172" s="13">
        <v>296500.0</v>
      </c>
      <c r="J172" s="13"/>
      <c r="K172" s="13">
        <v>296500.0</v>
      </c>
      <c r="L172" s="13"/>
      <c r="M172" s="13">
        <v>296500.0</v>
      </c>
      <c r="N172" s="13">
        <f>IF(F172&gt;0, K172/F172, 0)</f>
        <v>17441.17647058823422</v>
      </c>
      <c r="O172" s="15">
        <f>IF(K172&gt;0, M172/K172, 0)</f>
        <v>1</v>
      </c>
      <c r="P172" s="19" t="s">
        <v>1974</v>
      </c>
    </row>
    <row r="173" spans="1:16">
      <c r="A173" s="9">
        <v>166</v>
      </c>
      <c r="B173" s="7" t="s">
        <v>34</v>
      </c>
      <c r="C173" s="7" t="s">
        <v>45</v>
      </c>
      <c r="D173" s="7" t="s">
        <v>46</v>
      </c>
      <c r="E173" s="9">
        <v>170</v>
      </c>
      <c r="F173" s="11">
        <v>13</v>
      </c>
      <c r="G173" s="11">
        <v>13</v>
      </c>
      <c r="H173" s="11"/>
      <c r="I173" s="14">
        <v>234000.0</v>
      </c>
      <c r="J173" s="14"/>
      <c r="K173" s="14">
        <v>234000.0</v>
      </c>
      <c r="L173" s="14"/>
      <c r="M173" s="14">
        <v>234000.0</v>
      </c>
      <c r="N173" s="14">
        <f>IF(F173&gt;0, K173/F173, 0)</f>
        <v>18000</v>
      </c>
      <c r="O173" s="16">
        <f>IF(K173&gt;0, M173/K173, 0)</f>
        <v>1</v>
      </c>
      <c r="P173" s="20" t="s">
        <v>1975</v>
      </c>
    </row>
    <row r="174" spans="1:16">
      <c r="A174" s="8">
        <v>167</v>
      </c>
      <c r="B174" s="6" t="s">
        <v>34</v>
      </c>
      <c r="C174" s="6" t="s">
        <v>45</v>
      </c>
      <c r="D174" s="6" t="s">
        <v>46</v>
      </c>
      <c r="E174" s="8">
        <v>176</v>
      </c>
      <c r="F174" s="10">
        <v>10</v>
      </c>
      <c r="G174" s="10">
        <v>10</v>
      </c>
      <c r="H174" s="10"/>
      <c r="I174" s="13">
        <v>180000.0</v>
      </c>
      <c r="J174" s="13"/>
      <c r="K174" s="13">
        <v>180000.0</v>
      </c>
      <c r="L174" s="13"/>
      <c r="M174" s="13">
        <v>180000.0</v>
      </c>
      <c r="N174" s="13">
        <f>IF(F174&gt;0, K174/F174, 0)</f>
        <v>18000</v>
      </c>
      <c r="O174" s="15">
        <f>IF(K174&gt;0, M174/K174, 0)</f>
        <v>1</v>
      </c>
      <c r="P174" s="19" t="s">
        <v>1963</v>
      </c>
    </row>
    <row r="175" spans="1:16">
      <c r="A175" s="9">
        <v>168</v>
      </c>
      <c r="B175" s="7" t="s">
        <v>34</v>
      </c>
      <c r="C175" s="7" t="s">
        <v>45</v>
      </c>
      <c r="D175" s="7" t="s">
        <v>46</v>
      </c>
      <c r="E175" s="9">
        <v>182</v>
      </c>
      <c r="F175" s="11">
        <v>6</v>
      </c>
      <c r="G175" s="11">
        <v>6</v>
      </c>
      <c r="H175" s="11"/>
      <c r="I175" s="14">
        <v>108000.0</v>
      </c>
      <c r="J175" s="14"/>
      <c r="K175" s="14">
        <v>108000.0</v>
      </c>
      <c r="L175" s="14"/>
      <c r="M175" s="14">
        <v>108000.0</v>
      </c>
      <c r="N175" s="14">
        <f>IF(F175&gt;0, K175/F175, 0)</f>
        <v>18000</v>
      </c>
      <c r="O175" s="16">
        <f>IF(K175&gt;0, M175/K175, 0)</f>
        <v>1</v>
      </c>
      <c r="P175" s="20" t="s">
        <v>1948</v>
      </c>
    </row>
    <row r="176" spans="1:16">
      <c r="A176" s="8">
        <v>169</v>
      </c>
      <c r="B176" s="6" t="s">
        <v>34</v>
      </c>
      <c r="C176" s="6" t="s">
        <v>45</v>
      </c>
      <c r="D176" s="6" t="s">
        <v>46</v>
      </c>
      <c r="E176" s="8">
        <v>188</v>
      </c>
      <c r="F176" s="10">
        <v>3</v>
      </c>
      <c r="G176" s="10">
        <v>3</v>
      </c>
      <c r="H176" s="10"/>
      <c r="I176" s="13">
        <v>54000.0</v>
      </c>
      <c r="J176" s="13"/>
      <c r="K176" s="13">
        <v>54000.0</v>
      </c>
      <c r="L176" s="13"/>
      <c r="M176" s="13">
        <v>54000.0</v>
      </c>
      <c r="N176" s="13">
        <f>IF(F176&gt;0, K176/F176, 0)</f>
        <v>18000</v>
      </c>
      <c r="O176" s="15">
        <f>IF(K176&gt;0, M176/K176, 0)</f>
        <v>1</v>
      </c>
      <c r="P176" s="19" t="s">
        <v>1907</v>
      </c>
    </row>
    <row r="177" spans="1:16">
      <c r="A177" s="9">
        <v>170</v>
      </c>
      <c r="B177" s="7" t="s">
        <v>34</v>
      </c>
      <c r="C177" s="7" t="s">
        <v>45</v>
      </c>
      <c r="D177" s="7" t="s">
        <v>46</v>
      </c>
      <c r="E177" s="9">
        <v>194</v>
      </c>
      <c r="F177" s="11">
        <v>1</v>
      </c>
      <c r="G177" s="11">
        <v>1</v>
      </c>
      <c r="H177" s="11"/>
      <c r="I177" s="14">
        <v>18000.0</v>
      </c>
      <c r="J177" s="14"/>
      <c r="K177" s="14">
        <v>18000.0</v>
      </c>
      <c r="L177" s="14"/>
      <c r="M177" s="14">
        <v>18000.0</v>
      </c>
      <c r="N177" s="14">
        <f>IF(F177&gt;0, K177/F177, 0)</f>
        <v>18000</v>
      </c>
      <c r="O177" s="16">
        <f>IF(K177&gt;0, M177/K177, 0)</f>
        <v>1</v>
      </c>
      <c r="P177" s="20" t="s">
        <v>1903</v>
      </c>
    </row>
    <row r="178" spans="1:16">
      <c r="A178" s="8">
        <v>171</v>
      </c>
      <c r="B178" s="6" t="s">
        <v>34</v>
      </c>
      <c r="C178" s="6" t="s">
        <v>158</v>
      </c>
      <c r="D178" s="6" t="s">
        <v>159</v>
      </c>
      <c r="E178" s="8" t="s">
        <v>42</v>
      </c>
      <c r="F178" s="10">
        <v>1</v>
      </c>
      <c r="G178" s="10">
        <v>1</v>
      </c>
      <c r="H178" s="10"/>
      <c r="I178" s="13">
        <v>5000.0</v>
      </c>
      <c r="J178" s="13"/>
      <c r="K178" s="13">
        <v>5000.0</v>
      </c>
      <c r="L178" s="13"/>
      <c r="M178" s="13">
        <v>5000.0</v>
      </c>
      <c r="N178" s="13">
        <f>IF(F178&gt;0, K178/F178, 0)</f>
        <v>5000</v>
      </c>
      <c r="O178" s="15">
        <f>IF(K178&gt;0, M178/K178, 0)</f>
        <v>1</v>
      </c>
      <c r="P178" s="19" t="s">
        <v>1904</v>
      </c>
    </row>
    <row r="179" spans="1:16">
      <c r="A179" s="9">
        <v>172</v>
      </c>
      <c r="B179" s="7" t="s">
        <v>34</v>
      </c>
      <c r="C179" s="7" t="s">
        <v>56</v>
      </c>
      <c r="D179" s="7" t="s">
        <v>56</v>
      </c>
      <c r="E179" s="9">
        <v>140</v>
      </c>
      <c r="F179" s="11">
        <v>1</v>
      </c>
      <c r="G179" s="11">
        <v>1</v>
      </c>
      <c r="H179" s="11"/>
      <c r="I179" s="14">
        <v>7500.0</v>
      </c>
      <c r="J179" s="14"/>
      <c r="K179" s="14">
        <v>7500.0</v>
      </c>
      <c r="L179" s="14"/>
      <c r="M179" s="14">
        <v>7500.0</v>
      </c>
      <c r="N179" s="14">
        <f>IF(F179&gt;0, K179/F179, 0)</f>
        <v>7500</v>
      </c>
      <c r="O179" s="16">
        <f>IF(K179&gt;0, M179/K179, 0)</f>
        <v>1</v>
      </c>
      <c r="P179" s="20" t="s">
        <v>1916</v>
      </c>
    </row>
    <row r="180" spans="1:16">
      <c r="A180" s="8">
        <v>173</v>
      </c>
      <c r="B180" s="6" t="s">
        <v>34</v>
      </c>
      <c r="C180" s="6" t="s">
        <v>56</v>
      </c>
      <c r="D180" s="6" t="s">
        <v>56</v>
      </c>
      <c r="E180" s="8">
        <v>146</v>
      </c>
      <c r="F180" s="10">
        <v>2</v>
      </c>
      <c r="G180" s="10"/>
      <c r="H180" s="10">
        <v>2</v>
      </c>
      <c r="I180" s="13">
        <v>18000.0</v>
      </c>
      <c r="J180" s="13"/>
      <c r="K180" s="13">
        <v>18000.0</v>
      </c>
      <c r="L180" s="13"/>
      <c r="M180" s="13">
        <v>18000.0</v>
      </c>
      <c r="N180" s="13">
        <f>IF(F180&gt;0, K180/F180, 0)</f>
        <v>9000</v>
      </c>
      <c r="O180" s="15">
        <f>IF(K180&gt;0, M180/K180, 0)</f>
        <v>1</v>
      </c>
      <c r="P180" s="19" t="s">
        <v>1929</v>
      </c>
    </row>
    <row r="181" spans="1:16">
      <c r="A181" s="9">
        <v>174</v>
      </c>
      <c r="B181" s="7" t="s">
        <v>34</v>
      </c>
      <c r="C181" s="7" t="s">
        <v>56</v>
      </c>
      <c r="D181" s="7" t="s">
        <v>56</v>
      </c>
      <c r="E181" s="9">
        <v>152</v>
      </c>
      <c r="F181" s="11">
        <v>5</v>
      </c>
      <c r="G181" s="11">
        <v>3</v>
      </c>
      <c r="H181" s="11">
        <v>2</v>
      </c>
      <c r="I181" s="14">
        <v>40500.0</v>
      </c>
      <c r="J181" s="14"/>
      <c r="K181" s="14">
        <v>40500.0</v>
      </c>
      <c r="L181" s="14"/>
      <c r="M181" s="14">
        <v>40500.0</v>
      </c>
      <c r="N181" s="14">
        <f>IF(F181&gt;0, K181/F181, 0)</f>
        <v>8100</v>
      </c>
      <c r="O181" s="16">
        <f>IF(K181&gt;0, M181/K181, 0)</f>
        <v>1</v>
      </c>
      <c r="P181" s="20" t="s">
        <v>1906</v>
      </c>
    </row>
    <row r="182" spans="1:16">
      <c r="A182" s="8">
        <v>175</v>
      </c>
      <c r="B182" s="6" t="s">
        <v>34</v>
      </c>
      <c r="C182" s="6" t="s">
        <v>56</v>
      </c>
      <c r="D182" s="6" t="s">
        <v>56</v>
      </c>
      <c r="E182" s="8">
        <v>158</v>
      </c>
      <c r="F182" s="10">
        <v>17</v>
      </c>
      <c r="G182" s="10">
        <v>16</v>
      </c>
      <c r="H182" s="10">
        <v>1</v>
      </c>
      <c r="I182" s="13">
        <v>131000.0</v>
      </c>
      <c r="J182" s="13"/>
      <c r="K182" s="13">
        <v>131000.0</v>
      </c>
      <c r="L182" s="13"/>
      <c r="M182" s="13">
        <v>131000.0</v>
      </c>
      <c r="N182" s="13">
        <f>IF(F182&gt;0, K182/F182, 0)</f>
        <v>7705.88235294117658</v>
      </c>
      <c r="O182" s="15">
        <f>IF(K182&gt;0, M182/K182, 0)</f>
        <v>1</v>
      </c>
      <c r="P182" s="19" t="s">
        <v>1976</v>
      </c>
    </row>
    <row r="183" spans="1:16">
      <c r="A183" s="9">
        <v>176</v>
      </c>
      <c r="B183" s="7" t="s">
        <v>34</v>
      </c>
      <c r="C183" s="7" t="s">
        <v>56</v>
      </c>
      <c r="D183" s="7" t="s">
        <v>56</v>
      </c>
      <c r="E183" s="9">
        <v>164</v>
      </c>
      <c r="F183" s="11">
        <v>15</v>
      </c>
      <c r="G183" s="11">
        <v>15</v>
      </c>
      <c r="H183" s="11"/>
      <c r="I183" s="14">
        <v>112000.0</v>
      </c>
      <c r="J183" s="14"/>
      <c r="K183" s="14">
        <v>112000.0</v>
      </c>
      <c r="L183" s="14"/>
      <c r="M183" s="14">
        <v>112000.0</v>
      </c>
      <c r="N183" s="14">
        <f>IF(F183&gt;0, K183/F183, 0)</f>
        <v>7466.66666666666697</v>
      </c>
      <c r="O183" s="16">
        <f>IF(K183&gt;0, M183/K183, 0)</f>
        <v>1</v>
      </c>
      <c r="P183" s="20" t="s">
        <v>1977</v>
      </c>
    </row>
    <row r="184" spans="1:16">
      <c r="A184" s="8">
        <v>177</v>
      </c>
      <c r="B184" s="6" t="s">
        <v>34</v>
      </c>
      <c r="C184" s="6" t="s">
        <v>56</v>
      </c>
      <c r="D184" s="6" t="s">
        <v>56</v>
      </c>
      <c r="E184" s="8">
        <v>170</v>
      </c>
      <c r="F184" s="10">
        <v>14</v>
      </c>
      <c r="G184" s="10">
        <v>14</v>
      </c>
      <c r="H184" s="10"/>
      <c r="I184" s="13">
        <v>108500.0</v>
      </c>
      <c r="J184" s="13"/>
      <c r="K184" s="13">
        <v>108500.0</v>
      </c>
      <c r="L184" s="13"/>
      <c r="M184" s="13">
        <v>108500.0</v>
      </c>
      <c r="N184" s="13">
        <f>IF(F184&gt;0, K184/F184, 0)</f>
        <v>7750</v>
      </c>
      <c r="O184" s="15">
        <f>IF(K184&gt;0, M184/K184, 0)</f>
        <v>1</v>
      </c>
      <c r="P184" s="19" t="s">
        <v>1978</v>
      </c>
    </row>
    <row r="185" spans="1:16">
      <c r="A185" s="9">
        <v>178</v>
      </c>
      <c r="B185" s="7" t="s">
        <v>34</v>
      </c>
      <c r="C185" s="7" t="s">
        <v>56</v>
      </c>
      <c r="D185" s="7" t="s">
        <v>56</v>
      </c>
      <c r="E185" s="9">
        <v>176</v>
      </c>
      <c r="F185" s="11">
        <v>5</v>
      </c>
      <c r="G185" s="11">
        <v>5</v>
      </c>
      <c r="H185" s="11"/>
      <c r="I185" s="14">
        <v>37500.0</v>
      </c>
      <c r="J185" s="14"/>
      <c r="K185" s="14">
        <v>37500.0</v>
      </c>
      <c r="L185" s="14"/>
      <c r="M185" s="14">
        <v>37500.0</v>
      </c>
      <c r="N185" s="14">
        <f>IF(F185&gt;0, K185/F185, 0)</f>
        <v>7500</v>
      </c>
      <c r="O185" s="16">
        <f>IF(K185&gt;0, M185/K185, 0)</f>
        <v>1</v>
      </c>
      <c r="P185" s="20" t="s">
        <v>1922</v>
      </c>
    </row>
    <row r="186" spans="1:16">
      <c r="A186" s="8">
        <v>179</v>
      </c>
      <c r="B186" s="6" t="s">
        <v>34</v>
      </c>
      <c r="C186" s="6" t="s">
        <v>56</v>
      </c>
      <c r="D186" s="6" t="s">
        <v>56</v>
      </c>
      <c r="E186" s="8">
        <v>182</v>
      </c>
      <c r="F186" s="10">
        <v>3</v>
      </c>
      <c r="G186" s="10">
        <v>3</v>
      </c>
      <c r="H186" s="10"/>
      <c r="I186" s="13">
        <v>22000.0</v>
      </c>
      <c r="J186" s="13"/>
      <c r="K186" s="13">
        <v>22000.0</v>
      </c>
      <c r="L186" s="13"/>
      <c r="M186" s="13">
        <v>22000.0</v>
      </c>
      <c r="N186" s="13">
        <f>IF(F186&gt;0, K186/F186, 0)</f>
        <v>7333.33333333333303</v>
      </c>
      <c r="O186" s="15">
        <f>IF(K186&gt;0, M186/K186, 0)</f>
        <v>1</v>
      </c>
      <c r="P186" s="19" t="s">
        <v>1918</v>
      </c>
    </row>
    <row r="187" spans="1:16">
      <c r="A187" s="9">
        <v>180</v>
      </c>
      <c r="B187" s="7" t="s">
        <v>34</v>
      </c>
      <c r="C187" s="7" t="s">
        <v>56</v>
      </c>
      <c r="D187" s="7" t="s">
        <v>56</v>
      </c>
      <c r="E187" s="9">
        <v>194</v>
      </c>
      <c r="F187" s="11">
        <v>2</v>
      </c>
      <c r="G187" s="11">
        <v>2</v>
      </c>
      <c r="H187" s="11"/>
      <c r="I187" s="14">
        <v>15000.0</v>
      </c>
      <c r="J187" s="14"/>
      <c r="K187" s="14">
        <v>15000.0</v>
      </c>
      <c r="L187" s="14"/>
      <c r="M187" s="14">
        <v>15000.0</v>
      </c>
      <c r="N187" s="14">
        <f>IF(F187&gt;0, K187/F187, 0)</f>
        <v>7500</v>
      </c>
      <c r="O187" s="16">
        <f>IF(K187&gt;0, M187/K187, 0)</f>
        <v>1</v>
      </c>
      <c r="P187" s="20" t="s">
        <v>1939</v>
      </c>
    </row>
    <row r="188" spans="1:16">
      <c r="A188" s="8">
        <v>181</v>
      </c>
      <c r="B188" s="6" t="s">
        <v>34</v>
      </c>
      <c r="C188" s="6" t="s">
        <v>56</v>
      </c>
      <c r="D188" s="6" t="s">
        <v>1857</v>
      </c>
      <c r="E188" s="8">
        <v>146</v>
      </c>
      <c r="F188" s="10">
        <v>1</v>
      </c>
      <c r="G188" s="10">
        <v>1</v>
      </c>
      <c r="H188" s="10"/>
      <c r="I188" s="13">
        <v>7500.0</v>
      </c>
      <c r="J188" s="13"/>
      <c r="K188" s="13">
        <v>7500.0</v>
      </c>
      <c r="L188" s="13"/>
      <c r="M188" s="13">
        <v>7500.0</v>
      </c>
      <c r="N188" s="13">
        <f>IF(F188&gt;0, K188/F188, 0)</f>
        <v>7500</v>
      </c>
      <c r="O188" s="15">
        <f>IF(K188&gt;0, M188/K188, 0)</f>
        <v>1</v>
      </c>
      <c r="P188" s="19" t="s">
        <v>1916</v>
      </c>
    </row>
    <row r="189" spans="1:16">
      <c r="A189" s="9">
        <v>182</v>
      </c>
      <c r="B189" s="7" t="s">
        <v>34</v>
      </c>
      <c r="C189" s="7" t="s">
        <v>1852</v>
      </c>
      <c r="D189" s="7" t="s">
        <v>1853</v>
      </c>
      <c r="E189" s="9">
        <v>158</v>
      </c>
      <c r="F189" s="11">
        <v>1</v>
      </c>
      <c r="G189" s="11">
        <v>1</v>
      </c>
      <c r="H189" s="11"/>
      <c r="I189" s="14">
        <v>9500.0</v>
      </c>
      <c r="J189" s="14"/>
      <c r="K189" s="14">
        <v>9500.0</v>
      </c>
      <c r="L189" s="14"/>
      <c r="M189" s="14">
        <v>9500.0</v>
      </c>
      <c r="N189" s="14">
        <f>IF(F189&gt;0, K189/F189, 0)</f>
        <v>9500</v>
      </c>
      <c r="O189" s="16">
        <f>IF(K189&gt;0, M189/K189, 0)</f>
        <v>1</v>
      </c>
      <c r="P189" s="20" t="s">
        <v>1979</v>
      </c>
    </row>
    <row r="190" spans="1:16">
      <c r="A190" s="8">
        <v>183</v>
      </c>
      <c r="B190" s="6" t="s">
        <v>34</v>
      </c>
      <c r="C190" s="6" t="s">
        <v>1852</v>
      </c>
      <c r="D190" s="6" t="s">
        <v>1853</v>
      </c>
      <c r="E190" s="8">
        <v>170</v>
      </c>
      <c r="F190" s="10">
        <v>1</v>
      </c>
      <c r="G190" s="10">
        <v>1</v>
      </c>
      <c r="H190" s="10"/>
      <c r="I190" s="13">
        <v>9500.0</v>
      </c>
      <c r="J190" s="13"/>
      <c r="K190" s="13">
        <v>9500.0</v>
      </c>
      <c r="L190" s="13"/>
      <c r="M190" s="13">
        <v>9500.0</v>
      </c>
      <c r="N190" s="13">
        <f>IF(F190&gt;0, K190/F190, 0)</f>
        <v>9500</v>
      </c>
      <c r="O190" s="15">
        <f>IF(K190&gt;0, M190/K190, 0)</f>
        <v>1</v>
      </c>
      <c r="P190" s="19" t="s">
        <v>1979</v>
      </c>
    </row>
    <row r="191" spans="1:16">
      <c r="A191" s="9">
        <v>184</v>
      </c>
      <c r="B191" s="7" t="s">
        <v>158</v>
      </c>
      <c r="C191" s="7" t="s">
        <v>158</v>
      </c>
      <c r="D191" s="7" t="s">
        <v>159</v>
      </c>
      <c r="E191" s="9" t="s">
        <v>42</v>
      </c>
      <c r="F191" s="11">
        <v>4</v>
      </c>
      <c r="G191" s="11">
        <v>4</v>
      </c>
      <c r="H191" s="11"/>
      <c r="I191" s="14">
        <v>20000.0</v>
      </c>
      <c r="J191" s="14"/>
      <c r="K191" s="14">
        <v>20000.0</v>
      </c>
      <c r="L191" s="14"/>
      <c r="M191" s="14">
        <v>20000.0</v>
      </c>
      <c r="N191" s="14">
        <f>IF(F191&gt;0, K191/F191, 0)</f>
        <v>5000</v>
      </c>
      <c r="O191" s="16">
        <f>IF(K191&gt;0, M191/K191, 0)</f>
        <v>1</v>
      </c>
      <c r="P191" s="20" t="s">
        <v>1980</v>
      </c>
    </row>
    <row r="192" spans="1:16">
      <c r="A192" s="5" t="s">
        <v>1982</v>
      </c>
      <c r="B192" s="5"/>
      <c r="C192" s="5"/>
      <c r="D192" s="5"/>
      <c r="E192" s="5"/>
      <c r="F192" s="12">
        <f>SUBTOTAL(109, F8:F191)</f>
        <v>1922</v>
      </c>
      <c r="G192" s="12">
        <f>SUBTOTAL(109, G8:G191)</f>
        <v>1676</v>
      </c>
      <c r="H192" s="12">
        <f>SUBTOTAL(109, H8:H191)</f>
        <v>246</v>
      </c>
      <c r="I192" s="18">
        <f>SUBTOTAL(109, I8:I191)</f>
        <v>19179900</v>
      </c>
      <c r="J192" s="18">
        <f>SUBTOTAL(109, J8:J191)</f>
        <v>17700</v>
      </c>
      <c r="K192" s="18">
        <f>SUBTOTAL(109, K8:K191)</f>
        <v>19162200</v>
      </c>
      <c r="L192" s="18">
        <f>SUBTOTAL(109, L8:L191)</f>
        <v>0</v>
      </c>
      <c r="M192" s="18">
        <f>SUBTOTAL(109, M8:M191)</f>
        <v>19162200</v>
      </c>
      <c r="N192" s="18">
        <f>IF(F192&gt;0, K192/F192, 0)</f>
        <v>9969.92715920915725</v>
      </c>
      <c r="O192" s="17">
        <f>IF(K192&gt;0, M192/K192, 0)</f>
        <v>1</v>
      </c>
      <c r="P192" s="5" t="s">
        <v>1981</v>
      </c>
    </row>
  </sheetData>
  <autoFilter ref="A7:P191"/>
  <mergeCells>
    <mergeCell ref="A5:E5"/>
    <mergeCell ref="A192:E19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N29"/>
  <sheetViews>
    <sheetView tabSelected="0" workbookViewId="0" showGridLines="true" showRowColHeaders="1">
      <pane ySplit="7" activePane="bottomLeft" state="frozen" topLeftCell="A8"/>
      <selection pane="bottomLeft" activeCell="M8" sqref="M8:N29"/>
    </sheetView>
  </sheetViews>
  <sheetFormatPr defaultRowHeight="14.4" outlineLevelRow="0" outlineLevelCol="0"/>
  <cols>
    <col min="1" max="1" width="121.316" bestFit="true" customWidth="true" style="0"/>
    <col min="2" max="2" width="30.163" bestFit="true" customWidth="true" style="0"/>
    <col min="3" max="3" width="17.664" bestFit="true" customWidth="true" style="0"/>
    <col min="4" max="4" width="25.663" bestFit="true" customWidth="true" style="0"/>
    <col min="5" max="5" width="23.497" bestFit="true" customWidth="true" style="0"/>
    <col min="6" max="6" width="24.497" bestFit="true" customWidth="true" style="0"/>
    <col min="7" max="7" width="23.497" bestFit="true" customWidth="true" style="0"/>
    <col min="8" max="8" width="22.164" bestFit="true" customWidth="true" style="0"/>
    <col min="9" max="9" width="31.162" bestFit="true" customWidth="true" style="0"/>
    <col min="10" max="10" width="28.996" bestFit="true" customWidth="true" style="0"/>
    <col min="11" max="11" width="25.663" bestFit="true" customWidth="true" style="0"/>
    <col min="12" max="12" width="26.663" bestFit="true" customWidth="true" style="0"/>
    <col min="13" max="13" width="24.497" bestFit="true" customWidth="true" style="0"/>
    <col min="14" max="14" width="34.662" bestFit="true" customWidth="true" style="0"/>
  </cols>
  <sheetData>
    <row r="2" spans="1:14">
      <c r="A2" s="1" t="s">
        <v>1983</v>
      </c>
    </row>
    <row r="3" spans="1:14">
      <c r="A3" s="2" t="s">
        <v>1984</v>
      </c>
    </row>
    <row r="5" spans="1:14" customHeight="1" ht="22">
      <c r="A5" s="4" t="s">
        <v>1892</v>
      </c>
      <c r="B5" s="4"/>
      <c r="C5" s="4"/>
      <c r="D5" s="4">
        <f>SUBTOTAL(109, D8:D28)</f>
        <v>1922</v>
      </c>
      <c r="E5" s="4">
        <f>SUBTOTAL(109, E8:E28)</f>
        <v>1676</v>
      </c>
      <c r="F5" s="4">
        <f>SUBTOTAL(109, F8:F28)</f>
        <v>246</v>
      </c>
      <c r="G5" s="4">
        <f>SUBTOTAL(109, G8:G28)</f>
        <v>19179900</v>
      </c>
      <c r="H5" s="4">
        <f>SUBTOTAL(109, H8:H28)</f>
        <v>17700</v>
      </c>
      <c r="I5" s="4">
        <f>SUBTOTAL(109, I8:I28)</f>
        <v>19162200</v>
      </c>
      <c r="J5" s="4">
        <f>SUBTOTAL(109, J8:J28)</f>
        <v>0</v>
      </c>
      <c r="K5" s="4">
        <f>SUBTOTAL(109, K8:K28)</f>
        <v>19162200</v>
      </c>
      <c r="L5" s="4">
        <f>IF(D5&gt;0, I5/D5, 0)</f>
        <v>9969.92715920915725</v>
      </c>
      <c r="M5" s="4">
        <f>IF(I5&gt;0, K5/I5, 0)</f>
        <v>1</v>
      </c>
      <c r="N5" s="4" t="s">
        <v>1981</v>
      </c>
    </row>
    <row r="7" spans="1:14" customHeight="1" ht="28">
      <c r="A7" s="3" t="s">
        <v>2</v>
      </c>
      <c r="B7" s="3" t="s">
        <v>1985</v>
      </c>
      <c r="C7" s="3" t="s">
        <v>8</v>
      </c>
      <c r="D7" s="3" t="s">
        <v>1896</v>
      </c>
      <c r="E7" s="3" t="s">
        <v>1986</v>
      </c>
      <c r="F7" s="3" t="s">
        <v>1898</v>
      </c>
      <c r="G7" s="3" t="s">
        <v>18</v>
      </c>
      <c r="H7" s="3" t="s">
        <v>19</v>
      </c>
      <c r="I7" s="3" t="s">
        <v>1900</v>
      </c>
      <c r="J7" s="3" t="s">
        <v>22</v>
      </c>
      <c r="K7" s="3" t="s">
        <v>23</v>
      </c>
      <c r="L7" s="3" t="s">
        <v>1901</v>
      </c>
      <c r="M7" s="3" t="s">
        <v>24</v>
      </c>
      <c r="N7" s="3" t="s">
        <v>1987</v>
      </c>
    </row>
    <row r="8" spans="1:14">
      <c r="A8" s="8">
        <v>1</v>
      </c>
      <c r="B8" s="6" t="s">
        <v>50</v>
      </c>
      <c r="C8" s="6" t="s">
        <v>35</v>
      </c>
      <c r="D8" s="10">
        <v>502</v>
      </c>
      <c r="E8" s="10">
        <v>489</v>
      </c>
      <c r="F8" s="10">
        <v>13</v>
      </c>
      <c r="G8" s="13">
        <v>3708400.0</v>
      </c>
      <c r="H8" s="13">
        <v>4200.0</v>
      </c>
      <c r="I8" s="13">
        <v>3704200.0</v>
      </c>
      <c r="J8" s="13"/>
      <c r="K8" s="13">
        <v>3704200.0</v>
      </c>
      <c r="L8" s="13">
        <f>IF(D8&gt;0, I8/D8, 0)</f>
        <v>7378.88446215139447</v>
      </c>
      <c r="M8" s="15">
        <f>IF(I8&gt;0, K8/I8, 0)</f>
        <v>1</v>
      </c>
      <c r="N8" s="15">
        <f>IF(I$5&gt;0, I8/I$5, 0)</f>
        <v>0.1933076577846</v>
      </c>
    </row>
    <row r="9" spans="1:14">
      <c r="A9" s="9">
        <v>2</v>
      </c>
      <c r="B9" s="7" t="s">
        <v>34</v>
      </c>
      <c r="C9" s="7" t="s">
        <v>35</v>
      </c>
      <c r="D9" s="11">
        <v>331</v>
      </c>
      <c r="E9" s="11">
        <v>286</v>
      </c>
      <c r="F9" s="11">
        <v>45</v>
      </c>
      <c r="G9" s="14">
        <v>2826100.0</v>
      </c>
      <c r="H9" s="14"/>
      <c r="I9" s="14">
        <v>2826100.0</v>
      </c>
      <c r="J9" s="14"/>
      <c r="K9" s="14">
        <v>2826100.0</v>
      </c>
      <c r="L9" s="14">
        <f>IF(D9&gt;0, I9/D9, 0)</f>
        <v>8538.066465256797528</v>
      </c>
      <c r="M9" s="16">
        <f>IF(I9&gt;0, K9/I9, 0)</f>
        <v>1</v>
      </c>
      <c r="N9" s="16">
        <f>IF(I$5&gt;0, I9/I$5, 0)</f>
        <v>0.14748306561877</v>
      </c>
    </row>
    <row r="10" spans="1:14">
      <c r="A10" s="8">
        <v>3</v>
      </c>
      <c r="B10" s="6" t="s">
        <v>50</v>
      </c>
      <c r="C10" s="6" t="s">
        <v>69</v>
      </c>
      <c r="D10" s="10">
        <v>136</v>
      </c>
      <c r="E10" s="10">
        <v>126</v>
      </c>
      <c r="F10" s="10">
        <v>10</v>
      </c>
      <c r="G10" s="13">
        <v>2213000.0</v>
      </c>
      <c r="H10" s="13">
        <v>2400.0</v>
      </c>
      <c r="I10" s="13">
        <v>2210600.0</v>
      </c>
      <c r="J10" s="13"/>
      <c r="K10" s="13">
        <v>2210600.0</v>
      </c>
      <c r="L10" s="13">
        <f>IF(D10&gt;0, I10/D10, 0)</f>
        <v>16254.41176470588289</v>
      </c>
      <c r="M10" s="15">
        <f>IF(I10&gt;0, K10/I10, 0)</f>
        <v>1</v>
      </c>
      <c r="N10" s="15">
        <f>IF(I$5&gt;0, I10/I$5, 0)</f>
        <v>0.11536253666072</v>
      </c>
    </row>
    <row r="11" spans="1:14">
      <c r="A11" s="9">
        <v>4</v>
      </c>
      <c r="B11" s="7" t="s">
        <v>34</v>
      </c>
      <c r="C11" s="7" t="s">
        <v>69</v>
      </c>
      <c r="D11" s="11">
        <v>101</v>
      </c>
      <c r="E11" s="11">
        <v>67</v>
      </c>
      <c r="F11" s="11">
        <v>34</v>
      </c>
      <c r="G11" s="14">
        <v>1720500.0</v>
      </c>
      <c r="H11" s="14"/>
      <c r="I11" s="14">
        <v>1720500.0</v>
      </c>
      <c r="J11" s="14"/>
      <c r="K11" s="14">
        <v>1720500.0</v>
      </c>
      <c r="L11" s="14">
        <f>IF(D11&gt;0, I11/D11, 0)</f>
        <v>17034.65346534653509</v>
      </c>
      <c r="M11" s="16">
        <f>IF(I11&gt;0, K11/I11, 0)</f>
        <v>1</v>
      </c>
      <c r="N11" s="16">
        <f>IF(I$5&gt;0, I11/I$5, 0)</f>
        <v>0.089786141466011</v>
      </c>
    </row>
    <row r="12" spans="1:14">
      <c r="A12" s="8">
        <v>5</v>
      </c>
      <c r="B12" s="6" t="s">
        <v>50</v>
      </c>
      <c r="C12" s="6" t="s">
        <v>51</v>
      </c>
      <c r="D12" s="10">
        <v>203</v>
      </c>
      <c r="E12" s="10">
        <v>195</v>
      </c>
      <c r="F12" s="10">
        <v>8</v>
      </c>
      <c r="G12" s="13">
        <v>1658400.0</v>
      </c>
      <c r="H12" s="13">
        <v>6700.0</v>
      </c>
      <c r="I12" s="13">
        <v>1651700.0</v>
      </c>
      <c r="J12" s="13"/>
      <c r="K12" s="13">
        <v>1651700.0</v>
      </c>
      <c r="L12" s="13">
        <f>IF(D12&gt;0, I12/D12, 0)</f>
        <v>8136.45320197044293</v>
      </c>
      <c r="M12" s="15">
        <f>IF(I12&gt;0, K12/I12, 0)</f>
        <v>1</v>
      </c>
      <c r="N12" s="15">
        <f>IF(I$5&gt;0, I12/I$5, 0)</f>
        <v>0.086195739528864</v>
      </c>
    </row>
    <row r="13" spans="1:14">
      <c r="A13" s="9">
        <v>6</v>
      </c>
      <c r="B13" s="7" t="s">
        <v>50</v>
      </c>
      <c r="C13" s="7" t="s">
        <v>45</v>
      </c>
      <c r="D13" s="11">
        <v>74</v>
      </c>
      <c r="E13" s="11">
        <v>74</v>
      </c>
      <c r="F13" s="11"/>
      <c r="G13" s="14">
        <v>1327000.0</v>
      </c>
      <c r="H13" s="14">
        <v>2400.0</v>
      </c>
      <c r="I13" s="14">
        <v>1324600.0</v>
      </c>
      <c r="J13" s="14"/>
      <c r="K13" s="14">
        <v>1324600.0</v>
      </c>
      <c r="L13" s="14">
        <f>IF(D13&gt;0, I13/D13, 0)</f>
        <v>17900</v>
      </c>
      <c r="M13" s="16">
        <f>IF(I13&gt;0, K13/I13, 0)</f>
        <v>1</v>
      </c>
      <c r="N13" s="16">
        <f>IF(I$5&gt;0, I13/I$5, 0)</f>
        <v>0.069125674505015</v>
      </c>
    </row>
    <row r="14" spans="1:14">
      <c r="A14" s="8">
        <v>7</v>
      </c>
      <c r="B14" s="6" t="s">
        <v>34</v>
      </c>
      <c r="C14" s="6" t="s">
        <v>45</v>
      </c>
      <c r="D14" s="10">
        <v>71</v>
      </c>
      <c r="E14" s="10">
        <v>71</v>
      </c>
      <c r="F14" s="10"/>
      <c r="G14" s="13">
        <v>1268500.0</v>
      </c>
      <c r="H14" s="13"/>
      <c r="I14" s="13">
        <v>1268500.0</v>
      </c>
      <c r="J14" s="13"/>
      <c r="K14" s="13">
        <v>1268500.0</v>
      </c>
      <c r="L14" s="13">
        <f>IF(D14&gt;0, I14/D14, 0)</f>
        <v>17866.19718309859309</v>
      </c>
      <c r="M14" s="15">
        <f>IF(I14&gt;0, K14/I14, 0)</f>
        <v>1</v>
      </c>
      <c r="N14" s="15">
        <f>IF(I$5&gt;0, I14/I$5, 0)</f>
        <v>0.06619803571615</v>
      </c>
    </row>
    <row r="15" spans="1:14">
      <c r="A15" s="9">
        <v>8</v>
      </c>
      <c r="B15" s="7" t="s">
        <v>50</v>
      </c>
      <c r="C15" s="7" t="s">
        <v>63</v>
      </c>
      <c r="D15" s="11">
        <v>119</v>
      </c>
      <c r="E15" s="11">
        <v>64</v>
      </c>
      <c r="F15" s="11">
        <v>55</v>
      </c>
      <c r="G15" s="14">
        <v>1176500.0</v>
      </c>
      <c r="H15" s="14">
        <v>1200.0</v>
      </c>
      <c r="I15" s="14">
        <v>1175300.0</v>
      </c>
      <c r="J15" s="14"/>
      <c r="K15" s="14">
        <v>1175300.0</v>
      </c>
      <c r="L15" s="14">
        <f>IF(D15&gt;0, I15/D15, 0)</f>
        <v>9876.47058823529369</v>
      </c>
      <c r="M15" s="16">
        <f>IF(I15&gt;0, K15/I15, 0)</f>
        <v>1</v>
      </c>
      <c r="N15" s="16">
        <f>IF(I$5&gt;0, I15/I$5, 0)</f>
        <v>0.061334293557107</v>
      </c>
    </row>
    <row r="16" spans="1:14">
      <c r="A16" s="8">
        <v>9</v>
      </c>
      <c r="B16" s="6" t="s">
        <v>34</v>
      </c>
      <c r="C16" s="6" t="s">
        <v>51</v>
      </c>
      <c r="D16" s="10">
        <v>121</v>
      </c>
      <c r="E16" s="10">
        <v>111</v>
      </c>
      <c r="F16" s="10">
        <v>10</v>
      </c>
      <c r="G16" s="13">
        <v>1042500.0</v>
      </c>
      <c r="H16" s="13"/>
      <c r="I16" s="13">
        <v>1042500.0</v>
      </c>
      <c r="J16" s="13"/>
      <c r="K16" s="13">
        <v>1042500.0</v>
      </c>
      <c r="L16" s="13">
        <f>IF(D16&gt;0, I16/D16, 0)</f>
        <v>8615.70247933884275</v>
      </c>
      <c r="M16" s="15">
        <f>IF(I16&gt;0, K16/I16, 0)</f>
        <v>1</v>
      </c>
      <c r="N16" s="15">
        <f>IF(I$5&gt;0, I16/I$5, 0)</f>
        <v>0.054403982841219</v>
      </c>
    </row>
    <row r="17" spans="1:14">
      <c r="A17" s="9">
        <v>10</v>
      </c>
      <c r="B17" s="7" t="s">
        <v>34</v>
      </c>
      <c r="C17" s="7" t="s">
        <v>63</v>
      </c>
      <c r="D17" s="11">
        <v>79</v>
      </c>
      <c r="E17" s="11">
        <v>57</v>
      </c>
      <c r="F17" s="11">
        <v>22</v>
      </c>
      <c r="G17" s="14">
        <v>848500.0</v>
      </c>
      <c r="H17" s="14"/>
      <c r="I17" s="14">
        <v>848500.0</v>
      </c>
      <c r="J17" s="14"/>
      <c r="K17" s="14">
        <v>848500.0</v>
      </c>
      <c r="L17" s="14">
        <f>IF(D17&gt;0, I17/D17, 0)</f>
        <v>10740.50632911392495</v>
      </c>
      <c r="M17" s="16">
        <f>IF(I17&gt;0, K17/I17, 0)</f>
        <v>1</v>
      </c>
      <c r="N17" s="16">
        <f>IF(I$5&gt;0, I17/I$5, 0)</f>
        <v>0.044279884355659</v>
      </c>
    </row>
    <row r="18" spans="1:14">
      <c r="A18" s="8">
        <v>11</v>
      </c>
      <c r="B18" s="6" t="s">
        <v>50</v>
      </c>
      <c r="C18" s="6" t="s">
        <v>56</v>
      </c>
      <c r="D18" s="10">
        <v>93</v>
      </c>
      <c r="E18" s="10">
        <v>57</v>
      </c>
      <c r="F18" s="10">
        <v>36</v>
      </c>
      <c r="G18" s="13">
        <v>705000.0</v>
      </c>
      <c r="H18" s="13">
        <v>800.0</v>
      </c>
      <c r="I18" s="13">
        <v>704200.0</v>
      </c>
      <c r="J18" s="13"/>
      <c r="K18" s="13">
        <v>704200.0</v>
      </c>
      <c r="L18" s="13">
        <f>IF(D18&gt;0, I18/D18, 0)</f>
        <v>7572.043010752688133</v>
      </c>
      <c r="M18" s="15">
        <f>IF(I18&gt;0, K18/I18, 0)</f>
        <v>1</v>
      </c>
      <c r="N18" s="15">
        <f>IF(I$5&gt;0, I18/I$5, 0)</f>
        <v>0.03674943378109</v>
      </c>
    </row>
    <row r="19" spans="1:14">
      <c r="A19" s="9">
        <v>12</v>
      </c>
      <c r="B19" s="7" t="s">
        <v>34</v>
      </c>
      <c r="C19" s="7" t="s">
        <v>56</v>
      </c>
      <c r="D19" s="11">
        <v>65</v>
      </c>
      <c r="E19" s="11">
        <v>60</v>
      </c>
      <c r="F19" s="11">
        <v>5</v>
      </c>
      <c r="G19" s="14">
        <v>499500.0</v>
      </c>
      <c r="H19" s="14"/>
      <c r="I19" s="14">
        <v>499500.0</v>
      </c>
      <c r="J19" s="14"/>
      <c r="K19" s="14">
        <v>499500.0</v>
      </c>
      <c r="L19" s="14">
        <f>IF(D19&gt;0, I19/D19, 0)</f>
        <v>7684.61538461538476</v>
      </c>
      <c r="M19" s="16">
        <f>IF(I19&gt;0, K19/I19, 0)</f>
        <v>1</v>
      </c>
      <c r="N19" s="16">
        <f>IF(I$5&gt;0, I19/I$5, 0)</f>
        <v>0.026066944296584</v>
      </c>
    </row>
    <row r="20" spans="1:14">
      <c r="A20" s="8">
        <v>13</v>
      </c>
      <c r="B20" s="6" t="s">
        <v>50</v>
      </c>
      <c r="C20" s="6" t="s">
        <v>158</v>
      </c>
      <c r="D20" s="10">
        <v>14</v>
      </c>
      <c r="E20" s="10">
        <v>9</v>
      </c>
      <c r="F20" s="10">
        <v>5</v>
      </c>
      <c r="G20" s="13">
        <v>70000.0</v>
      </c>
      <c r="H20" s="13"/>
      <c r="I20" s="13">
        <v>70000.0</v>
      </c>
      <c r="J20" s="13"/>
      <c r="K20" s="13">
        <v>70000.0</v>
      </c>
      <c r="L20" s="13">
        <f>IF(D20&gt;0, I20/D20, 0)</f>
        <v>5000</v>
      </c>
      <c r="M20" s="15">
        <f>IF(I20&gt;0, K20/I20, 0)</f>
        <v>1</v>
      </c>
      <c r="N20" s="15">
        <f>IF(I$5&gt;0, I20/I$5, 0)</f>
        <v>0.0036530252267485</v>
      </c>
    </row>
    <row r="21" spans="1:14">
      <c r="A21" s="9">
        <v>14</v>
      </c>
      <c r="B21" s="7" t="s">
        <v>50</v>
      </c>
      <c r="C21" s="7" t="s">
        <v>431</v>
      </c>
      <c r="D21" s="11">
        <v>2</v>
      </c>
      <c r="E21" s="11">
        <v>1</v>
      </c>
      <c r="F21" s="11">
        <v>1</v>
      </c>
      <c r="G21" s="14">
        <v>30000.0</v>
      </c>
      <c r="H21" s="14"/>
      <c r="I21" s="14">
        <v>30000.0</v>
      </c>
      <c r="J21" s="14"/>
      <c r="K21" s="14">
        <v>30000.0</v>
      </c>
      <c r="L21" s="14">
        <f>IF(D21&gt;0, I21/D21, 0)</f>
        <v>15000</v>
      </c>
      <c r="M21" s="16">
        <f>IF(I21&gt;0, K21/I21, 0)</f>
        <v>1</v>
      </c>
      <c r="N21" s="16">
        <f>IF(I$5&gt;0, I21/I$5, 0)</f>
        <v>0.0015655822400351</v>
      </c>
    </row>
    <row r="22" spans="1:14">
      <c r="A22" s="8">
        <v>15</v>
      </c>
      <c r="B22" s="6" t="s">
        <v>158</v>
      </c>
      <c r="C22" s="6" t="s">
        <v>158</v>
      </c>
      <c r="D22" s="10">
        <v>4</v>
      </c>
      <c r="E22" s="10">
        <v>4</v>
      </c>
      <c r="F22" s="10"/>
      <c r="G22" s="13">
        <v>20000.0</v>
      </c>
      <c r="H22" s="13"/>
      <c r="I22" s="13">
        <v>20000.0</v>
      </c>
      <c r="J22" s="13"/>
      <c r="K22" s="13">
        <v>20000.0</v>
      </c>
      <c r="L22" s="13">
        <f>IF(D22&gt;0, I22/D22, 0)</f>
        <v>5000</v>
      </c>
      <c r="M22" s="15">
        <f>IF(I22&gt;0, K22/I22, 0)</f>
        <v>1</v>
      </c>
      <c r="N22" s="15">
        <f>IF(I$5&gt;0, I22/I$5, 0)</f>
        <v>0.0010437214933567</v>
      </c>
    </row>
    <row r="23" spans="1:14">
      <c r="A23" s="9">
        <v>16</v>
      </c>
      <c r="B23" s="7" t="s">
        <v>34</v>
      </c>
      <c r="C23" s="7" t="s">
        <v>1852</v>
      </c>
      <c r="D23" s="11">
        <v>2</v>
      </c>
      <c r="E23" s="11">
        <v>2</v>
      </c>
      <c r="F23" s="11"/>
      <c r="G23" s="14">
        <v>19000.0</v>
      </c>
      <c r="H23" s="14"/>
      <c r="I23" s="14">
        <v>19000.0</v>
      </c>
      <c r="J23" s="14"/>
      <c r="K23" s="14">
        <v>19000.0</v>
      </c>
      <c r="L23" s="14">
        <f>IF(D23&gt;0, I23/D23, 0)</f>
        <v>9500</v>
      </c>
      <c r="M23" s="16">
        <f>IF(I23&gt;0, K23/I23, 0)</f>
        <v>1</v>
      </c>
      <c r="N23" s="16">
        <f>IF(I$5&gt;0, I23/I$5, 0)</f>
        <v>0.00099153541868888</v>
      </c>
    </row>
    <row r="24" spans="1:14">
      <c r="A24" s="8">
        <v>17</v>
      </c>
      <c r="B24" s="6" t="s">
        <v>133</v>
      </c>
      <c r="C24" s="6" t="s">
        <v>45</v>
      </c>
      <c r="D24" s="10">
        <v>1</v>
      </c>
      <c r="E24" s="10">
        <v>1</v>
      </c>
      <c r="F24" s="10"/>
      <c r="G24" s="13">
        <v>18000.0</v>
      </c>
      <c r="H24" s="13"/>
      <c r="I24" s="13">
        <v>18000.0</v>
      </c>
      <c r="J24" s="13"/>
      <c r="K24" s="13">
        <v>18000.0</v>
      </c>
      <c r="L24" s="13">
        <f>IF(D24&gt;0, I24/D24, 0)</f>
        <v>18000</v>
      </c>
      <c r="M24" s="15">
        <f>IF(I24&gt;0, K24/I24, 0)</f>
        <v>1</v>
      </c>
      <c r="N24" s="15">
        <f>IF(I$5&gt;0, I24/I$5, 0)</f>
        <v>0.00093934934402104</v>
      </c>
    </row>
    <row r="25" spans="1:14">
      <c r="A25" s="9">
        <v>18</v>
      </c>
      <c r="B25" s="7" t="s">
        <v>50</v>
      </c>
      <c r="C25" s="7" t="s">
        <v>1852</v>
      </c>
      <c r="D25" s="11">
        <v>1</v>
      </c>
      <c r="E25" s="11"/>
      <c r="F25" s="11">
        <v>1</v>
      </c>
      <c r="G25" s="14">
        <v>10000.0</v>
      </c>
      <c r="H25" s="14"/>
      <c r="I25" s="14">
        <v>10000.0</v>
      </c>
      <c r="J25" s="14"/>
      <c r="K25" s="14">
        <v>10000.0</v>
      </c>
      <c r="L25" s="14">
        <f>IF(D25&gt;0, I25/D25, 0)</f>
        <v>10000</v>
      </c>
      <c r="M25" s="16">
        <f>IF(I25&gt;0, K25/I25, 0)</f>
        <v>1</v>
      </c>
      <c r="N25" s="16">
        <f>IF(I$5&gt;0, I25/I$5, 0)</f>
        <v>0.00052186074667836</v>
      </c>
    </row>
    <row r="26" spans="1:14">
      <c r="A26" s="8">
        <v>19</v>
      </c>
      <c r="B26" s="6" t="s">
        <v>133</v>
      </c>
      <c r="C26" s="6" t="s">
        <v>56</v>
      </c>
      <c r="D26" s="10">
        <v>1</v>
      </c>
      <c r="E26" s="10"/>
      <c r="F26" s="10">
        <v>1</v>
      </c>
      <c r="G26" s="13">
        <v>9000.0</v>
      </c>
      <c r="H26" s="13"/>
      <c r="I26" s="13">
        <v>9000.0</v>
      </c>
      <c r="J26" s="13"/>
      <c r="K26" s="13">
        <v>9000.0</v>
      </c>
      <c r="L26" s="13">
        <f>IF(D26&gt;0, I26/D26, 0)</f>
        <v>9000</v>
      </c>
      <c r="M26" s="15">
        <f>IF(I26&gt;0, K26/I26, 0)</f>
        <v>1</v>
      </c>
      <c r="N26" s="15">
        <f>IF(I$5&gt;0, I26/I$5, 0)</f>
        <v>0.00046967467201052</v>
      </c>
    </row>
    <row r="27" spans="1:14">
      <c r="A27" s="9">
        <v>20</v>
      </c>
      <c r="B27" s="7" t="s">
        <v>133</v>
      </c>
      <c r="C27" s="7" t="s">
        <v>158</v>
      </c>
      <c r="D27" s="11">
        <v>1</v>
      </c>
      <c r="E27" s="11">
        <v>1</v>
      </c>
      <c r="F27" s="11"/>
      <c r="G27" s="14">
        <v>5000.0</v>
      </c>
      <c r="H27" s="14"/>
      <c r="I27" s="14">
        <v>5000.0</v>
      </c>
      <c r="J27" s="14"/>
      <c r="K27" s="14">
        <v>5000.0</v>
      </c>
      <c r="L27" s="14">
        <f>IF(D27&gt;0, I27/D27, 0)</f>
        <v>5000</v>
      </c>
      <c r="M27" s="16">
        <f>IF(I27&gt;0, K27/I27, 0)</f>
        <v>1</v>
      </c>
      <c r="N27" s="16">
        <f>IF(I$5&gt;0, I27/I$5, 0)</f>
        <v>0.00026093037333918</v>
      </c>
    </row>
    <row r="28" spans="1:14">
      <c r="A28" s="8">
        <v>21</v>
      </c>
      <c r="B28" s="6" t="s">
        <v>34</v>
      </c>
      <c r="C28" s="6" t="s">
        <v>158</v>
      </c>
      <c r="D28" s="10">
        <v>1</v>
      </c>
      <c r="E28" s="10">
        <v>1</v>
      </c>
      <c r="F28" s="10"/>
      <c r="G28" s="13">
        <v>5000.0</v>
      </c>
      <c r="H28" s="13"/>
      <c r="I28" s="13">
        <v>5000.0</v>
      </c>
      <c r="J28" s="13"/>
      <c r="K28" s="13">
        <v>5000.0</v>
      </c>
      <c r="L28" s="13">
        <f>IF(D28&gt;0, I28/D28, 0)</f>
        <v>5000</v>
      </c>
      <c r="M28" s="15">
        <f>IF(I28&gt;0, K28/I28, 0)</f>
        <v>1</v>
      </c>
      <c r="N28" s="15">
        <f>IF(I$5&gt;0, I28/I$5, 0)</f>
        <v>0.00026093037333918</v>
      </c>
    </row>
    <row r="29" spans="1:14">
      <c r="A29" s="5" t="s">
        <v>1988</v>
      </c>
      <c r="B29" s="5"/>
      <c r="C29" s="5"/>
      <c r="D29" s="12">
        <f>SUBTOTAL(109, D8:D28)</f>
        <v>1922</v>
      </c>
      <c r="E29" s="12">
        <f>SUBTOTAL(109, E8:E28)</f>
        <v>1676</v>
      </c>
      <c r="F29" s="12">
        <f>SUBTOTAL(109, F8:F28)</f>
        <v>246</v>
      </c>
      <c r="G29" s="18">
        <f>SUBTOTAL(109, G8:G28)</f>
        <v>19179900</v>
      </c>
      <c r="H29" s="18">
        <f>SUBTOTAL(109, H8:H28)</f>
        <v>17700</v>
      </c>
      <c r="I29" s="18">
        <f>SUBTOTAL(109, I8:I28)</f>
        <v>19162200</v>
      </c>
      <c r="J29" s="18">
        <f>SUBTOTAL(109, J8:J28)</f>
        <v>0</v>
      </c>
      <c r="K29" s="18">
        <f>SUBTOTAL(109, K8:K28)</f>
        <v>19162200</v>
      </c>
      <c r="L29" s="18">
        <f>IF(D29&gt;0, I29/D29, 0)</f>
        <v>9969.92715920915725</v>
      </c>
      <c r="M29" s="17">
        <f>IF(I29&gt;0, K29/I29, 0)</f>
        <v>1</v>
      </c>
      <c r="N29" s="17" t="s">
        <v>1981</v>
      </c>
    </row>
  </sheetData>
  <autoFilter ref="A7:N28"/>
  <mergeCells>
    <mergeCell ref="A5:C5"/>
    <mergeCell ref="A29:C2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O65"/>
  <sheetViews>
    <sheetView tabSelected="0" workbookViewId="0" showGridLines="true" showRowColHeaders="1">
      <pane ySplit="7" activePane="bottomLeft" state="frozen" topLeftCell="A8"/>
      <selection pane="bottomLeft" activeCell="O8" sqref="O8:O65"/>
    </sheetView>
  </sheetViews>
  <sheetFormatPr defaultRowHeight="14.4" outlineLevelRow="0" outlineLevelCol="0"/>
  <cols>
    <col min="1" max="1" width="121.316" bestFit="true" customWidth="true" style="0"/>
    <col min="2" max="2" width="22.164" bestFit="true" customWidth="true" style="0"/>
    <col min="3" max="3" width="14.331" bestFit="true" customWidth="true" style="0"/>
    <col min="4" max="4" width="17.664" bestFit="true" customWidth="true" style="0"/>
    <col min="5" max="5" width="23.497" bestFit="true" customWidth="true" style="0"/>
    <col min="6" max="6" width="25.663" bestFit="true" customWidth="true" style="0"/>
    <col min="7" max="7" width="24.497" bestFit="true" customWidth="true" style="0"/>
    <col min="8" max="8" width="24.497" bestFit="true" customWidth="true" style="0"/>
    <col min="9" max="9" width="23.497" bestFit="true" customWidth="true" style="0"/>
    <col min="10" max="10" width="15.498" bestFit="true" customWidth="true" style="0"/>
    <col min="11" max="11" width="31.162" bestFit="true" customWidth="true" style="0"/>
    <col min="12" max="12" width="23.497" bestFit="true" customWidth="true" style="0"/>
    <col min="13" max="13" width="25.663" bestFit="true" customWidth="true" style="0"/>
    <col min="14" max="14" width="25.663" bestFit="true" customWidth="true" style="0"/>
    <col min="15" max="15" width="24.497" bestFit="true" customWidth="true" style="0"/>
  </cols>
  <sheetData>
    <row r="2" spans="1:15">
      <c r="A2" s="1" t="s">
        <v>1989</v>
      </c>
    </row>
    <row r="3" spans="1:15">
      <c r="A3" s="2" t="s">
        <v>1984</v>
      </c>
    </row>
    <row r="5" spans="1:15" customHeight="1" ht="22">
      <c r="A5" s="4" t="s">
        <v>1892</v>
      </c>
      <c r="B5" s="4"/>
      <c r="C5" s="4"/>
      <c r="D5" s="4"/>
      <c r="E5" s="4">
        <f>SUBTOTAL(109, E8:E64)</f>
        <v>1541</v>
      </c>
      <c r="F5" s="4">
        <f>SUBTOTAL(109, F8:F64)</f>
        <v>1922</v>
      </c>
      <c r="G5" s="4">
        <f>SUBTOTAL(109, G8:G64)</f>
        <v>1676</v>
      </c>
      <c r="H5" s="4">
        <f>SUBTOTAL(109, H8:H64)</f>
        <v>246</v>
      </c>
      <c r="I5" s="4">
        <f>SUBTOTAL(109, I8:I64)</f>
        <v>19179900</v>
      </c>
      <c r="J5" s="4">
        <f>SUBTOTAL(109, J8:J64)</f>
        <v>17700</v>
      </c>
      <c r="K5" s="4">
        <f>SUBTOTAL(109, K8:K64)</f>
        <v>19162200</v>
      </c>
      <c r="L5" s="4">
        <f>SUBTOTAL(109, L8:L64)</f>
        <v>0</v>
      </c>
      <c r="M5" s="4">
        <f>SUBTOTAL(109, M8:M64)</f>
        <v>19162200</v>
      </c>
      <c r="N5" s="4">
        <f>IF(E5&gt;0, K5/E5, 0)</f>
        <v>12434.91239454899369</v>
      </c>
      <c r="O5" s="4">
        <f>IF(E5&gt;0, F5/E5, 0)</f>
        <v>1.24724205061648</v>
      </c>
    </row>
    <row r="7" spans="1:15" customHeight="1" ht="28">
      <c r="A7" s="3" t="s">
        <v>2</v>
      </c>
      <c r="B7" s="3" t="s">
        <v>1990</v>
      </c>
      <c r="C7" s="3" t="s">
        <v>1991</v>
      </c>
      <c r="D7" s="3" t="s">
        <v>1992</v>
      </c>
      <c r="E7" s="3" t="s">
        <v>1993</v>
      </c>
      <c r="F7" s="3" t="s">
        <v>1994</v>
      </c>
      <c r="G7" s="3" t="s">
        <v>1897</v>
      </c>
      <c r="H7" s="3" t="s">
        <v>1898</v>
      </c>
      <c r="I7" s="3" t="s">
        <v>18</v>
      </c>
      <c r="J7" s="3" t="s">
        <v>1899</v>
      </c>
      <c r="K7" s="3" t="s">
        <v>1900</v>
      </c>
      <c r="L7" s="3" t="s">
        <v>1995</v>
      </c>
      <c r="M7" s="3" t="s">
        <v>23</v>
      </c>
      <c r="N7" s="3" t="s">
        <v>1996</v>
      </c>
      <c r="O7" s="3" t="s">
        <v>1997</v>
      </c>
    </row>
    <row r="8" spans="1:15">
      <c r="A8" s="8">
        <v>1</v>
      </c>
      <c r="B8" s="8" t="s">
        <v>32</v>
      </c>
      <c r="C8" s="8" t="s">
        <v>1998</v>
      </c>
      <c r="D8" s="8" t="s">
        <v>1999</v>
      </c>
      <c r="E8" s="10">
        <v>3</v>
      </c>
      <c r="F8" s="10">
        <v>3</v>
      </c>
      <c r="G8" s="10">
        <v>3</v>
      </c>
      <c r="H8" s="10"/>
      <c r="I8" s="13">
        <v>34000.0</v>
      </c>
      <c r="J8" s="13"/>
      <c r="K8" s="13">
        <v>34000.0</v>
      </c>
      <c r="L8" s="13"/>
      <c r="M8" s="13">
        <v>34000.0</v>
      </c>
      <c r="N8" s="13">
        <f>IF(E8&gt;0, K8/E8, 0)</f>
        <v>11333.33333333333394</v>
      </c>
      <c r="O8" s="21">
        <f>IF(E8&gt;0, F8/E8, 0)</f>
        <v>1</v>
      </c>
    </row>
    <row r="9" spans="1:15">
      <c r="A9" s="9">
        <v>2</v>
      </c>
      <c r="B9" s="9" t="s">
        <v>32</v>
      </c>
      <c r="C9" s="9" t="s">
        <v>2000</v>
      </c>
      <c r="D9" s="9" t="s">
        <v>2001</v>
      </c>
      <c r="E9" s="11">
        <v>21</v>
      </c>
      <c r="F9" s="11">
        <v>23</v>
      </c>
      <c r="G9" s="11">
        <v>15</v>
      </c>
      <c r="H9" s="11">
        <v>8</v>
      </c>
      <c r="I9" s="14">
        <v>233000.0</v>
      </c>
      <c r="J9" s="14"/>
      <c r="K9" s="14">
        <v>233000.0</v>
      </c>
      <c r="L9" s="14"/>
      <c r="M9" s="14">
        <v>233000.0</v>
      </c>
      <c r="N9" s="14">
        <f>IF(E9&gt;0, K9/E9, 0)</f>
        <v>11095.23809523809541</v>
      </c>
      <c r="O9" s="22">
        <f>IF(E9&gt;0, F9/E9, 0)</f>
        <v>1.095238095238095</v>
      </c>
    </row>
    <row r="10" spans="1:15">
      <c r="A10" s="8">
        <v>3</v>
      </c>
      <c r="B10" s="8" t="s">
        <v>32</v>
      </c>
      <c r="C10" s="8" t="s">
        <v>2002</v>
      </c>
      <c r="D10" s="8" t="s">
        <v>2003</v>
      </c>
      <c r="E10" s="10">
        <v>8</v>
      </c>
      <c r="F10" s="10">
        <v>11</v>
      </c>
      <c r="G10" s="10">
        <v>11</v>
      </c>
      <c r="H10" s="10"/>
      <c r="I10" s="13">
        <v>93500.0</v>
      </c>
      <c r="J10" s="13"/>
      <c r="K10" s="13">
        <v>93500.0</v>
      </c>
      <c r="L10" s="13"/>
      <c r="M10" s="13">
        <v>93500.0</v>
      </c>
      <c r="N10" s="13">
        <f>IF(E10&gt;0, K10/E10, 0)</f>
        <v>11687.5</v>
      </c>
      <c r="O10" s="21">
        <f>IF(E10&gt;0, F10/E10, 0)</f>
        <v>1.375</v>
      </c>
    </row>
    <row r="11" spans="1:15">
      <c r="A11" s="9">
        <v>4</v>
      </c>
      <c r="B11" s="9" t="s">
        <v>32</v>
      </c>
      <c r="C11" s="9" t="s">
        <v>2004</v>
      </c>
      <c r="D11" s="9" t="s">
        <v>2005</v>
      </c>
      <c r="E11" s="11">
        <v>28</v>
      </c>
      <c r="F11" s="11">
        <v>31</v>
      </c>
      <c r="G11" s="11">
        <v>31</v>
      </c>
      <c r="H11" s="11"/>
      <c r="I11" s="14">
        <v>369000.0</v>
      </c>
      <c r="J11" s="14"/>
      <c r="K11" s="14">
        <v>369000.0</v>
      </c>
      <c r="L11" s="14"/>
      <c r="M11" s="14">
        <v>369000.0</v>
      </c>
      <c r="N11" s="14">
        <f>IF(E11&gt;0, K11/E11, 0)</f>
        <v>13178.57142857142935</v>
      </c>
      <c r="O11" s="22">
        <f>IF(E11&gt;0, F11/E11, 0)</f>
        <v>1.10714285714286</v>
      </c>
    </row>
    <row r="12" spans="1:15">
      <c r="A12" s="8">
        <v>5</v>
      </c>
      <c r="B12" s="8" t="s">
        <v>198</v>
      </c>
      <c r="C12" s="8" t="s">
        <v>2006</v>
      </c>
      <c r="D12" s="8" t="s">
        <v>2001</v>
      </c>
      <c r="E12" s="10">
        <v>71</v>
      </c>
      <c r="F12" s="10">
        <v>83</v>
      </c>
      <c r="G12" s="10">
        <v>76</v>
      </c>
      <c r="H12" s="10">
        <v>7</v>
      </c>
      <c r="I12" s="13">
        <v>893000.0</v>
      </c>
      <c r="J12" s="13">
        <v>1200.0</v>
      </c>
      <c r="K12" s="13">
        <v>891800.0</v>
      </c>
      <c r="L12" s="13"/>
      <c r="M12" s="13">
        <v>891800.0</v>
      </c>
      <c r="N12" s="13">
        <f>IF(E12&gt;0, K12/E12, 0)</f>
        <v>12560.56338028169012</v>
      </c>
      <c r="O12" s="21">
        <f>IF(E12&gt;0, F12/E12, 0)</f>
        <v>1.16901408450704</v>
      </c>
    </row>
    <row r="13" spans="1:15">
      <c r="A13" s="9">
        <v>6</v>
      </c>
      <c r="B13" s="9" t="s">
        <v>198</v>
      </c>
      <c r="C13" s="9" t="s">
        <v>2007</v>
      </c>
      <c r="D13" s="9" t="s">
        <v>2003</v>
      </c>
      <c r="E13" s="11">
        <v>6</v>
      </c>
      <c r="F13" s="11">
        <v>6</v>
      </c>
      <c r="G13" s="11">
        <v>6</v>
      </c>
      <c r="H13" s="11"/>
      <c r="I13" s="14">
        <v>62000.0</v>
      </c>
      <c r="J13" s="14"/>
      <c r="K13" s="14">
        <v>62000.0</v>
      </c>
      <c r="L13" s="14"/>
      <c r="M13" s="14">
        <v>62000.0</v>
      </c>
      <c r="N13" s="14">
        <f>IF(E13&gt;0, K13/E13, 0)</f>
        <v>10333.33333333333394</v>
      </c>
      <c r="O13" s="22">
        <f>IF(E13&gt;0, F13/E13, 0)</f>
        <v>1</v>
      </c>
    </row>
    <row r="14" spans="1:15">
      <c r="A14" s="8">
        <v>7</v>
      </c>
      <c r="B14" s="8" t="s">
        <v>198</v>
      </c>
      <c r="C14" s="8" t="s">
        <v>2008</v>
      </c>
      <c r="D14" s="8" t="s">
        <v>2005</v>
      </c>
      <c r="E14" s="10">
        <v>14</v>
      </c>
      <c r="F14" s="10">
        <v>15</v>
      </c>
      <c r="G14" s="10">
        <v>12</v>
      </c>
      <c r="H14" s="10">
        <v>3</v>
      </c>
      <c r="I14" s="13">
        <v>136500.0</v>
      </c>
      <c r="J14" s="13"/>
      <c r="K14" s="13">
        <v>136500.0</v>
      </c>
      <c r="L14" s="13"/>
      <c r="M14" s="13">
        <v>136500.0</v>
      </c>
      <c r="N14" s="13">
        <f>IF(E14&gt;0, K14/E14, 0)</f>
        <v>9750</v>
      </c>
      <c r="O14" s="21">
        <f>IF(E14&gt;0, F14/E14, 0)</f>
        <v>1.071428571428571</v>
      </c>
    </row>
    <row r="15" spans="1:15">
      <c r="A15" s="9">
        <v>8</v>
      </c>
      <c r="B15" s="9" t="s">
        <v>198</v>
      </c>
      <c r="C15" s="9" t="s">
        <v>2009</v>
      </c>
      <c r="D15" s="9" t="s">
        <v>2010</v>
      </c>
      <c r="E15" s="11">
        <v>15</v>
      </c>
      <c r="F15" s="11">
        <v>16</v>
      </c>
      <c r="G15" s="11">
        <v>16</v>
      </c>
      <c r="H15" s="11"/>
      <c r="I15" s="14">
        <v>168000.0</v>
      </c>
      <c r="J15" s="14"/>
      <c r="K15" s="14">
        <v>168000.0</v>
      </c>
      <c r="L15" s="14"/>
      <c r="M15" s="14">
        <v>168000.0</v>
      </c>
      <c r="N15" s="14">
        <f>IF(E15&gt;0, K15/E15, 0)</f>
        <v>11200</v>
      </c>
      <c r="O15" s="22">
        <f>IF(E15&gt;0, F15/E15, 0)</f>
        <v>1.066666666666667</v>
      </c>
    </row>
    <row r="16" spans="1:15">
      <c r="A16" s="8">
        <v>9</v>
      </c>
      <c r="B16" s="8" t="s">
        <v>198</v>
      </c>
      <c r="C16" s="8" t="s">
        <v>2011</v>
      </c>
      <c r="D16" s="8" t="s">
        <v>2012</v>
      </c>
      <c r="E16" s="10">
        <v>16</v>
      </c>
      <c r="F16" s="10">
        <v>17</v>
      </c>
      <c r="G16" s="10">
        <v>12</v>
      </c>
      <c r="H16" s="10">
        <v>5</v>
      </c>
      <c r="I16" s="13">
        <v>174000.0</v>
      </c>
      <c r="J16" s="13"/>
      <c r="K16" s="13">
        <v>174000.0</v>
      </c>
      <c r="L16" s="13"/>
      <c r="M16" s="13">
        <v>174000.0</v>
      </c>
      <c r="N16" s="13">
        <f>IF(E16&gt;0, K16/E16, 0)</f>
        <v>10875</v>
      </c>
      <c r="O16" s="21">
        <f>IF(E16&gt;0, F16/E16, 0)</f>
        <v>1.0625</v>
      </c>
    </row>
    <row r="17" spans="1:15">
      <c r="A17" s="9">
        <v>10</v>
      </c>
      <c r="B17" s="9" t="s">
        <v>198</v>
      </c>
      <c r="C17" s="9" t="s">
        <v>2013</v>
      </c>
      <c r="D17" s="9" t="s">
        <v>1999</v>
      </c>
      <c r="E17" s="11">
        <v>7</v>
      </c>
      <c r="F17" s="11">
        <v>8</v>
      </c>
      <c r="G17" s="11">
        <v>7</v>
      </c>
      <c r="H17" s="11">
        <v>1</v>
      </c>
      <c r="I17" s="14">
        <v>83000.0</v>
      </c>
      <c r="J17" s="14"/>
      <c r="K17" s="14">
        <v>83000.0</v>
      </c>
      <c r="L17" s="14"/>
      <c r="M17" s="14">
        <v>83000.0</v>
      </c>
      <c r="N17" s="14">
        <f>IF(E17&gt;0, K17/E17, 0)</f>
        <v>11857.14285714285688</v>
      </c>
      <c r="O17" s="22">
        <f>IF(E17&gt;0, F17/E17, 0)</f>
        <v>1.14285714285714</v>
      </c>
    </row>
    <row r="18" spans="1:15">
      <c r="A18" s="8">
        <v>11</v>
      </c>
      <c r="B18" s="8" t="s">
        <v>198</v>
      </c>
      <c r="C18" s="8" t="s">
        <v>2014</v>
      </c>
      <c r="D18" s="8" t="s">
        <v>2001</v>
      </c>
      <c r="E18" s="10">
        <v>13</v>
      </c>
      <c r="F18" s="10">
        <v>13</v>
      </c>
      <c r="G18" s="10">
        <v>8</v>
      </c>
      <c r="H18" s="10">
        <v>5</v>
      </c>
      <c r="I18" s="13">
        <v>142000.0</v>
      </c>
      <c r="J18" s="13"/>
      <c r="K18" s="13">
        <v>142000.0</v>
      </c>
      <c r="L18" s="13"/>
      <c r="M18" s="13">
        <v>142000.0</v>
      </c>
      <c r="N18" s="13">
        <f>IF(E18&gt;0, K18/E18, 0)</f>
        <v>10923.076923076923777</v>
      </c>
      <c r="O18" s="21">
        <f>IF(E18&gt;0, F18/E18, 0)</f>
        <v>1</v>
      </c>
    </row>
    <row r="19" spans="1:15">
      <c r="A19" s="9">
        <v>12</v>
      </c>
      <c r="B19" s="9" t="s">
        <v>198</v>
      </c>
      <c r="C19" s="9" t="s">
        <v>2015</v>
      </c>
      <c r="D19" s="9" t="s">
        <v>2003</v>
      </c>
      <c r="E19" s="11">
        <v>17</v>
      </c>
      <c r="F19" s="11">
        <v>19</v>
      </c>
      <c r="G19" s="11">
        <v>18</v>
      </c>
      <c r="H19" s="11">
        <v>1</v>
      </c>
      <c r="I19" s="14">
        <v>205500.0</v>
      </c>
      <c r="J19" s="14"/>
      <c r="K19" s="14">
        <v>205500.0</v>
      </c>
      <c r="L19" s="14"/>
      <c r="M19" s="14">
        <v>205500.0</v>
      </c>
      <c r="N19" s="14">
        <f>IF(E19&gt;0, K19/E19, 0)</f>
        <v>12088.23529411764684</v>
      </c>
      <c r="O19" s="22">
        <f>IF(E19&gt;0, F19/E19, 0)</f>
        <v>1.11764705882353</v>
      </c>
    </row>
    <row r="20" spans="1:15">
      <c r="A20" s="8">
        <v>13</v>
      </c>
      <c r="B20" s="8" t="s">
        <v>198</v>
      </c>
      <c r="C20" s="8" t="s">
        <v>2016</v>
      </c>
      <c r="D20" s="8" t="s">
        <v>2017</v>
      </c>
      <c r="E20" s="10">
        <v>1</v>
      </c>
      <c r="F20" s="10">
        <v>1</v>
      </c>
      <c r="G20" s="10">
        <v>1</v>
      </c>
      <c r="H20" s="10"/>
      <c r="I20" s="13">
        <v>7000.0</v>
      </c>
      <c r="J20" s="13"/>
      <c r="K20" s="13">
        <v>7000.0</v>
      </c>
      <c r="L20" s="13"/>
      <c r="M20" s="13">
        <v>7000.0</v>
      </c>
      <c r="N20" s="13">
        <f>IF(E20&gt;0, K20/E20, 0)</f>
        <v>7000</v>
      </c>
      <c r="O20" s="21">
        <f>IF(E20&gt;0, F20/E20, 0)</f>
        <v>1</v>
      </c>
    </row>
    <row r="21" spans="1:15">
      <c r="A21" s="9">
        <v>14</v>
      </c>
      <c r="B21" s="9" t="s">
        <v>198</v>
      </c>
      <c r="C21" s="9" t="s">
        <v>2018</v>
      </c>
      <c r="D21" s="9" t="s">
        <v>2005</v>
      </c>
      <c r="E21" s="11">
        <v>8</v>
      </c>
      <c r="F21" s="11">
        <v>10</v>
      </c>
      <c r="G21" s="11">
        <v>1</v>
      </c>
      <c r="H21" s="11">
        <v>9</v>
      </c>
      <c r="I21" s="14">
        <v>90000.0</v>
      </c>
      <c r="J21" s="14"/>
      <c r="K21" s="14">
        <v>90000.0</v>
      </c>
      <c r="L21" s="14"/>
      <c r="M21" s="14">
        <v>90000.0</v>
      </c>
      <c r="N21" s="14">
        <f>IF(E21&gt;0, K21/E21, 0)</f>
        <v>11250</v>
      </c>
      <c r="O21" s="22">
        <f>IF(E21&gt;0, F21/E21, 0)</f>
        <v>1.25</v>
      </c>
    </row>
    <row r="22" spans="1:15">
      <c r="A22" s="8">
        <v>15</v>
      </c>
      <c r="B22" s="8" t="s">
        <v>198</v>
      </c>
      <c r="C22" s="8" t="s">
        <v>2019</v>
      </c>
      <c r="D22" s="8" t="s">
        <v>2010</v>
      </c>
      <c r="E22" s="10">
        <v>12</v>
      </c>
      <c r="F22" s="10">
        <v>12</v>
      </c>
      <c r="G22" s="10">
        <v>12</v>
      </c>
      <c r="H22" s="10"/>
      <c r="I22" s="13">
        <v>148000.0</v>
      </c>
      <c r="J22" s="13"/>
      <c r="K22" s="13">
        <v>148000.0</v>
      </c>
      <c r="L22" s="13"/>
      <c r="M22" s="13">
        <v>148000.0</v>
      </c>
      <c r="N22" s="13">
        <f>IF(E22&gt;0, K22/E22, 0)</f>
        <v>12333.33333333333394</v>
      </c>
      <c r="O22" s="21">
        <f>IF(E22&gt;0, F22/E22, 0)</f>
        <v>1</v>
      </c>
    </row>
    <row r="23" spans="1:15">
      <c r="A23" s="9">
        <v>16</v>
      </c>
      <c r="B23" s="9" t="s">
        <v>198</v>
      </c>
      <c r="C23" s="9" t="s">
        <v>2020</v>
      </c>
      <c r="D23" s="9" t="s">
        <v>2012</v>
      </c>
      <c r="E23" s="11">
        <v>12</v>
      </c>
      <c r="F23" s="11">
        <v>13</v>
      </c>
      <c r="G23" s="11">
        <v>8</v>
      </c>
      <c r="H23" s="11">
        <v>5</v>
      </c>
      <c r="I23" s="14">
        <v>130000.0</v>
      </c>
      <c r="J23" s="14"/>
      <c r="K23" s="14">
        <v>130000.0</v>
      </c>
      <c r="L23" s="14"/>
      <c r="M23" s="14">
        <v>130000.0</v>
      </c>
      <c r="N23" s="14">
        <f>IF(E23&gt;0, K23/E23, 0)</f>
        <v>10833.33333333333394</v>
      </c>
      <c r="O23" s="22">
        <f>IF(E23&gt;0, F23/E23, 0)</f>
        <v>1.083333333333333</v>
      </c>
    </row>
    <row r="24" spans="1:15">
      <c r="A24" s="8">
        <v>17</v>
      </c>
      <c r="B24" s="8" t="s">
        <v>198</v>
      </c>
      <c r="C24" s="8" t="s">
        <v>2021</v>
      </c>
      <c r="D24" s="8" t="s">
        <v>1999</v>
      </c>
      <c r="E24" s="10">
        <v>12</v>
      </c>
      <c r="F24" s="10">
        <v>14</v>
      </c>
      <c r="G24" s="10">
        <v>11</v>
      </c>
      <c r="H24" s="10">
        <v>3</v>
      </c>
      <c r="I24" s="13">
        <v>151500.0</v>
      </c>
      <c r="J24" s="13"/>
      <c r="K24" s="13">
        <v>151500.0</v>
      </c>
      <c r="L24" s="13"/>
      <c r="M24" s="13">
        <v>151500.0</v>
      </c>
      <c r="N24" s="13">
        <f>IF(E24&gt;0, K24/E24, 0)</f>
        <v>12625</v>
      </c>
      <c r="O24" s="21">
        <f>IF(E24&gt;0, F24/E24, 0)</f>
        <v>1.16666666666667</v>
      </c>
    </row>
    <row r="25" spans="1:15">
      <c r="A25" s="9">
        <v>18</v>
      </c>
      <c r="B25" s="9" t="s">
        <v>198</v>
      </c>
      <c r="C25" s="9" t="s">
        <v>2022</v>
      </c>
      <c r="D25" s="9" t="s">
        <v>2001</v>
      </c>
      <c r="E25" s="11">
        <v>7</v>
      </c>
      <c r="F25" s="11">
        <v>7</v>
      </c>
      <c r="G25" s="11">
        <v>6</v>
      </c>
      <c r="H25" s="11">
        <v>1</v>
      </c>
      <c r="I25" s="14">
        <v>78000.0</v>
      </c>
      <c r="J25" s="14"/>
      <c r="K25" s="14">
        <v>78000.0</v>
      </c>
      <c r="L25" s="14"/>
      <c r="M25" s="14">
        <v>78000.0</v>
      </c>
      <c r="N25" s="14">
        <f>IF(E25&gt;0, K25/E25, 0)</f>
        <v>11142.85714285714312</v>
      </c>
      <c r="O25" s="22">
        <f>IF(E25&gt;0, F25/E25, 0)</f>
        <v>1</v>
      </c>
    </row>
    <row r="26" spans="1:15">
      <c r="A26" s="8">
        <v>19</v>
      </c>
      <c r="B26" s="8" t="s">
        <v>198</v>
      </c>
      <c r="C26" s="8" t="s">
        <v>2023</v>
      </c>
      <c r="D26" s="8" t="s">
        <v>2003</v>
      </c>
      <c r="E26" s="10">
        <v>12</v>
      </c>
      <c r="F26" s="10">
        <v>15</v>
      </c>
      <c r="G26" s="10">
        <v>14</v>
      </c>
      <c r="H26" s="10">
        <v>1</v>
      </c>
      <c r="I26" s="13">
        <v>142500.0</v>
      </c>
      <c r="J26" s="13"/>
      <c r="K26" s="13">
        <v>142500.0</v>
      </c>
      <c r="L26" s="13"/>
      <c r="M26" s="13">
        <v>142500.0</v>
      </c>
      <c r="N26" s="13">
        <f>IF(E26&gt;0, K26/E26, 0)</f>
        <v>11875</v>
      </c>
      <c r="O26" s="21">
        <f>IF(E26&gt;0, F26/E26, 0)</f>
        <v>1.25</v>
      </c>
    </row>
    <row r="27" spans="1:15">
      <c r="A27" s="9">
        <v>20</v>
      </c>
      <c r="B27" s="9" t="s">
        <v>198</v>
      </c>
      <c r="C27" s="9" t="s">
        <v>2024</v>
      </c>
      <c r="D27" s="9" t="s">
        <v>2017</v>
      </c>
      <c r="E27" s="11">
        <v>4</v>
      </c>
      <c r="F27" s="11">
        <v>6</v>
      </c>
      <c r="G27" s="11">
        <v>6</v>
      </c>
      <c r="H27" s="11"/>
      <c r="I27" s="14">
        <v>61500.0</v>
      </c>
      <c r="J27" s="14"/>
      <c r="K27" s="14">
        <v>61500.0</v>
      </c>
      <c r="L27" s="14"/>
      <c r="M27" s="14">
        <v>61500.0</v>
      </c>
      <c r="N27" s="14">
        <f>IF(E27&gt;0, K27/E27, 0)</f>
        <v>15375</v>
      </c>
      <c r="O27" s="22">
        <f>IF(E27&gt;0, F27/E27, 0)</f>
        <v>1.5</v>
      </c>
    </row>
    <row r="28" spans="1:15">
      <c r="A28" s="8">
        <v>21</v>
      </c>
      <c r="B28" s="8" t="s">
        <v>198</v>
      </c>
      <c r="C28" s="8" t="s">
        <v>2025</v>
      </c>
      <c r="D28" s="8" t="s">
        <v>2010</v>
      </c>
      <c r="E28" s="10">
        <v>1</v>
      </c>
      <c r="F28" s="10">
        <v>1</v>
      </c>
      <c r="G28" s="10">
        <v>1</v>
      </c>
      <c r="H28" s="10"/>
      <c r="I28" s="13">
        <v>8000.0</v>
      </c>
      <c r="J28" s="13"/>
      <c r="K28" s="13">
        <v>8000.0</v>
      </c>
      <c r="L28" s="13"/>
      <c r="M28" s="13">
        <v>8000.0</v>
      </c>
      <c r="N28" s="13">
        <f>IF(E28&gt;0, K28/E28, 0)</f>
        <v>8000</v>
      </c>
      <c r="O28" s="21">
        <f>IF(E28&gt;0, F28/E28, 0)</f>
        <v>1</v>
      </c>
    </row>
    <row r="29" spans="1:15">
      <c r="A29" s="9">
        <v>22</v>
      </c>
      <c r="B29" s="9" t="s">
        <v>198</v>
      </c>
      <c r="C29" s="9" t="s">
        <v>2026</v>
      </c>
      <c r="D29" s="9" t="s">
        <v>2012</v>
      </c>
      <c r="E29" s="11">
        <v>4</v>
      </c>
      <c r="F29" s="11">
        <v>4</v>
      </c>
      <c r="G29" s="11">
        <v>3</v>
      </c>
      <c r="H29" s="11">
        <v>1</v>
      </c>
      <c r="I29" s="14">
        <v>42500.0</v>
      </c>
      <c r="J29" s="14"/>
      <c r="K29" s="14">
        <v>42500.0</v>
      </c>
      <c r="L29" s="14"/>
      <c r="M29" s="14">
        <v>42500.0</v>
      </c>
      <c r="N29" s="14">
        <f>IF(E29&gt;0, K29/E29, 0)</f>
        <v>10625</v>
      </c>
      <c r="O29" s="22">
        <f>IF(E29&gt;0, F29/E29, 0)</f>
        <v>1</v>
      </c>
    </row>
    <row r="30" spans="1:15">
      <c r="A30" s="8">
        <v>23</v>
      </c>
      <c r="B30" s="8" t="s">
        <v>198</v>
      </c>
      <c r="C30" s="8" t="s">
        <v>2027</v>
      </c>
      <c r="D30" s="8" t="s">
        <v>1999</v>
      </c>
      <c r="E30" s="10">
        <v>6</v>
      </c>
      <c r="F30" s="10">
        <v>6</v>
      </c>
      <c r="G30" s="10">
        <v>3</v>
      </c>
      <c r="H30" s="10">
        <v>3</v>
      </c>
      <c r="I30" s="13">
        <v>61000.0</v>
      </c>
      <c r="J30" s="13"/>
      <c r="K30" s="13">
        <v>61000.0</v>
      </c>
      <c r="L30" s="13"/>
      <c r="M30" s="13">
        <v>61000.0</v>
      </c>
      <c r="N30" s="13">
        <f>IF(E30&gt;0, K30/E30, 0)</f>
        <v>10166.66666666666606</v>
      </c>
      <c r="O30" s="21">
        <f>IF(E30&gt;0, F30/E30, 0)</f>
        <v>1</v>
      </c>
    </row>
    <row r="31" spans="1:15">
      <c r="A31" s="9">
        <v>24</v>
      </c>
      <c r="B31" s="9" t="s">
        <v>198</v>
      </c>
      <c r="C31" s="9" t="s">
        <v>2028</v>
      </c>
      <c r="D31" s="9" t="s">
        <v>2001</v>
      </c>
      <c r="E31" s="11">
        <v>9</v>
      </c>
      <c r="F31" s="11">
        <v>9</v>
      </c>
      <c r="G31" s="11">
        <v>9</v>
      </c>
      <c r="H31" s="11"/>
      <c r="I31" s="14">
        <v>95000.0</v>
      </c>
      <c r="J31" s="14"/>
      <c r="K31" s="14">
        <v>95000.0</v>
      </c>
      <c r="L31" s="14"/>
      <c r="M31" s="14">
        <v>95000.0</v>
      </c>
      <c r="N31" s="14">
        <f>IF(E31&gt;0, K31/E31, 0)</f>
        <v>10555.55555555555475</v>
      </c>
      <c r="O31" s="22">
        <f>IF(E31&gt;0, F31/E31, 0)</f>
        <v>1</v>
      </c>
    </row>
    <row r="32" spans="1:15">
      <c r="A32" s="8">
        <v>25</v>
      </c>
      <c r="B32" s="8" t="s">
        <v>198</v>
      </c>
      <c r="C32" s="8" t="s">
        <v>2029</v>
      </c>
      <c r="D32" s="8" t="s">
        <v>2003</v>
      </c>
      <c r="E32" s="10">
        <v>6</v>
      </c>
      <c r="F32" s="10">
        <v>6</v>
      </c>
      <c r="G32" s="10">
        <v>6</v>
      </c>
      <c r="H32" s="10"/>
      <c r="I32" s="13">
        <v>64000.0</v>
      </c>
      <c r="J32" s="13"/>
      <c r="K32" s="13">
        <v>64000.0</v>
      </c>
      <c r="L32" s="13"/>
      <c r="M32" s="13">
        <v>64000.0</v>
      </c>
      <c r="N32" s="13">
        <f>IF(E32&gt;0, K32/E32, 0)</f>
        <v>10666.66666666666606</v>
      </c>
      <c r="O32" s="21">
        <f>IF(E32&gt;0, F32/E32, 0)</f>
        <v>1</v>
      </c>
    </row>
    <row r="33" spans="1:15">
      <c r="A33" s="9">
        <v>26</v>
      </c>
      <c r="B33" s="9" t="s">
        <v>198</v>
      </c>
      <c r="C33" s="9" t="s">
        <v>2030</v>
      </c>
      <c r="D33" s="9" t="s">
        <v>2017</v>
      </c>
      <c r="E33" s="11">
        <v>10</v>
      </c>
      <c r="F33" s="11">
        <v>12</v>
      </c>
      <c r="G33" s="11">
        <v>8</v>
      </c>
      <c r="H33" s="11">
        <v>4</v>
      </c>
      <c r="I33" s="14">
        <v>137500.0</v>
      </c>
      <c r="J33" s="14"/>
      <c r="K33" s="14">
        <v>137500.0</v>
      </c>
      <c r="L33" s="14"/>
      <c r="M33" s="14">
        <v>137500.0</v>
      </c>
      <c r="N33" s="14">
        <f>IF(E33&gt;0, K33/E33, 0)</f>
        <v>13750</v>
      </c>
      <c r="O33" s="22">
        <f>IF(E33&gt;0, F33/E33, 0)</f>
        <v>1.2</v>
      </c>
    </row>
    <row r="34" spans="1:15">
      <c r="A34" s="8">
        <v>27</v>
      </c>
      <c r="B34" s="8" t="s">
        <v>198</v>
      </c>
      <c r="C34" s="8" t="s">
        <v>2031</v>
      </c>
      <c r="D34" s="8" t="s">
        <v>2005</v>
      </c>
      <c r="E34" s="10">
        <v>27</v>
      </c>
      <c r="F34" s="10">
        <v>30</v>
      </c>
      <c r="G34" s="10">
        <v>22</v>
      </c>
      <c r="H34" s="10">
        <v>8</v>
      </c>
      <c r="I34" s="13">
        <v>294000.0</v>
      </c>
      <c r="J34" s="13"/>
      <c r="K34" s="13">
        <v>294000.0</v>
      </c>
      <c r="L34" s="13"/>
      <c r="M34" s="13">
        <v>294000.0</v>
      </c>
      <c r="N34" s="13">
        <f>IF(E34&gt;0, K34/E34, 0)</f>
        <v>10888.88888888888869</v>
      </c>
      <c r="O34" s="21">
        <f>IF(E34&gt;0, F34/E34, 0)</f>
        <v>1.11111111111111</v>
      </c>
    </row>
    <row r="35" spans="1:15">
      <c r="A35" s="9">
        <v>28</v>
      </c>
      <c r="B35" s="9" t="s">
        <v>198</v>
      </c>
      <c r="C35" s="9" t="s">
        <v>2032</v>
      </c>
      <c r="D35" s="9" t="s">
        <v>2010</v>
      </c>
      <c r="E35" s="11">
        <v>30</v>
      </c>
      <c r="F35" s="11">
        <v>37</v>
      </c>
      <c r="G35" s="11">
        <v>33</v>
      </c>
      <c r="H35" s="11">
        <v>4</v>
      </c>
      <c r="I35" s="14">
        <v>363000.0</v>
      </c>
      <c r="J35" s="14"/>
      <c r="K35" s="14">
        <v>363000.0</v>
      </c>
      <c r="L35" s="14"/>
      <c r="M35" s="14">
        <v>363000.0</v>
      </c>
      <c r="N35" s="14">
        <f>IF(E35&gt;0, K35/E35, 0)</f>
        <v>12100</v>
      </c>
      <c r="O35" s="22">
        <f>IF(E35&gt;0, F35/E35, 0)</f>
        <v>1.23333333333333</v>
      </c>
    </row>
    <row r="36" spans="1:15">
      <c r="A36" s="8">
        <v>29</v>
      </c>
      <c r="B36" s="8" t="s">
        <v>198</v>
      </c>
      <c r="C36" s="8" t="s">
        <v>2033</v>
      </c>
      <c r="D36" s="8" t="s">
        <v>2012</v>
      </c>
      <c r="E36" s="10">
        <v>16</v>
      </c>
      <c r="F36" s="10">
        <v>18</v>
      </c>
      <c r="G36" s="10">
        <v>16</v>
      </c>
      <c r="H36" s="10">
        <v>2</v>
      </c>
      <c r="I36" s="13">
        <v>175500.0</v>
      </c>
      <c r="J36" s="13"/>
      <c r="K36" s="13">
        <v>175500.0</v>
      </c>
      <c r="L36" s="13"/>
      <c r="M36" s="13">
        <v>175500.0</v>
      </c>
      <c r="N36" s="13">
        <f>IF(E36&gt;0, K36/E36, 0)</f>
        <v>10968.75</v>
      </c>
      <c r="O36" s="21">
        <f>IF(E36&gt;0, F36/E36, 0)</f>
        <v>1.125</v>
      </c>
    </row>
    <row r="37" spans="1:15">
      <c r="A37" s="9">
        <v>30</v>
      </c>
      <c r="B37" s="9" t="s">
        <v>652</v>
      </c>
      <c r="C37" s="9" t="s">
        <v>2034</v>
      </c>
      <c r="D37" s="9" t="s">
        <v>1999</v>
      </c>
      <c r="E37" s="11">
        <v>6</v>
      </c>
      <c r="F37" s="11">
        <v>8</v>
      </c>
      <c r="G37" s="11">
        <v>7</v>
      </c>
      <c r="H37" s="11">
        <v>1</v>
      </c>
      <c r="I37" s="14">
        <v>85000.0</v>
      </c>
      <c r="J37" s="14"/>
      <c r="K37" s="14">
        <v>85000.0</v>
      </c>
      <c r="L37" s="14"/>
      <c r="M37" s="14">
        <v>85000.0</v>
      </c>
      <c r="N37" s="14">
        <f>IF(E37&gt;0, K37/E37, 0)</f>
        <v>14166.66666666666606</v>
      </c>
      <c r="O37" s="22">
        <f>IF(E37&gt;0, F37/E37, 0)</f>
        <v>1.33333333333333</v>
      </c>
    </row>
    <row r="38" spans="1:15">
      <c r="A38" s="8">
        <v>31</v>
      </c>
      <c r="B38" s="8" t="s">
        <v>652</v>
      </c>
      <c r="C38" s="8" t="s">
        <v>2035</v>
      </c>
      <c r="D38" s="8" t="s">
        <v>2003</v>
      </c>
      <c r="E38" s="10">
        <v>15</v>
      </c>
      <c r="F38" s="10">
        <v>15</v>
      </c>
      <c r="G38" s="10">
        <v>15</v>
      </c>
      <c r="H38" s="10"/>
      <c r="I38" s="13">
        <v>143500.0</v>
      </c>
      <c r="J38" s="13"/>
      <c r="K38" s="13">
        <v>143500.0</v>
      </c>
      <c r="L38" s="13"/>
      <c r="M38" s="13">
        <v>143500.0</v>
      </c>
      <c r="N38" s="13">
        <f>IF(E38&gt;0, K38/E38, 0)</f>
        <v>9566.66666666666606</v>
      </c>
      <c r="O38" s="21">
        <f>IF(E38&gt;0, F38/E38, 0)</f>
        <v>1</v>
      </c>
    </row>
    <row r="39" spans="1:15">
      <c r="A39" s="9">
        <v>32</v>
      </c>
      <c r="B39" s="9" t="s">
        <v>652</v>
      </c>
      <c r="C39" s="9" t="s">
        <v>2036</v>
      </c>
      <c r="D39" s="9" t="s">
        <v>2017</v>
      </c>
      <c r="E39" s="11">
        <v>16</v>
      </c>
      <c r="F39" s="11">
        <v>22</v>
      </c>
      <c r="G39" s="11">
        <v>22</v>
      </c>
      <c r="H39" s="11"/>
      <c r="I39" s="14">
        <v>231500.0</v>
      </c>
      <c r="J39" s="14"/>
      <c r="K39" s="14">
        <v>231500.0</v>
      </c>
      <c r="L39" s="14"/>
      <c r="M39" s="14">
        <v>231500.0</v>
      </c>
      <c r="N39" s="14">
        <f>IF(E39&gt;0, K39/E39, 0)</f>
        <v>14468.75</v>
      </c>
      <c r="O39" s="22">
        <f>IF(E39&gt;0, F39/E39, 0)</f>
        <v>1.375</v>
      </c>
    </row>
    <row r="40" spans="1:15">
      <c r="A40" s="8">
        <v>33</v>
      </c>
      <c r="B40" s="8" t="s">
        <v>652</v>
      </c>
      <c r="C40" s="8" t="s">
        <v>2037</v>
      </c>
      <c r="D40" s="8" t="s">
        <v>2010</v>
      </c>
      <c r="E40" s="10">
        <v>34</v>
      </c>
      <c r="F40" s="10">
        <v>46</v>
      </c>
      <c r="G40" s="10">
        <v>43</v>
      </c>
      <c r="H40" s="10">
        <v>3</v>
      </c>
      <c r="I40" s="13">
        <v>418000.0</v>
      </c>
      <c r="J40" s="13"/>
      <c r="K40" s="13">
        <v>418000.0</v>
      </c>
      <c r="L40" s="13"/>
      <c r="M40" s="13">
        <v>418000.0</v>
      </c>
      <c r="N40" s="13">
        <f>IF(E40&gt;0, K40/E40, 0)</f>
        <v>12294.11764705882342</v>
      </c>
      <c r="O40" s="21">
        <f>IF(E40&gt;0, F40/E40, 0)</f>
        <v>1.35294117647059</v>
      </c>
    </row>
    <row r="41" spans="1:15">
      <c r="A41" s="9">
        <v>34</v>
      </c>
      <c r="B41" s="9" t="s">
        <v>652</v>
      </c>
      <c r="C41" s="9" t="s">
        <v>2038</v>
      </c>
      <c r="D41" s="9" t="s">
        <v>2012</v>
      </c>
      <c r="E41" s="11">
        <v>13</v>
      </c>
      <c r="F41" s="11">
        <v>15</v>
      </c>
      <c r="G41" s="11">
        <v>7</v>
      </c>
      <c r="H41" s="11">
        <v>8</v>
      </c>
      <c r="I41" s="14">
        <v>149500.0</v>
      </c>
      <c r="J41" s="14"/>
      <c r="K41" s="14">
        <v>149500.0</v>
      </c>
      <c r="L41" s="14"/>
      <c r="M41" s="14">
        <v>149500.0</v>
      </c>
      <c r="N41" s="14">
        <f>IF(E41&gt;0, K41/E41, 0)</f>
        <v>11500</v>
      </c>
      <c r="O41" s="22">
        <f>IF(E41&gt;0, F41/E41, 0)</f>
        <v>1.15384615384615</v>
      </c>
    </row>
    <row r="42" spans="1:15">
      <c r="A42" s="8">
        <v>35</v>
      </c>
      <c r="B42" s="8" t="s">
        <v>652</v>
      </c>
      <c r="C42" s="8" t="s">
        <v>2039</v>
      </c>
      <c r="D42" s="8" t="s">
        <v>1999</v>
      </c>
      <c r="E42" s="10">
        <v>33</v>
      </c>
      <c r="F42" s="10">
        <v>40</v>
      </c>
      <c r="G42" s="10">
        <v>39</v>
      </c>
      <c r="H42" s="10">
        <v>1</v>
      </c>
      <c r="I42" s="13">
        <v>423500.0</v>
      </c>
      <c r="J42" s="13"/>
      <c r="K42" s="13">
        <v>423500.0</v>
      </c>
      <c r="L42" s="13"/>
      <c r="M42" s="13">
        <v>423500.0</v>
      </c>
      <c r="N42" s="13">
        <f>IF(E42&gt;0, K42/E42, 0)</f>
        <v>12833.33333333333394</v>
      </c>
      <c r="O42" s="21">
        <f>IF(E42&gt;0, F42/E42, 0)</f>
        <v>1.21212121212121</v>
      </c>
    </row>
    <row r="43" spans="1:15">
      <c r="A43" s="9">
        <v>36</v>
      </c>
      <c r="B43" s="9" t="s">
        <v>652</v>
      </c>
      <c r="C43" s="9" t="s">
        <v>2040</v>
      </c>
      <c r="D43" s="9" t="s">
        <v>2003</v>
      </c>
      <c r="E43" s="11">
        <v>27</v>
      </c>
      <c r="F43" s="11">
        <v>27</v>
      </c>
      <c r="G43" s="11">
        <v>24</v>
      </c>
      <c r="H43" s="11">
        <v>3</v>
      </c>
      <c r="I43" s="14">
        <v>271500.0</v>
      </c>
      <c r="J43" s="14"/>
      <c r="K43" s="14">
        <v>271500.0</v>
      </c>
      <c r="L43" s="14"/>
      <c r="M43" s="14">
        <v>271500.0</v>
      </c>
      <c r="N43" s="14">
        <f>IF(E43&gt;0, K43/E43, 0)</f>
        <v>10055.55555555555475</v>
      </c>
      <c r="O43" s="22">
        <f>IF(E43&gt;0, F43/E43, 0)</f>
        <v>1</v>
      </c>
    </row>
    <row r="44" spans="1:15">
      <c r="A44" s="8">
        <v>37</v>
      </c>
      <c r="B44" s="8" t="s">
        <v>652</v>
      </c>
      <c r="C44" s="8" t="s">
        <v>2041</v>
      </c>
      <c r="D44" s="8" t="s">
        <v>2017</v>
      </c>
      <c r="E44" s="10">
        <v>14</v>
      </c>
      <c r="F44" s="10">
        <v>17</v>
      </c>
      <c r="G44" s="10">
        <v>14</v>
      </c>
      <c r="H44" s="10">
        <v>3</v>
      </c>
      <c r="I44" s="13">
        <v>193500.0</v>
      </c>
      <c r="J44" s="13">
        <v>2400.0</v>
      </c>
      <c r="K44" s="13">
        <v>191100.0</v>
      </c>
      <c r="L44" s="13"/>
      <c r="M44" s="13">
        <v>191100.0</v>
      </c>
      <c r="N44" s="13">
        <f>IF(E44&gt;0, K44/E44, 0)</f>
        <v>13650</v>
      </c>
      <c r="O44" s="21">
        <f>IF(E44&gt;0, F44/E44, 0)</f>
        <v>1.21428571428571</v>
      </c>
    </row>
    <row r="45" spans="1:15">
      <c r="A45" s="9">
        <v>38</v>
      </c>
      <c r="B45" s="9" t="s">
        <v>652</v>
      </c>
      <c r="C45" s="9" t="s">
        <v>2042</v>
      </c>
      <c r="D45" s="9" t="s">
        <v>1999</v>
      </c>
      <c r="E45" s="11">
        <v>105</v>
      </c>
      <c r="F45" s="11">
        <v>125</v>
      </c>
      <c r="G45" s="11">
        <v>107</v>
      </c>
      <c r="H45" s="11">
        <v>18</v>
      </c>
      <c r="I45" s="14">
        <v>1227000.0</v>
      </c>
      <c r="J45" s="14"/>
      <c r="K45" s="14">
        <v>1227000.0</v>
      </c>
      <c r="L45" s="14"/>
      <c r="M45" s="14">
        <v>1227000.0</v>
      </c>
      <c r="N45" s="14">
        <f>IF(E45&gt;0, K45/E45, 0)</f>
        <v>11685.71428571428623</v>
      </c>
      <c r="O45" s="22">
        <f>IF(E45&gt;0, F45/E45, 0)</f>
        <v>1.19047619047619</v>
      </c>
    </row>
    <row r="46" spans="1:15">
      <c r="A46" s="8">
        <v>39</v>
      </c>
      <c r="B46" s="8" t="s">
        <v>652</v>
      </c>
      <c r="C46" s="8" t="s">
        <v>2043</v>
      </c>
      <c r="D46" s="8" t="s">
        <v>2003</v>
      </c>
      <c r="E46" s="10">
        <v>120</v>
      </c>
      <c r="F46" s="10">
        <v>164</v>
      </c>
      <c r="G46" s="10">
        <v>139</v>
      </c>
      <c r="H46" s="10">
        <v>25</v>
      </c>
      <c r="I46" s="13">
        <v>1625500.0</v>
      </c>
      <c r="J46" s="13">
        <v>14100.0</v>
      </c>
      <c r="K46" s="13">
        <v>1611400.0</v>
      </c>
      <c r="L46" s="13"/>
      <c r="M46" s="13">
        <v>1611400.0</v>
      </c>
      <c r="N46" s="13">
        <f>IF(E46&gt;0, K46/E46, 0)</f>
        <v>13428.33333333333394</v>
      </c>
      <c r="O46" s="21">
        <f>IF(E46&gt;0, F46/E46, 0)</f>
        <v>1.36666666666667</v>
      </c>
    </row>
    <row r="47" spans="1:15">
      <c r="A47" s="9">
        <v>40</v>
      </c>
      <c r="B47" s="9" t="s">
        <v>652</v>
      </c>
      <c r="C47" s="9" t="s">
        <v>2044</v>
      </c>
      <c r="D47" s="9" t="s">
        <v>2017</v>
      </c>
      <c r="E47" s="11">
        <v>201</v>
      </c>
      <c r="F47" s="11">
        <v>249</v>
      </c>
      <c r="G47" s="11">
        <v>212</v>
      </c>
      <c r="H47" s="11">
        <v>37</v>
      </c>
      <c r="I47" s="14">
        <v>2516500.0</v>
      </c>
      <c r="J47" s="14"/>
      <c r="K47" s="14">
        <v>2516500.0</v>
      </c>
      <c r="L47" s="14"/>
      <c r="M47" s="14">
        <v>2516500.0</v>
      </c>
      <c r="N47" s="14">
        <f>IF(E47&gt;0, K47/E47, 0)</f>
        <v>12519.90049751243714</v>
      </c>
      <c r="O47" s="22">
        <f>IF(E47&gt;0, F47/E47, 0)</f>
        <v>1.23880597014925</v>
      </c>
    </row>
    <row r="48" spans="1:15">
      <c r="A48" s="8">
        <v>41</v>
      </c>
      <c r="B48" s="8" t="s">
        <v>652</v>
      </c>
      <c r="C48" s="8" t="s">
        <v>2045</v>
      </c>
      <c r="D48" s="8" t="s">
        <v>2005</v>
      </c>
      <c r="E48" s="10">
        <v>45</v>
      </c>
      <c r="F48" s="10">
        <v>52</v>
      </c>
      <c r="G48" s="10">
        <v>41</v>
      </c>
      <c r="H48" s="10">
        <v>11</v>
      </c>
      <c r="I48" s="13">
        <v>533500.0</v>
      </c>
      <c r="J48" s="13"/>
      <c r="K48" s="13">
        <v>533500.0</v>
      </c>
      <c r="L48" s="13"/>
      <c r="M48" s="13">
        <v>533500.0</v>
      </c>
      <c r="N48" s="13">
        <f>IF(E48&gt;0, K48/E48, 0)</f>
        <v>11855.55555555555475</v>
      </c>
      <c r="O48" s="21">
        <f>IF(E48&gt;0, F48/E48, 0)</f>
        <v>1.15555555555556</v>
      </c>
    </row>
    <row r="49" spans="1:15">
      <c r="A49" s="9">
        <v>42</v>
      </c>
      <c r="B49" s="9" t="s">
        <v>652</v>
      </c>
      <c r="C49" s="9" t="s">
        <v>2046</v>
      </c>
      <c r="D49" s="9" t="s">
        <v>2010</v>
      </c>
      <c r="E49" s="11">
        <v>31</v>
      </c>
      <c r="F49" s="11">
        <v>41</v>
      </c>
      <c r="G49" s="11">
        <v>39</v>
      </c>
      <c r="H49" s="11">
        <v>2</v>
      </c>
      <c r="I49" s="14">
        <v>361000.0</v>
      </c>
      <c r="J49" s="14"/>
      <c r="K49" s="14">
        <v>361000.0</v>
      </c>
      <c r="L49" s="14"/>
      <c r="M49" s="14">
        <v>361000.0</v>
      </c>
      <c r="N49" s="14">
        <f>IF(E49&gt;0, K49/E49, 0)</f>
        <v>11645.16129032258141</v>
      </c>
      <c r="O49" s="22">
        <f>IF(E49&gt;0, F49/E49, 0)</f>
        <v>1.32258064516129</v>
      </c>
    </row>
    <row r="50" spans="1:15">
      <c r="A50" s="8">
        <v>43</v>
      </c>
      <c r="B50" s="8" t="s">
        <v>652</v>
      </c>
      <c r="C50" s="8" t="s">
        <v>2047</v>
      </c>
      <c r="D50" s="8" t="s">
        <v>2012</v>
      </c>
      <c r="E50" s="10">
        <v>81</v>
      </c>
      <c r="F50" s="10">
        <v>99</v>
      </c>
      <c r="G50" s="10">
        <v>95</v>
      </c>
      <c r="H50" s="10">
        <v>4</v>
      </c>
      <c r="I50" s="13">
        <v>947000.0</v>
      </c>
      <c r="J50" s="13"/>
      <c r="K50" s="13">
        <v>947000.0</v>
      </c>
      <c r="L50" s="13"/>
      <c r="M50" s="13">
        <v>947000.0</v>
      </c>
      <c r="N50" s="13">
        <f>IF(E50&gt;0, K50/E50, 0)</f>
        <v>11691.35802469135888</v>
      </c>
      <c r="O50" s="21">
        <f>IF(E50&gt;0, F50/E50, 0)</f>
        <v>1.22222222222222</v>
      </c>
    </row>
    <row r="51" spans="1:15">
      <c r="A51" s="9">
        <v>44</v>
      </c>
      <c r="B51" s="9" t="s">
        <v>652</v>
      </c>
      <c r="C51" s="9" t="s">
        <v>2048</v>
      </c>
      <c r="D51" s="9" t="s">
        <v>1999</v>
      </c>
      <c r="E51" s="11">
        <v>61</v>
      </c>
      <c r="F51" s="11">
        <v>80</v>
      </c>
      <c r="G51" s="11">
        <v>79</v>
      </c>
      <c r="H51" s="11">
        <v>1</v>
      </c>
      <c r="I51" s="14">
        <v>736500.0</v>
      </c>
      <c r="J51" s="14"/>
      <c r="K51" s="14">
        <v>736500.0</v>
      </c>
      <c r="L51" s="14"/>
      <c r="M51" s="14">
        <v>736500.0</v>
      </c>
      <c r="N51" s="14">
        <f>IF(E51&gt;0, K51/E51, 0)</f>
        <v>12073.77049180327958</v>
      </c>
      <c r="O51" s="22">
        <f>IF(E51&gt;0, F51/E51, 0)</f>
        <v>1.31147540983607</v>
      </c>
    </row>
    <row r="52" spans="1:15">
      <c r="A52" s="8">
        <v>45</v>
      </c>
      <c r="B52" s="8" t="s">
        <v>652</v>
      </c>
      <c r="C52" s="8" t="s">
        <v>2049</v>
      </c>
      <c r="D52" s="8" t="s">
        <v>2001</v>
      </c>
      <c r="E52" s="10">
        <v>16</v>
      </c>
      <c r="F52" s="10">
        <v>18</v>
      </c>
      <c r="G52" s="10">
        <v>15</v>
      </c>
      <c r="H52" s="10">
        <v>3</v>
      </c>
      <c r="I52" s="13">
        <v>176500.0</v>
      </c>
      <c r="J52" s="13"/>
      <c r="K52" s="13">
        <v>176500.0</v>
      </c>
      <c r="L52" s="13"/>
      <c r="M52" s="13">
        <v>176500.0</v>
      </c>
      <c r="N52" s="13">
        <f>IF(E52&gt;0, K52/E52, 0)</f>
        <v>11031.25</v>
      </c>
      <c r="O52" s="21">
        <f>IF(E52&gt;0, F52/E52, 0)</f>
        <v>1.125</v>
      </c>
    </row>
    <row r="53" spans="1:15">
      <c r="A53" s="9">
        <v>46</v>
      </c>
      <c r="B53" s="9" t="s">
        <v>652</v>
      </c>
      <c r="C53" s="9" t="s">
        <v>2050</v>
      </c>
      <c r="D53" s="9" t="s">
        <v>2003</v>
      </c>
      <c r="E53" s="11">
        <v>40</v>
      </c>
      <c r="F53" s="11">
        <v>49</v>
      </c>
      <c r="G53" s="11">
        <v>43</v>
      </c>
      <c r="H53" s="11">
        <v>6</v>
      </c>
      <c r="I53" s="14">
        <v>489500.0</v>
      </c>
      <c r="J53" s="14"/>
      <c r="K53" s="14">
        <v>489500.0</v>
      </c>
      <c r="L53" s="14"/>
      <c r="M53" s="14">
        <v>489500.0</v>
      </c>
      <c r="N53" s="14">
        <f>IF(E53&gt;0, K53/E53, 0)</f>
        <v>12237.5</v>
      </c>
      <c r="O53" s="22">
        <f>IF(E53&gt;0, F53/E53, 0)</f>
        <v>1.225</v>
      </c>
    </row>
    <row r="54" spans="1:15">
      <c r="A54" s="8">
        <v>47</v>
      </c>
      <c r="B54" s="8" t="s">
        <v>652</v>
      </c>
      <c r="C54" s="8" t="s">
        <v>2051</v>
      </c>
      <c r="D54" s="8" t="s">
        <v>2017</v>
      </c>
      <c r="E54" s="10">
        <v>47</v>
      </c>
      <c r="F54" s="10">
        <v>66</v>
      </c>
      <c r="G54" s="10">
        <v>61</v>
      </c>
      <c r="H54" s="10">
        <v>5</v>
      </c>
      <c r="I54" s="13">
        <v>633500.0</v>
      </c>
      <c r="J54" s="13"/>
      <c r="K54" s="13">
        <v>633500.0</v>
      </c>
      <c r="L54" s="13"/>
      <c r="M54" s="13">
        <v>633500.0</v>
      </c>
      <c r="N54" s="13">
        <f>IF(E54&gt;0, K54/E54, 0)</f>
        <v>13478.72340425531911</v>
      </c>
      <c r="O54" s="21">
        <f>IF(E54&gt;0, F54/E54, 0)</f>
        <v>1.40425531914894</v>
      </c>
    </row>
    <row r="55" spans="1:15">
      <c r="A55" s="9">
        <v>48</v>
      </c>
      <c r="B55" s="9" t="s">
        <v>652</v>
      </c>
      <c r="C55" s="9" t="s">
        <v>2052</v>
      </c>
      <c r="D55" s="9" t="s">
        <v>2005</v>
      </c>
      <c r="E55" s="11">
        <v>49</v>
      </c>
      <c r="F55" s="11">
        <v>68</v>
      </c>
      <c r="G55" s="11">
        <v>53</v>
      </c>
      <c r="H55" s="11">
        <v>15</v>
      </c>
      <c r="I55" s="14">
        <v>682500.0</v>
      </c>
      <c r="J55" s="14"/>
      <c r="K55" s="14">
        <v>682500.0</v>
      </c>
      <c r="L55" s="14"/>
      <c r="M55" s="14">
        <v>682500.0</v>
      </c>
      <c r="N55" s="14">
        <f>IF(E55&gt;0, K55/E55, 0)</f>
        <v>13928.57142857142935</v>
      </c>
      <c r="O55" s="22">
        <f>IF(E55&gt;0, F55/E55, 0)</f>
        <v>1.38775510204082</v>
      </c>
    </row>
    <row r="56" spans="1:15">
      <c r="A56" s="8">
        <v>49</v>
      </c>
      <c r="B56" s="8" t="s">
        <v>652</v>
      </c>
      <c r="C56" s="8" t="s">
        <v>2053</v>
      </c>
      <c r="D56" s="8" t="s">
        <v>2010</v>
      </c>
      <c r="E56" s="10">
        <v>39</v>
      </c>
      <c r="F56" s="10">
        <v>62</v>
      </c>
      <c r="G56" s="10">
        <v>54</v>
      </c>
      <c r="H56" s="10">
        <v>8</v>
      </c>
      <c r="I56" s="13">
        <v>615500.0</v>
      </c>
      <c r="J56" s="13"/>
      <c r="K56" s="13">
        <v>615500.0</v>
      </c>
      <c r="L56" s="13"/>
      <c r="M56" s="13">
        <v>615500.0</v>
      </c>
      <c r="N56" s="13">
        <f>IF(E56&gt;0, K56/E56, 0)</f>
        <v>15782.051282051281305</v>
      </c>
      <c r="O56" s="21">
        <f>IF(E56&gt;0, F56/E56, 0)</f>
        <v>1.58974358974359</v>
      </c>
    </row>
    <row r="57" spans="1:15">
      <c r="A57" s="9">
        <v>50</v>
      </c>
      <c r="B57" s="9" t="s">
        <v>652</v>
      </c>
      <c r="C57" s="9" t="s">
        <v>2054</v>
      </c>
      <c r="D57" s="9" t="s">
        <v>2012</v>
      </c>
      <c r="E57" s="11">
        <v>15</v>
      </c>
      <c r="F57" s="11">
        <v>22</v>
      </c>
      <c r="G57" s="11">
        <v>22</v>
      </c>
      <c r="H57" s="11"/>
      <c r="I57" s="14">
        <v>220500.0</v>
      </c>
      <c r="J57" s="14"/>
      <c r="K57" s="14">
        <v>220500.0</v>
      </c>
      <c r="L57" s="14"/>
      <c r="M57" s="14">
        <v>220500.0</v>
      </c>
      <c r="N57" s="14">
        <f>IF(E57&gt;0, K57/E57, 0)</f>
        <v>14700</v>
      </c>
      <c r="O57" s="22">
        <f>IF(E57&gt;0, F57/E57, 0)</f>
        <v>1.46666666666667</v>
      </c>
    </row>
    <row r="58" spans="1:15">
      <c r="A58" s="8">
        <v>51</v>
      </c>
      <c r="B58" s="8" t="s">
        <v>652</v>
      </c>
      <c r="C58" s="8" t="s">
        <v>2055</v>
      </c>
      <c r="D58" s="8" t="s">
        <v>1999</v>
      </c>
      <c r="E58" s="10">
        <v>26</v>
      </c>
      <c r="F58" s="10">
        <v>38</v>
      </c>
      <c r="G58" s="10">
        <v>33</v>
      </c>
      <c r="H58" s="10">
        <v>5</v>
      </c>
      <c r="I58" s="13">
        <v>383800.0</v>
      </c>
      <c r="J58" s="13"/>
      <c r="K58" s="13">
        <v>383800.0</v>
      </c>
      <c r="L58" s="13"/>
      <c r="M58" s="13">
        <v>383800.0</v>
      </c>
      <c r="N58" s="13">
        <f>IF(E58&gt;0, K58/E58, 0)</f>
        <v>14761.53846153846098</v>
      </c>
      <c r="O58" s="21">
        <f>IF(E58&gt;0, F58/E58, 0)</f>
        <v>1.46153846153846</v>
      </c>
    </row>
    <row r="59" spans="1:15">
      <c r="A59" s="9">
        <v>52</v>
      </c>
      <c r="B59" s="9" t="s">
        <v>652</v>
      </c>
      <c r="C59" s="9" t="s">
        <v>2056</v>
      </c>
      <c r="D59" s="9" t="s">
        <v>2001</v>
      </c>
      <c r="E59" s="11">
        <v>6</v>
      </c>
      <c r="F59" s="11">
        <v>11</v>
      </c>
      <c r="G59" s="11">
        <v>10</v>
      </c>
      <c r="H59" s="11">
        <v>1</v>
      </c>
      <c r="I59" s="14">
        <v>98500.0</v>
      </c>
      <c r="J59" s="14"/>
      <c r="K59" s="14">
        <v>98500.0</v>
      </c>
      <c r="L59" s="14"/>
      <c r="M59" s="14">
        <v>98500.0</v>
      </c>
      <c r="N59" s="14">
        <f>IF(E59&gt;0, K59/E59, 0)</f>
        <v>16416.66666666666788</v>
      </c>
      <c r="O59" s="22">
        <f>IF(E59&gt;0, F59/E59, 0)</f>
        <v>1.83333333333333</v>
      </c>
    </row>
    <row r="60" spans="1:15">
      <c r="A60" s="8">
        <v>53</v>
      </c>
      <c r="B60" s="8" t="s">
        <v>652</v>
      </c>
      <c r="C60" s="8" t="s">
        <v>2057</v>
      </c>
      <c r="D60" s="8" t="s">
        <v>2003</v>
      </c>
      <c r="E60" s="10">
        <v>49</v>
      </c>
      <c r="F60" s="10">
        <v>56</v>
      </c>
      <c r="G60" s="10">
        <v>49</v>
      </c>
      <c r="H60" s="10">
        <v>7</v>
      </c>
      <c r="I60" s="13">
        <v>557500.0</v>
      </c>
      <c r="J60" s="13"/>
      <c r="K60" s="13">
        <v>557500.0</v>
      </c>
      <c r="L60" s="13"/>
      <c r="M60" s="13">
        <v>557500.0</v>
      </c>
      <c r="N60" s="13">
        <f>IF(E60&gt;0, K60/E60, 0)</f>
        <v>11377.55102040816382</v>
      </c>
      <c r="O60" s="21">
        <f>IF(E60&gt;0, F60/E60, 0)</f>
        <v>1.14285714285714</v>
      </c>
    </row>
    <row r="61" spans="1:15">
      <c r="A61" s="9">
        <v>54</v>
      </c>
      <c r="B61" s="9" t="s">
        <v>1824</v>
      </c>
      <c r="C61" s="9" t="s">
        <v>2058</v>
      </c>
      <c r="D61" s="9" t="s">
        <v>2005</v>
      </c>
      <c r="E61" s="11">
        <v>11</v>
      </c>
      <c r="F61" s="11">
        <v>20</v>
      </c>
      <c r="G61" s="11">
        <v>16</v>
      </c>
      <c r="H61" s="11">
        <v>4</v>
      </c>
      <c r="I61" s="14">
        <v>197500.0</v>
      </c>
      <c r="J61" s="14"/>
      <c r="K61" s="14">
        <v>197500.0</v>
      </c>
      <c r="L61" s="14"/>
      <c r="M61" s="14">
        <v>197500.0</v>
      </c>
      <c r="N61" s="14">
        <f>IF(E61&gt;0, K61/E61, 0)</f>
        <v>17954.54545454545587</v>
      </c>
      <c r="O61" s="22">
        <f>IF(E61&gt;0, F61/E61, 0)</f>
        <v>1.81818181818182</v>
      </c>
    </row>
    <row r="62" spans="1:15">
      <c r="A62" s="8">
        <v>55</v>
      </c>
      <c r="B62" s="8" t="s">
        <v>1824</v>
      </c>
      <c r="C62" s="8" t="s">
        <v>2059</v>
      </c>
      <c r="D62" s="8" t="s">
        <v>1999</v>
      </c>
      <c r="E62" s="10">
        <v>34</v>
      </c>
      <c r="F62" s="10">
        <v>39</v>
      </c>
      <c r="G62" s="10">
        <v>35</v>
      </c>
      <c r="H62" s="10">
        <v>4</v>
      </c>
      <c r="I62" s="13">
        <v>387500.0</v>
      </c>
      <c r="J62" s="13"/>
      <c r="K62" s="13">
        <v>387500.0</v>
      </c>
      <c r="L62" s="13"/>
      <c r="M62" s="13">
        <v>387500.0</v>
      </c>
      <c r="N62" s="13">
        <f>IF(E62&gt;0, K62/E62, 0)</f>
        <v>11397.058823529412621</v>
      </c>
      <c r="O62" s="21">
        <f>IF(E62&gt;0, F62/E62, 0)</f>
        <v>1.14705882352941</v>
      </c>
    </row>
    <row r="63" spans="1:15">
      <c r="A63" s="9">
        <v>56</v>
      </c>
      <c r="B63" s="9" t="s">
        <v>1824</v>
      </c>
      <c r="C63" s="9" t="s">
        <v>2060</v>
      </c>
      <c r="D63" s="9" t="s">
        <v>2001</v>
      </c>
      <c r="E63" s="11">
        <v>10</v>
      </c>
      <c r="F63" s="11">
        <v>26</v>
      </c>
      <c r="G63" s="11">
        <v>26</v>
      </c>
      <c r="H63" s="11"/>
      <c r="I63" s="14">
        <v>222100.0</v>
      </c>
      <c r="J63" s="14"/>
      <c r="K63" s="14">
        <v>222100.0</v>
      </c>
      <c r="L63" s="14"/>
      <c r="M63" s="14">
        <v>222100.0</v>
      </c>
      <c r="N63" s="14">
        <f>IF(E63&gt;0, K63/E63, 0)</f>
        <v>22210</v>
      </c>
      <c r="O63" s="22">
        <f>IF(E63&gt;0, F63/E63, 0)</f>
        <v>2.6</v>
      </c>
    </row>
    <row r="64" spans="1:15">
      <c r="A64" s="8">
        <v>57</v>
      </c>
      <c r="B64" s="8" t="s">
        <v>1890</v>
      </c>
      <c r="C64" s="8" t="s">
        <v>2061</v>
      </c>
      <c r="D64" s="8" t="s">
        <v>2005</v>
      </c>
      <c r="E64" s="10">
        <v>1</v>
      </c>
      <c r="F64" s="10">
        <v>1</v>
      </c>
      <c r="G64" s="10">
        <v>1</v>
      </c>
      <c r="H64" s="10"/>
      <c r="I64" s="13">
        <v>9500.0</v>
      </c>
      <c r="J64" s="13"/>
      <c r="K64" s="13">
        <v>9500.0</v>
      </c>
      <c r="L64" s="13"/>
      <c r="M64" s="13">
        <v>9500.0</v>
      </c>
      <c r="N64" s="13">
        <f>IF(E64&gt;0, K64/E64, 0)</f>
        <v>9500</v>
      </c>
      <c r="O64" s="21">
        <f>IF(E64&gt;0, F64/E64, 0)</f>
        <v>1</v>
      </c>
    </row>
    <row r="65" spans="1:15">
      <c r="A65" s="5" t="s">
        <v>2062</v>
      </c>
      <c r="B65" s="5"/>
      <c r="C65" s="5"/>
      <c r="D65" s="5"/>
      <c r="E65" s="12">
        <f>SUBTOTAL(109, E8:E64)</f>
        <v>1541</v>
      </c>
      <c r="F65" s="12">
        <f>SUBTOTAL(109, F8:F64)</f>
        <v>1922</v>
      </c>
      <c r="G65" s="12">
        <f>SUBTOTAL(109, G8:G64)</f>
        <v>1676</v>
      </c>
      <c r="H65" s="12">
        <f>SUBTOTAL(109, H8:H64)</f>
        <v>246</v>
      </c>
      <c r="I65" s="18">
        <f>SUBTOTAL(109, I8:I64)</f>
        <v>19179900</v>
      </c>
      <c r="J65" s="18">
        <f>SUBTOTAL(109, J8:J64)</f>
        <v>17700</v>
      </c>
      <c r="K65" s="18">
        <f>SUBTOTAL(109, K8:K64)</f>
        <v>19162200</v>
      </c>
      <c r="L65" s="18">
        <f>SUBTOTAL(109, L8:L64)</f>
        <v>0</v>
      </c>
      <c r="M65" s="18">
        <f>SUBTOTAL(109, M8:M64)</f>
        <v>19162200</v>
      </c>
      <c r="N65" s="18">
        <f>IF(E65&gt;0, K65/E65, 0)</f>
        <v>12434.91239454899369</v>
      </c>
      <c r="O65" s="23">
        <f>IF(E65&gt;0, F65/E65, 0)</f>
        <v>1.24724205061648</v>
      </c>
    </row>
  </sheetData>
  <autoFilter ref="A7:O64"/>
  <mergeCells>
    <mergeCell ref="A5:D5"/>
    <mergeCell ref="A65:D65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S1549"/>
  <sheetViews>
    <sheetView tabSelected="0" workbookViewId="0" showGridLines="true" showRowColHeaders="1">
      <pane ySplit="7" activePane="bottomLeft" state="frozen" topLeftCell="A8"/>
      <selection pane="bottomLeft" activeCell="L8" sqref="L8:N1549"/>
    </sheetView>
  </sheetViews>
  <sheetFormatPr defaultRowHeight="14.4" outlineLevelRow="0" outlineLevelCol="0"/>
  <cols>
    <col min="1" max="1" width="121.316" bestFit="true" customWidth="true" style="0"/>
    <col min="2" max="2" width="24.497" bestFit="true" customWidth="true" style="0"/>
    <col min="3" max="3" width="21.164" bestFit="true" customWidth="true" style="0"/>
    <col min="4" max="4" width="10.999" bestFit="true" customWidth="true" style="0"/>
    <col min="5" max="5" width="18.997" bestFit="true" customWidth="true" style="0"/>
    <col min="6" max="6" width="30.163" bestFit="true" customWidth="true" style="0"/>
    <col min="7" max="7" width="21.164" bestFit="true" customWidth="true" style="0"/>
    <col min="8" max="8" width="23.497" bestFit="true" customWidth="true" style="0"/>
    <col min="9" max="9" width="26.663" bestFit="true" customWidth="true" style="0"/>
    <col min="10" max="10" width="24.497" bestFit="true" customWidth="true" style="0"/>
    <col min="11" max="11" width="21.164" bestFit="true" customWidth="true" style="0"/>
    <col min="12" max="12" width="32.496" bestFit="true" customWidth="true" style="0"/>
    <col min="13" max="13" width="28.996" bestFit="true" customWidth="true" style="0"/>
    <col min="14" max="14" width="22.164" bestFit="true" customWidth="true" style="0"/>
    <col min="15" max="15" width="17.664" bestFit="true" customWidth="true" style="0"/>
    <col min="16" max="16" width="19.997" bestFit="true" customWidth="true" style="0"/>
    <col min="17" max="17" width="22.164" bestFit="true" customWidth="true" style="0"/>
    <col min="18" max="18" width="33.495" bestFit="true" customWidth="true" style="0"/>
    <col min="19" max="19" width="27.996" bestFit="true" customWidth="true" style="0"/>
  </cols>
  <sheetData>
    <row r="2" spans="1:19">
      <c r="A2" s="1" t="s">
        <v>2063</v>
      </c>
    </row>
    <row r="3" spans="1:19">
      <c r="A3" s="2" t="s">
        <v>1984</v>
      </c>
    </row>
    <row r="5" spans="1:19" customHeight="1" ht="22">
      <c r="A5" s="4" t="s">
        <v>1892</v>
      </c>
      <c r="B5" s="4"/>
      <c r="C5" s="4"/>
      <c r="D5" s="4"/>
      <c r="E5" s="4"/>
      <c r="F5" s="4"/>
      <c r="G5" s="4">
        <f>SUBTOTAL(109, G8:G1548)</f>
        <v>1541</v>
      </c>
      <c r="H5" s="4">
        <f>SUBTOTAL(109, H8:H1548)</f>
        <v>1922</v>
      </c>
      <c r="I5" s="4">
        <f>SUBTOTAL(109, I8:I1548)</f>
        <v>19179900</v>
      </c>
      <c r="J5" s="4">
        <f>SUBTOTAL(109, J8:J1548)</f>
        <v>17700</v>
      </c>
      <c r="K5" s="4">
        <f>IF(I5&gt;0, J5/I5, 0)</f>
        <v>0.0009228410992758</v>
      </c>
      <c r="L5" s="4">
        <f>SUBTOTAL(109, L8:L1548)</f>
        <v>19162200</v>
      </c>
      <c r="M5" s="4">
        <f>SUBTOTAL(109, M8:M1548)</f>
        <v>0</v>
      </c>
      <c r="N5" s="4">
        <f>SUBTOTAL(109, N8:N1548)</f>
        <v>19162200</v>
      </c>
      <c r="O5" s="4" t="str">
        <f>SUBTOTAL(103, A8:A1548) &amp; " чеков"</f>
        <v>1541 чеков</v>
      </c>
      <c r="P5" s="4"/>
      <c r="Q5" s="4"/>
      <c r="R5" s="4"/>
      <c r="S5" s="4"/>
    </row>
    <row r="7" spans="1:19" customHeight="1" ht="28">
      <c r="A7" s="3" t="s">
        <v>2</v>
      </c>
      <c r="B7" s="3" t="s">
        <v>3</v>
      </c>
      <c r="C7" s="3" t="s">
        <v>4</v>
      </c>
      <c r="D7" s="3" t="s">
        <v>2064</v>
      </c>
      <c r="E7" s="3" t="s">
        <v>6</v>
      </c>
      <c r="F7" s="3" t="s">
        <v>25</v>
      </c>
      <c r="G7" s="3" t="s">
        <v>2065</v>
      </c>
      <c r="H7" s="3" t="s">
        <v>2066</v>
      </c>
      <c r="I7" s="3" t="s">
        <v>2067</v>
      </c>
      <c r="J7" s="3" t="s">
        <v>2068</v>
      </c>
      <c r="K7" s="3" t="s">
        <v>16</v>
      </c>
      <c r="L7" s="3" t="s">
        <v>2069</v>
      </c>
      <c r="M7" s="3" t="s">
        <v>2070</v>
      </c>
      <c r="N7" s="3" t="s">
        <v>2071</v>
      </c>
      <c r="O7" s="3" t="s">
        <v>2072</v>
      </c>
      <c r="P7" s="3" t="s">
        <v>27</v>
      </c>
      <c r="Q7" s="3" t="s">
        <v>28</v>
      </c>
      <c r="R7" s="3" t="s">
        <v>2073</v>
      </c>
      <c r="S7" s="3" t="s">
        <v>29</v>
      </c>
    </row>
    <row r="8" spans="1:19">
      <c r="A8" s="8">
        <v>1</v>
      </c>
      <c r="B8" s="8" t="s">
        <v>30</v>
      </c>
      <c r="C8" s="8" t="s">
        <v>31</v>
      </c>
      <c r="D8" s="8" t="s">
        <v>32</v>
      </c>
      <c r="E8" s="8" t="s">
        <v>33</v>
      </c>
      <c r="F8" s="6" t="s">
        <v>39</v>
      </c>
      <c r="G8" s="10">
        <v>1</v>
      </c>
      <c r="H8" s="10">
        <v>1</v>
      </c>
      <c r="I8" s="13">
        <v>8000.0</v>
      </c>
      <c r="J8" s="13"/>
      <c r="K8" s="15">
        <f>IF(I8&gt;0, J8/I8, 0)</f>
        <v>0</v>
      </c>
      <c r="L8" s="13">
        <v>8000.0</v>
      </c>
      <c r="M8" s="13"/>
      <c r="N8" s="13">
        <f>L8-M8</f>
        <v>8000</v>
      </c>
      <c r="O8" s="8" t="s">
        <v>40</v>
      </c>
      <c r="P8" s="8" t="s">
        <v>41</v>
      </c>
      <c r="Q8" s="8" t="s">
        <v>42</v>
      </c>
      <c r="R8" s="6" t="s">
        <v>2074</v>
      </c>
      <c r="S8" s="6" t="s">
        <v>42</v>
      </c>
    </row>
    <row r="9" spans="1:19">
      <c r="A9" s="9">
        <v>2</v>
      </c>
      <c r="B9" s="9" t="s">
        <v>43</v>
      </c>
      <c r="C9" s="9" t="s">
        <v>44</v>
      </c>
      <c r="D9" s="9" t="s">
        <v>32</v>
      </c>
      <c r="E9" s="9" t="s">
        <v>33</v>
      </c>
      <c r="F9" s="7" t="s">
        <v>39</v>
      </c>
      <c r="G9" s="11">
        <v>1</v>
      </c>
      <c r="H9" s="11">
        <v>1</v>
      </c>
      <c r="I9" s="14">
        <v>18000.0</v>
      </c>
      <c r="J9" s="14"/>
      <c r="K9" s="16">
        <f>IF(I9&gt;0, J9/I9, 0)</f>
        <v>0</v>
      </c>
      <c r="L9" s="14">
        <v>18000.0</v>
      </c>
      <c r="M9" s="14"/>
      <c r="N9" s="14">
        <f>L9-M9</f>
        <v>18000</v>
      </c>
      <c r="O9" s="9" t="s">
        <v>40</v>
      </c>
      <c r="P9" s="9" t="s">
        <v>41</v>
      </c>
      <c r="Q9" s="9" t="s">
        <v>42</v>
      </c>
      <c r="R9" s="7" t="s">
        <v>2075</v>
      </c>
      <c r="S9" s="7" t="s">
        <v>42</v>
      </c>
    </row>
    <row r="10" spans="1:19">
      <c r="A10" s="8">
        <v>3</v>
      </c>
      <c r="B10" s="8" t="s">
        <v>48</v>
      </c>
      <c r="C10" s="8" t="s">
        <v>49</v>
      </c>
      <c r="D10" s="8" t="s">
        <v>32</v>
      </c>
      <c r="E10" s="8" t="s">
        <v>33</v>
      </c>
      <c r="F10" s="6" t="s">
        <v>39</v>
      </c>
      <c r="G10" s="10">
        <v>1</v>
      </c>
      <c r="H10" s="10">
        <v>1</v>
      </c>
      <c r="I10" s="13">
        <v>8000.0</v>
      </c>
      <c r="J10" s="13"/>
      <c r="K10" s="15">
        <f>IF(I10&gt;0, J10/I10, 0)</f>
        <v>0</v>
      </c>
      <c r="L10" s="13">
        <v>8000.0</v>
      </c>
      <c r="M10" s="13"/>
      <c r="N10" s="13">
        <f>L10-M10</f>
        <v>8000</v>
      </c>
      <c r="O10" s="8" t="s">
        <v>40</v>
      </c>
      <c r="P10" s="8" t="s">
        <v>41</v>
      </c>
      <c r="Q10" s="8" t="s">
        <v>42</v>
      </c>
      <c r="R10" s="6" t="s">
        <v>2076</v>
      </c>
      <c r="S10" s="6" t="s">
        <v>42</v>
      </c>
    </row>
    <row r="11" spans="1:19">
      <c r="A11" s="9">
        <v>4</v>
      </c>
      <c r="B11" s="9" t="s">
        <v>54</v>
      </c>
      <c r="C11" s="9" t="s">
        <v>55</v>
      </c>
      <c r="D11" s="9" t="s">
        <v>32</v>
      </c>
      <c r="E11" s="9" t="s">
        <v>33</v>
      </c>
      <c r="F11" s="7" t="s">
        <v>58</v>
      </c>
      <c r="G11" s="11">
        <v>1</v>
      </c>
      <c r="H11" s="11">
        <v>1</v>
      </c>
      <c r="I11" s="14">
        <v>7500.0</v>
      </c>
      <c r="J11" s="14"/>
      <c r="K11" s="16">
        <f>IF(I11&gt;0, J11/I11, 0)</f>
        <v>0</v>
      </c>
      <c r="L11" s="14">
        <v>7500.0</v>
      </c>
      <c r="M11" s="14"/>
      <c r="N11" s="14">
        <f>L11-M11</f>
        <v>7500</v>
      </c>
      <c r="O11" s="9" t="s">
        <v>40</v>
      </c>
      <c r="P11" s="9" t="s">
        <v>41</v>
      </c>
      <c r="Q11" s="9" t="s">
        <v>42</v>
      </c>
      <c r="R11" s="7" t="s">
        <v>2077</v>
      </c>
      <c r="S11" s="7" t="s">
        <v>42</v>
      </c>
    </row>
    <row r="12" spans="1:19">
      <c r="A12" s="8">
        <v>5</v>
      </c>
      <c r="B12" s="8" t="s">
        <v>59</v>
      </c>
      <c r="C12" s="8" t="s">
        <v>60</v>
      </c>
      <c r="D12" s="8" t="s">
        <v>32</v>
      </c>
      <c r="E12" s="8" t="s">
        <v>33</v>
      </c>
      <c r="F12" s="6" t="s">
        <v>58</v>
      </c>
      <c r="G12" s="10">
        <v>1</v>
      </c>
      <c r="H12" s="10">
        <v>1</v>
      </c>
      <c r="I12" s="13">
        <v>8500.0</v>
      </c>
      <c r="J12" s="13"/>
      <c r="K12" s="15">
        <f>IF(I12&gt;0, J12/I12, 0)</f>
        <v>0</v>
      </c>
      <c r="L12" s="13">
        <v>8500.0</v>
      </c>
      <c r="M12" s="13"/>
      <c r="N12" s="13">
        <f>L12-M12</f>
        <v>8500</v>
      </c>
      <c r="O12" s="8" t="s">
        <v>40</v>
      </c>
      <c r="P12" s="8" t="s">
        <v>41</v>
      </c>
      <c r="Q12" s="8" t="s">
        <v>42</v>
      </c>
      <c r="R12" s="6" t="s">
        <v>2078</v>
      </c>
      <c r="S12" s="6" t="s">
        <v>42</v>
      </c>
    </row>
    <row r="13" spans="1:19">
      <c r="A13" s="9">
        <v>6</v>
      </c>
      <c r="B13" s="9" t="s">
        <v>62</v>
      </c>
      <c r="C13" s="9" t="s">
        <v>60</v>
      </c>
      <c r="D13" s="9" t="s">
        <v>32</v>
      </c>
      <c r="E13" s="9" t="s">
        <v>33</v>
      </c>
      <c r="F13" s="7" t="s">
        <v>58</v>
      </c>
      <c r="G13" s="11">
        <v>1</v>
      </c>
      <c r="H13" s="11">
        <v>1</v>
      </c>
      <c r="I13" s="14">
        <v>9500.0</v>
      </c>
      <c r="J13" s="14"/>
      <c r="K13" s="16">
        <f>IF(I13&gt;0, J13/I13, 0)</f>
        <v>0</v>
      </c>
      <c r="L13" s="14">
        <v>9500.0</v>
      </c>
      <c r="M13" s="14"/>
      <c r="N13" s="14">
        <f>L13-M13</f>
        <v>9500</v>
      </c>
      <c r="O13" s="9" t="s">
        <v>40</v>
      </c>
      <c r="P13" s="9" t="s">
        <v>41</v>
      </c>
      <c r="Q13" s="9" t="s">
        <v>42</v>
      </c>
      <c r="R13" s="7" t="s">
        <v>2079</v>
      </c>
      <c r="S13" s="7" t="s">
        <v>42</v>
      </c>
    </row>
    <row r="14" spans="1:19">
      <c r="A14" s="8">
        <v>7</v>
      </c>
      <c r="B14" s="8" t="s">
        <v>66</v>
      </c>
      <c r="C14" s="8" t="s">
        <v>67</v>
      </c>
      <c r="D14" s="8" t="s">
        <v>32</v>
      </c>
      <c r="E14" s="8" t="s">
        <v>68</v>
      </c>
      <c r="F14" s="6" t="s">
        <v>58</v>
      </c>
      <c r="G14" s="10">
        <v>1</v>
      </c>
      <c r="H14" s="10">
        <v>1</v>
      </c>
      <c r="I14" s="13">
        <v>18000.0</v>
      </c>
      <c r="J14" s="13"/>
      <c r="K14" s="15">
        <f>IF(I14&gt;0, J14/I14, 0)</f>
        <v>0</v>
      </c>
      <c r="L14" s="13">
        <v>18000.0</v>
      </c>
      <c r="M14" s="13"/>
      <c r="N14" s="13">
        <f>L14-M14</f>
        <v>18000</v>
      </c>
      <c r="O14" s="8" t="s">
        <v>40</v>
      </c>
      <c r="P14" s="8" t="s">
        <v>71</v>
      </c>
      <c r="Q14" s="8" t="s">
        <v>42</v>
      </c>
      <c r="R14" s="6" t="s">
        <v>2080</v>
      </c>
      <c r="S14" s="6" t="s">
        <v>42</v>
      </c>
    </row>
    <row r="15" spans="1:19">
      <c r="A15" s="9">
        <v>8</v>
      </c>
      <c r="B15" s="9" t="s">
        <v>72</v>
      </c>
      <c r="C15" s="9" t="s">
        <v>67</v>
      </c>
      <c r="D15" s="9" t="s">
        <v>32</v>
      </c>
      <c r="E15" s="9" t="s">
        <v>33</v>
      </c>
      <c r="F15" s="7" t="s">
        <v>58</v>
      </c>
      <c r="G15" s="11">
        <v>1</v>
      </c>
      <c r="H15" s="11">
        <v>1</v>
      </c>
      <c r="I15" s="14">
        <v>9000.0</v>
      </c>
      <c r="J15" s="14"/>
      <c r="K15" s="16">
        <f>IF(I15&gt;0, J15/I15, 0)</f>
        <v>0</v>
      </c>
      <c r="L15" s="14">
        <v>9000.0</v>
      </c>
      <c r="M15" s="14"/>
      <c r="N15" s="14">
        <f>L15-M15</f>
        <v>9000</v>
      </c>
      <c r="O15" s="9" t="s">
        <v>40</v>
      </c>
      <c r="P15" s="9" t="s">
        <v>41</v>
      </c>
      <c r="Q15" s="9" t="s">
        <v>42</v>
      </c>
      <c r="R15" s="7" t="s">
        <v>2081</v>
      </c>
      <c r="S15" s="7" t="s">
        <v>42</v>
      </c>
    </row>
    <row r="16" spans="1:19">
      <c r="A16" s="8">
        <v>9</v>
      </c>
      <c r="B16" s="8" t="s">
        <v>75</v>
      </c>
      <c r="C16" s="8" t="s">
        <v>76</v>
      </c>
      <c r="D16" s="8" t="s">
        <v>32</v>
      </c>
      <c r="E16" s="8" t="s">
        <v>33</v>
      </c>
      <c r="F16" s="6" t="s">
        <v>58</v>
      </c>
      <c r="G16" s="10">
        <v>1</v>
      </c>
      <c r="H16" s="10">
        <v>1</v>
      </c>
      <c r="I16" s="13">
        <v>8000.0</v>
      </c>
      <c r="J16" s="13"/>
      <c r="K16" s="15">
        <f>IF(I16&gt;0, J16/I16, 0)</f>
        <v>0</v>
      </c>
      <c r="L16" s="13">
        <v>8000.0</v>
      </c>
      <c r="M16" s="13"/>
      <c r="N16" s="13">
        <f>L16-M16</f>
        <v>8000</v>
      </c>
      <c r="O16" s="8" t="s">
        <v>40</v>
      </c>
      <c r="P16" s="8" t="s">
        <v>41</v>
      </c>
      <c r="Q16" s="8" t="s">
        <v>42</v>
      </c>
      <c r="R16" s="6" t="s">
        <v>2082</v>
      </c>
      <c r="S16" s="6" t="s">
        <v>42</v>
      </c>
    </row>
    <row r="17" spans="1:19">
      <c r="A17" s="9">
        <v>10</v>
      </c>
      <c r="B17" s="9" t="s">
        <v>78</v>
      </c>
      <c r="C17" s="9" t="s">
        <v>76</v>
      </c>
      <c r="D17" s="9" t="s">
        <v>32</v>
      </c>
      <c r="E17" s="9" t="s">
        <v>33</v>
      </c>
      <c r="F17" s="7" t="s">
        <v>58</v>
      </c>
      <c r="G17" s="11">
        <v>1</v>
      </c>
      <c r="H17" s="11">
        <v>1</v>
      </c>
      <c r="I17" s="14">
        <v>7000.0</v>
      </c>
      <c r="J17" s="14"/>
      <c r="K17" s="16">
        <f>IF(I17&gt;0, J17/I17, 0)</f>
        <v>0</v>
      </c>
      <c r="L17" s="14">
        <v>7000.0</v>
      </c>
      <c r="M17" s="14"/>
      <c r="N17" s="14">
        <f>L17-M17</f>
        <v>7000</v>
      </c>
      <c r="O17" s="9" t="s">
        <v>40</v>
      </c>
      <c r="P17" s="9" t="s">
        <v>41</v>
      </c>
      <c r="Q17" s="9" t="s">
        <v>42</v>
      </c>
      <c r="R17" s="7" t="s">
        <v>2083</v>
      </c>
      <c r="S17" s="7" t="s">
        <v>42</v>
      </c>
    </row>
    <row r="18" spans="1:19">
      <c r="A18" s="8">
        <v>11</v>
      </c>
      <c r="B18" s="8" t="s">
        <v>80</v>
      </c>
      <c r="C18" s="8" t="s">
        <v>81</v>
      </c>
      <c r="D18" s="8" t="s">
        <v>32</v>
      </c>
      <c r="E18" s="8" t="s">
        <v>33</v>
      </c>
      <c r="F18" s="6" t="s">
        <v>58</v>
      </c>
      <c r="G18" s="10">
        <v>1</v>
      </c>
      <c r="H18" s="10">
        <v>1</v>
      </c>
      <c r="I18" s="13">
        <v>8000.0</v>
      </c>
      <c r="J18" s="13"/>
      <c r="K18" s="15">
        <f>IF(I18&gt;0, J18/I18, 0)</f>
        <v>0</v>
      </c>
      <c r="L18" s="13">
        <v>8000.0</v>
      </c>
      <c r="M18" s="13"/>
      <c r="N18" s="13">
        <f>L18-M18</f>
        <v>8000</v>
      </c>
      <c r="O18" s="8" t="s">
        <v>40</v>
      </c>
      <c r="P18" s="8" t="s">
        <v>41</v>
      </c>
      <c r="Q18" s="8" t="s">
        <v>42</v>
      </c>
      <c r="R18" s="6" t="s">
        <v>2084</v>
      </c>
      <c r="S18" s="6" t="s">
        <v>42</v>
      </c>
    </row>
    <row r="19" spans="1:19">
      <c r="A19" s="9">
        <v>12</v>
      </c>
      <c r="B19" s="9" t="s">
        <v>83</v>
      </c>
      <c r="C19" s="9" t="s">
        <v>81</v>
      </c>
      <c r="D19" s="9" t="s">
        <v>32</v>
      </c>
      <c r="E19" s="9" t="s">
        <v>33</v>
      </c>
      <c r="F19" s="7" t="s">
        <v>58</v>
      </c>
      <c r="G19" s="11">
        <v>1</v>
      </c>
      <c r="H19" s="11">
        <v>1</v>
      </c>
      <c r="I19" s="14">
        <v>9000.0</v>
      </c>
      <c r="J19" s="14"/>
      <c r="K19" s="16">
        <f>IF(I19&gt;0, J19/I19, 0)</f>
        <v>0</v>
      </c>
      <c r="L19" s="14">
        <v>9000.0</v>
      </c>
      <c r="M19" s="14"/>
      <c r="N19" s="14">
        <f>L19-M19</f>
        <v>9000</v>
      </c>
      <c r="O19" s="9" t="s">
        <v>40</v>
      </c>
      <c r="P19" s="9" t="s">
        <v>41</v>
      </c>
      <c r="Q19" s="9" t="s">
        <v>42</v>
      </c>
      <c r="R19" s="7" t="s">
        <v>2085</v>
      </c>
      <c r="S19" s="7" t="s">
        <v>42</v>
      </c>
    </row>
    <row r="20" spans="1:19">
      <c r="A20" s="8">
        <v>13</v>
      </c>
      <c r="B20" s="8" t="s">
        <v>85</v>
      </c>
      <c r="C20" s="8" t="s">
        <v>86</v>
      </c>
      <c r="D20" s="8" t="s">
        <v>32</v>
      </c>
      <c r="E20" s="8" t="s">
        <v>33</v>
      </c>
      <c r="F20" s="6" t="s">
        <v>58</v>
      </c>
      <c r="G20" s="10">
        <v>1</v>
      </c>
      <c r="H20" s="10">
        <v>1</v>
      </c>
      <c r="I20" s="13">
        <v>17000.0</v>
      </c>
      <c r="J20" s="13"/>
      <c r="K20" s="15">
        <f>IF(I20&gt;0, J20/I20, 0)</f>
        <v>0</v>
      </c>
      <c r="L20" s="13">
        <v>17000.0</v>
      </c>
      <c r="M20" s="13"/>
      <c r="N20" s="13">
        <f>L20-M20</f>
        <v>17000</v>
      </c>
      <c r="O20" s="8" t="s">
        <v>40</v>
      </c>
      <c r="P20" s="8" t="s">
        <v>41</v>
      </c>
      <c r="Q20" s="8" t="s">
        <v>42</v>
      </c>
      <c r="R20" s="6" t="s">
        <v>2086</v>
      </c>
      <c r="S20" s="6" t="s">
        <v>42</v>
      </c>
    </row>
    <row r="21" spans="1:19">
      <c r="A21" s="9">
        <v>14</v>
      </c>
      <c r="B21" s="9" t="s">
        <v>88</v>
      </c>
      <c r="C21" s="9" t="s">
        <v>86</v>
      </c>
      <c r="D21" s="9" t="s">
        <v>32</v>
      </c>
      <c r="E21" s="9" t="s">
        <v>33</v>
      </c>
      <c r="F21" s="7" t="s">
        <v>58</v>
      </c>
      <c r="G21" s="11">
        <v>1</v>
      </c>
      <c r="H21" s="11">
        <v>1</v>
      </c>
      <c r="I21" s="14">
        <v>8000.0</v>
      </c>
      <c r="J21" s="14"/>
      <c r="K21" s="16">
        <f>IF(I21&gt;0, J21/I21, 0)</f>
        <v>0</v>
      </c>
      <c r="L21" s="14">
        <v>8000.0</v>
      </c>
      <c r="M21" s="14"/>
      <c r="N21" s="14">
        <f>L21-M21</f>
        <v>8000</v>
      </c>
      <c r="O21" s="9" t="s">
        <v>40</v>
      </c>
      <c r="P21" s="9" t="s">
        <v>41</v>
      </c>
      <c r="Q21" s="9" t="s">
        <v>42</v>
      </c>
      <c r="R21" s="7" t="s">
        <v>2087</v>
      </c>
      <c r="S21" s="7" t="s">
        <v>42</v>
      </c>
    </row>
    <row r="22" spans="1:19">
      <c r="A22" s="8">
        <v>15</v>
      </c>
      <c r="B22" s="8" t="s">
        <v>90</v>
      </c>
      <c r="C22" s="8" t="s">
        <v>91</v>
      </c>
      <c r="D22" s="8" t="s">
        <v>32</v>
      </c>
      <c r="E22" s="8" t="s">
        <v>33</v>
      </c>
      <c r="F22" s="6" t="s">
        <v>58</v>
      </c>
      <c r="G22" s="10">
        <v>1</v>
      </c>
      <c r="H22" s="10">
        <v>1</v>
      </c>
      <c r="I22" s="13">
        <v>7000.0</v>
      </c>
      <c r="J22" s="13"/>
      <c r="K22" s="15">
        <f>IF(I22&gt;0, J22/I22, 0)</f>
        <v>0</v>
      </c>
      <c r="L22" s="13">
        <v>7000.0</v>
      </c>
      <c r="M22" s="13"/>
      <c r="N22" s="13">
        <f>L22-M22</f>
        <v>7000</v>
      </c>
      <c r="O22" s="8" t="s">
        <v>40</v>
      </c>
      <c r="P22" s="8" t="s">
        <v>41</v>
      </c>
      <c r="Q22" s="8" t="s">
        <v>42</v>
      </c>
      <c r="R22" s="6" t="s">
        <v>2088</v>
      </c>
      <c r="S22" s="6" t="s">
        <v>42</v>
      </c>
    </row>
    <row r="23" spans="1:19">
      <c r="A23" s="9">
        <v>16</v>
      </c>
      <c r="B23" s="9" t="s">
        <v>93</v>
      </c>
      <c r="C23" s="9" t="s">
        <v>91</v>
      </c>
      <c r="D23" s="9" t="s">
        <v>32</v>
      </c>
      <c r="E23" s="9" t="s">
        <v>33</v>
      </c>
      <c r="F23" s="7" t="s">
        <v>58</v>
      </c>
      <c r="G23" s="11">
        <v>1</v>
      </c>
      <c r="H23" s="11">
        <v>1</v>
      </c>
      <c r="I23" s="14">
        <v>8000.0</v>
      </c>
      <c r="J23" s="14"/>
      <c r="K23" s="16">
        <f>IF(I23&gt;0, J23/I23, 0)</f>
        <v>0</v>
      </c>
      <c r="L23" s="14">
        <v>8000.0</v>
      </c>
      <c r="M23" s="14"/>
      <c r="N23" s="14">
        <f>L23-M23</f>
        <v>8000</v>
      </c>
      <c r="O23" s="9" t="s">
        <v>40</v>
      </c>
      <c r="P23" s="9" t="s">
        <v>41</v>
      </c>
      <c r="Q23" s="9" t="s">
        <v>42</v>
      </c>
      <c r="R23" s="7" t="s">
        <v>2089</v>
      </c>
      <c r="S23" s="7" t="s">
        <v>42</v>
      </c>
    </row>
    <row r="24" spans="1:19">
      <c r="A24" s="8">
        <v>17</v>
      </c>
      <c r="B24" s="8" t="s">
        <v>97</v>
      </c>
      <c r="C24" s="8" t="s">
        <v>98</v>
      </c>
      <c r="D24" s="8" t="s">
        <v>32</v>
      </c>
      <c r="E24" s="8" t="s">
        <v>33</v>
      </c>
      <c r="F24" s="6" t="s">
        <v>58</v>
      </c>
      <c r="G24" s="10">
        <v>1</v>
      </c>
      <c r="H24" s="10">
        <v>1</v>
      </c>
      <c r="I24" s="13">
        <v>17000.0</v>
      </c>
      <c r="J24" s="13"/>
      <c r="K24" s="15">
        <f>IF(I24&gt;0, J24/I24, 0)</f>
        <v>0</v>
      </c>
      <c r="L24" s="13">
        <v>17000.0</v>
      </c>
      <c r="M24" s="13"/>
      <c r="N24" s="13">
        <f>L24-M24</f>
        <v>17000</v>
      </c>
      <c r="O24" s="8" t="s">
        <v>40</v>
      </c>
      <c r="P24" s="8" t="s">
        <v>41</v>
      </c>
      <c r="Q24" s="8" t="s">
        <v>42</v>
      </c>
      <c r="R24" s="6" t="s">
        <v>2090</v>
      </c>
      <c r="S24" s="6" t="s">
        <v>42</v>
      </c>
    </row>
    <row r="25" spans="1:19">
      <c r="A25" s="9">
        <v>18</v>
      </c>
      <c r="B25" s="9" t="s">
        <v>100</v>
      </c>
      <c r="C25" s="9" t="s">
        <v>101</v>
      </c>
      <c r="D25" s="9" t="s">
        <v>32</v>
      </c>
      <c r="E25" s="9" t="s">
        <v>33</v>
      </c>
      <c r="F25" s="7" t="s">
        <v>58</v>
      </c>
      <c r="G25" s="11">
        <v>1</v>
      </c>
      <c r="H25" s="11">
        <v>1</v>
      </c>
      <c r="I25" s="14">
        <v>8000.0</v>
      </c>
      <c r="J25" s="14"/>
      <c r="K25" s="16">
        <f>IF(I25&gt;0, J25/I25, 0)</f>
        <v>0</v>
      </c>
      <c r="L25" s="14">
        <v>8000.0</v>
      </c>
      <c r="M25" s="14"/>
      <c r="N25" s="14">
        <f>L25-M25</f>
        <v>8000</v>
      </c>
      <c r="O25" s="9" t="s">
        <v>40</v>
      </c>
      <c r="P25" s="9" t="s">
        <v>41</v>
      </c>
      <c r="Q25" s="9" t="s">
        <v>42</v>
      </c>
      <c r="R25" s="7" t="s">
        <v>2091</v>
      </c>
      <c r="S25" s="7" t="s">
        <v>42</v>
      </c>
    </row>
    <row r="26" spans="1:19">
      <c r="A26" s="8">
        <v>19</v>
      </c>
      <c r="B26" s="8" t="s">
        <v>103</v>
      </c>
      <c r="C26" s="8" t="s">
        <v>104</v>
      </c>
      <c r="D26" s="8" t="s">
        <v>32</v>
      </c>
      <c r="E26" s="8" t="s">
        <v>33</v>
      </c>
      <c r="F26" s="6" t="s">
        <v>58</v>
      </c>
      <c r="G26" s="10">
        <v>1</v>
      </c>
      <c r="H26" s="10">
        <v>1</v>
      </c>
      <c r="I26" s="13">
        <v>7000.0</v>
      </c>
      <c r="J26" s="13"/>
      <c r="K26" s="15">
        <f>IF(I26&gt;0, J26/I26, 0)</f>
        <v>0</v>
      </c>
      <c r="L26" s="13">
        <v>7000.0</v>
      </c>
      <c r="M26" s="13"/>
      <c r="N26" s="13">
        <f>L26-M26</f>
        <v>7000</v>
      </c>
      <c r="O26" s="8" t="s">
        <v>40</v>
      </c>
      <c r="P26" s="8" t="s">
        <v>41</v>
      </c>
      <c r="Q26" s="8" t="s">
        <v>42</v>
      </c>
      <c r="R26" s="6" t="s">
        <v>2092</v>
      </c>
      <c r="S26" s="6" t="s">
        <v>42</v>
      </c>
    </row>
    <row r="27" spans="1:19">
      <c r="A27" s="9">
        <v>20</v>
      </c>
      <c r="B27" s="9" t="s">
        <v>106</v>
      </c>
      <c r="C27" s="9" t="s">
        <v>107</v>
      </c>
      <c r="D27" s="9" t="s">
        <v>32</v>
      </c>
      <c r="E27" s="9" t="s">
        <v>68</v>
      </c>
      <c r="F27" s="7" t="s">
        <v>58</v>
      </c>
      <c r="G27" s="11">
        <v>1</v>
      </c>
      <c r="H27" s="11">
        <v>1</v>
      </c>
      <c r="I27" s="14">
        <v>17500.0</v>
      </c>
      <c r="J27" s="14"/>
      <c r="K27" s="16">
        <f>IF(I27&gt;0, J27/I27, 0)</f>
        <v>0</v>
      </c>
      <c r="L27" s="14">
        <v>17500.0</v>
      </c>
      <c r="M27" s="14"/>
      <c r="N27" s="14">
        <f>L27-M27</f>
        <v>17500</v>
      </c>
      <c r="O27" s="9" t="s">
        <v>40</v>
      </c>
      <c r="P27" s="9" t="s">
        <v>71</v>
      </c>
      <c r="Q27" s="9" t="s">
        <v>42</v>
      </c>
      <c r="R27" s="7" t="s">
        <v>2093</v>
      </c>
      <c r="S27" s="7" t="s">
        <v>42</v>
      </c>
    </row>
    <row r="28" spans="1:19">
      <c r="A28" s="8">
        <v>21</v>
      </c>
      <c r="B28" s="8" t="s">
        <v>109</v>
      </c>
      <c r="C28" s="8" t="s">
        <v>107</v>
      </c>
      <c r="D28" s="8" t="s">
        <v>32</v>
      </c>
      <c r="E28" s="8" t="s">
        <v>68</v>
      </c>
      <c r="F28" s="6" t="s">
        <v>58</v>
      </c>
      <c r="G28" s="10">
        <v>1</v>
      </c>
      <c r="H28" s="10">
        <v>1</v>
      </c>
      <c r="I28" s="13">
        <v>17000.0</v>
      </c>
      <c r="J28" s="13"/>
      <c r="K28" s="15">
        <f>IF(I28&gt;0, J28/I28, 0)</f>
        <v>0</v>
      </c>
      <c r="L28" s="13">
        <v>17000.0</v>
      </c>
      <c r="M28" s="13"/>
      <c r="N28" s="13">
        <f>L28-M28</f>
        <v>17000</v>
      </c>
      <c r="O28" s="8" t="s">
        <v>40</v>
      </c>
      <c r="P28" s="8" t="s">
        <v>71</v>
      </c>
      <c r="Q28" s="8" t="s">
        <v>42</v>
      </c>
      <c r="R28" s="6" t="s">
        <v>2094</v>
      </c>
      <c r="S28" s="6" t="s">
        <v>42</v>
      </c>
    </row>
    <row r="29" spans="1:19">
      <c r="A29" s="9">
        <v>22</v>
      </c>
      <c r="B29" s="9" t="s">
        <v>111</v>
      </c>
      <c r="C29" s="9" t="s">
        <v>112</v>
      </c>
      <c r="D29" s="9" t="s">
        <v>32</v>
      </c>
      <c r="E29" s="9" t="s">
        <v>68</v>
      </c>
      <c r="F29" s="7" t="s">
        <v>58</v>
      </c>
      <c r="G29" s="11">
        <v>1</v>
      </c>
      <c r="H29" s="11">
        <v>1</v>
      </c>
      <c r="I29" s="14">
        <v>8000.0</v>
      </c>
      <c r="J29" s="14"/>
      <c r="K29" s="16">
        <f>IF(I29&gt;0, J29/I29, 0)</f>
        <v>0</v>
      </c>
      <c r="L29" s="14">
        <v>8000.0</v>
      </c>
      <c r="M29" s="14"/>
      <c r="N29" s="14">
        <f>L29-M29</f>
        <v>8000</v>
      </c>
      <c r="O29" s="9" t="s">
        <v>40</v>
      </c>
      <c r="P29" s="9" t="s">
        <v>71</v>
      </c>
      <c r="Q29" s="9" t="s">
        <v>42</v>
      </c>
      <c r="R29" s="7" t="s">
        <v>2095</v>
      </c>
      <c r="S29" s="7" t="s">
        <v>42</v>
      </c>
    </row>
    <row r="30" spans="1:19">
      <c r="A30" s="8">
        <v>23</v>
      </c>
      <c r="B30" s="8" t="s">
        <v>114</v>
      </c>
      <c r="C30" s="8" t="s">
        <v>115</v>
      </c>
      <c r="D30" s="8" t="s">
        <v>32</v>
      </c>
      <c r="E30" s="8" t="s">
        <v>68</v>
      </c>
      <c r="F30" s="6" t="s">
        <v>58</v>
      </c>
      <c r="G30" s="10">
        <v>1</v>
      </c>
      <c r="H30" s="10">
        <v>2</v>
      </c>
      <c r="I30" s="13">
        <v>16000.0</v>
      </c>
      <c r="J30" s="13"/>
      <c r="K30" s="15">
        <f>IF(I30&gt;0, J30/I30, 0)</f>
        <v>0</v>
      </c>
      <c r="L30" s="13">
        <v>16000.0</v>
      </c>
      <c r="M30" s="13"/>
      <c r="N30" s="13">
        <f>L30-M30</f>
        <v>16000</v>
      </c>
      <c r="O30" s="8" t="s">
        <v>40</v>
      </c>
      <c r="P30" s="8" t="s">
        <v>71</v>
      </c>
      <c r="Q30" s="8" t="s">
        <v>42</v>
      </c>
      <c r="R30" s="6" t="s">
        <v>2096</v>
      </c>
      <c r="S30" s="6" t="s">
        <v>42</v>
      </c>
    </row>
    <row r="31" spans="1:19">
      <c r="A31" s="9">
        <v>24</v>
      </c>
      <c r="B31" s="9" t="s">
        <v>117</v>
      </c>
      <c r="C31" s="9" t="s">
        <v>118</v>
      </c>
      <c r="D31" s="9" t="s">
        <v>32</v>
      </c>
      <c r="E31" s="9" t="s">
        <v>68</v>
      </c>
      <c r="F31" s="7" t="s">
        <v>58</v>
      </c>
      <c r="G31" s="11">
        <v>1</v>
      </c>
      <c r="H31" s="11">
        <v>2</v>
      </c>
      <c r="I31" s="14">
        <v>18000.0</v>
      </c>
      <c r="J31" s="14"/>
      <c r="K31" s="16">
        <f>IF(I31&gt;0, J31/I31, 0)</f>
        <v>0</v>
      </c>
      <c r="L31" s="14">
        <v>18000.0</v>
      </c>
      <c r="M31" s="14"/>
      <c r="N31" s="14">
        <f>L31-M31</f>
        <v>18000</v>
      </c>
      <c r="O31" s="9" t="s">
        <v>40</v>
      </c>
      <c r="P31" s="9" t="s">
        <v>71</v>
      </c>
      <c r="Q31" s="9" t="s">
        <v>42</v>
      </c>
      <c r="R31" s="7" t="s">
        <v>2097</v>
      </c>
      <c r="S31" s="7" t="s">
        <v>42</v>
      </c>
    </row>
    <row r="32" spans="1:19">
      <c r="A32" s="8">
        <v>25</v>
      </c>
      <c r="B32" s="8" t="s">
        <v>119</v>
      </c>
      <c r="C32" s="8" t="s">
        <v>120</v>
      </c>
      <c r="D32" s="8" t="s">
        <v>32</v>
      </c>
      <c r="E32" s="8" t="s">
        <v>33</v>
      </c>
      <c r="F32" s="6" t="s">
        <v>58</v>
      </c>
      <c r="G32" s="10">
        <v>1</v>
      </c>
      <c r="H32" s="10">
        <v>2</v>
      </c>
      <c r="I32" s="13">
        <v>16000.0</v>
      </c>
      <c r="J32" s="13"/>
      <c r="K32" s="15">
        <f>IF(I32&gt;0, J32/I32, 0)</f>
        <v>0</v>
      </c>
      <c r="L32" s="13">
        <v>16000.0</v>
      </c>
      <c r="M32" s="13"/>
      <c r="N32" s="13">
        <f>L32-M32</f>
        <v>16000</v>
      </c>
      <c r="O32" s="8" t="s">
        <v>40</v>
      </c>
      <c r="P32" s="8" t="s">
        <v>41</v>
      </c>
      <c r="Q32" s="8" t="s">
        <v>42</v>
      </c>
      <c r="R32" s="6" t="s">
        <v>2098</v>
      </c>
      <c r="S32" s="6" t="s">
        <v>42</v>
      </c>
    </row>
    <row r="33" spans="1:19">
      <c r="A33" s="9">
        <v>26</v>
      </c>
      <c r="B33" s="9" t="s">
        <v>121</v>
      </c>
      <c r="C33" s="9" t="s">
        <v>120</v>
      </c>
      <c r="D33" s="9" t="s">
        <v>32</v>
      </c>
      <c r="E33" s="9" t="s">
        <v>33</v>
      </c>
      <c r="F33" s="7" t="s">
        <v>58</v>
      </c>
      <c r="G33" s="11">
        <v>1</v>
      </c>
      <c r="H33" s="11">
        <v>1</v>
      </c>
      <c r="I33" s="14">
        <v>8500.0</v>
      </c>
      <c r="J33" s="14"/>
      <c r="K33" s="16">
        <f>IF(I33&gt;0, J33/I33, 0)</f>
        <v>0</v>
      </c>
      <c r="L33" s="14">
        <v>8500.0</v>
      </c>
      <c r="M33" s="14"/>
      <c r="N33" s="14">
        <f>L33-M33</f>
        <v>8500</v>
      </c>
      <c r="O33" s="9" t="s">
        <v>40</v>
      </c>
      <c r="P33" s="9" t="s">
        <v>41</v>
      </c>
      <c r="Q33" s="9" t="s">
        <v>42</v>
      </c>
      <c r="R33" s="7" t="s">
        <v>2099</v>
      </c>
      <c r="S33" s="7" t="s">
        <v>42</v>
      </c>
    </row>
    <row r="34" spans="1:19">
      <c r="A34" s="8">
        <v>27</v>
      </c>
      <c r="B34" s="8" t="s">
        <v>123</v>
      </c>
      <c r="C34" s="8" t="s">
        <v>124</v>
      </c>
      <c r="D34" s="8" t="s">
        <v>32</v>
      </c>
      <c r="E34" s="8" t="s">
        <v>33</v>
      </c>
      <c r="F34" s="6" t="s">
        <v>58</v>
      </c>
      <c r="G34" s="10">
        <v>1</v>
      </c>
      <c r="H34" s="10">
        <v>1</v>
      </c>
      <c r="I34" s="13">
        <v>8000.0</v>
      </c>
      <c r="J34" s="13"/>
      <c r="K34" s="15">
        <f>IF(I34&gt;0, J34/I34, 0)</f>
        <v>0</v>
      </c>
      <c r="L34" s="13">
        <v>8000.0</v>
      </c>
      <c r="M34" s="13"/>
      <c r="N34" s="13">
        <f>L34-M34</f>
        <v>8000</v>
      </c>
      <c r="O34" s="8" t="s">
        <v>40</v>
      </c>
      <c r="P34" s="8" t="s">
        <v>41</v>
      </c>
      <c r="Q34" s="8" t="s">
        <v>42</v>
      </c>
      <c r="R34" s="6" t="s">
        <v>2099</v>
      </c>
      <c r="S34" s="6" t="s">
        <v>42</v>
      </c>
    </row>
    <row r="35" spans="1:19">
      <c r="A35" s="9">
        <v>28</v>
      </c>
      <c r="B35" s="9" t="s">
        <v>126</v>
      </c>
      <c r="C35" s="9" t="s">
        <v>127</v>
      </c>
      <c r="D35" s="9" t="s">
        <v>32</v>
      </c>
      <c r="E35" s="9" t="s">
        <v>33</v>
      </c>
      <c r="F35" s="7" t="s">
        <v>58</v>
      </c>
      <c r="G35" s="11">
        <v>1</v>
      </c>
      <c r="H35" s="11">
        <v>1</v>
      </c>
      <c r="I35" s="14">
        <v>7000.0</v>
      </c>
      <c r="J35" s="14"/>
      <c r="K35" s="16">
        <f>IF(I35&gt;0, J35/I35, 0)</f>
        <v>0</v>
      </c>
      <c r="L35" s="14">
        <v>7000.0</v>
      </c>
      <c r="M35" s="14"/>
      <c r="N35" s="14">
        <f>L35-M35</f>
        <v>7000</v>
      </c>
      <c r="O35" s="9" t="s">
        <v>40</v>
      </c>
      <c r="P35" s="9" t="s">
        <v>41</v>
      </c>
      <c r="Q35" s="9" t="s">
        <v>42</v>
      </c>
      <c r="R35" s="7" t="s">
        <v>2100</v>
      </c>
      <c r="S35" s="7" t="s">
        <v>42</v>
      </c>
    </row>
    <row r="36" spans="1:19">
      <c r="A36" s="8">
        <v>29</v>
      </c>
      <c r="B36" s="8" t="s">
        <v>129</v>
      </c>
      <c r="C36" s="8" t="s">
        <v>127</v>
      </c>
      <c r="D36" s="8" t="s">
        <v>32</v>
      </c>
      <c r="E36" s="8" t="s">
        <v>33</v>
      </c>
      <c r="F36" s="6" t="s">
        <v>58</v>
      </c>
      <c r="G36" s="10">
        <v>1</v>
      </c>
      <c r="H36" s="10">
        <v>2</v>
      </c>
      <c r="I36" s="13">
        <v>14000.0</v>
      </c>
      <c r="J36" s="13"/>
      <c r="K36" s="15">
        <f>IF(I36&gt;0, J36/I36, 0)</f>
        <v>0</v>
      </c>
      <c r="L36" s="13">
        <v>14000.0</v>
      </c>
      <c r="M36" s="13"/>
      <c r="N36" s="13">
        <f>L36-M36</f>
        <v>14000</v>
      </c>
      <c r="O36" s="8" t="s">
        <v>40</v>
      </c>
      <c r="P36" s="8" t="s">
        <v>41</v>
      </c>
      <c r="Q36" s="8" t="s">
        <v>42</v>
      </c>
      <c r="R36" s="6" t="s">
        <v>2098</v>
      </c>
      <c r="S36" s="6" t="s">
        <v>42</v>
      </c>
    </row>
    <row r="37" spans="1:19">
      <c r="A37" s="9">
        <v>30</v>
      </c>
      <c r="B37" s="9" t="s">
        <v>131</v>
      </c>
      <c r="C37" s="9" t="s">
        <v>132</v>
      </c>
      <c r="D37" s="9" t="s">
        <v>32</v>
      </c>
      <c r="E37" s="9" t="s">
        <v>33</v>
      </c>
      <c r="F37" s="7" t="s">
        <v>58</v>
      </c>
      <c r="G37" s="11">
        <v>1</v>
      </c>
      <c r="H37" s="11">
        <v>1</v>
      </c>
      <c r="I37" s="14">
        <v>18000.0</v>
      </c>
      <c r="J37" s="14"/>
      <c r="K37" s="16">
        <f>IF(I37&gt;0, J37/I37, 0)</f>
        <v>0</v>
      </c>
      <c r="L37" s="14">
        <v>18000.0</v>
      </c>
      <c r="M37" s="14"/>
      <c r="N37" s="14">
        <f>L37-M37</f>
        <v>18000</v>
      </c>
      <c r="O37" s="9" t="s">
        <v>40</v>
      </c>
      <c r="P37" s="9" t="s">
        <v>41</v>
      </c>
      <c r="Q37" s="9" t="s">
        <v>42</v>
      </c>
      <c r="R37" s="7" t="s">
        <v>2101</v>
      </c>
      <c r="S37" s="7" t="s">
        <v>42</v>
      </c>
    </row>
    <row r="38" spans="1:19">
      <c r="A38" s="8">
        <v>31</v>
      </c>
      <c r="B38" s="8" t="s">
        <v>135</v>
      </c>
      <c r="C38" s="8" t="s">
        <v>136</v>
      </c>
      <c r="D38" s="8" t="s">
        <v>32</v>
      </c>
      <c r="E38" s="8" t="s">
        <v>33</v>
      </c>
      <c r="F38" s="6" t="s">
        <v>58</v>
      </c>
      <c r="G38" s="10">
        <v>1</v>
      </c>
      <c r="H38" s="10">
        <v>1</v>
      </c>
      <c r="I38" s="13">
        <v>8000.0</v>
      </c>
      <c r="J38" s="13"/>
      <c r="K38" s="15">
        <f>IF(I38&gt;0, J38/I38, 0)</f>
        <v>0</v>
      </c>
      <c r="L38" s="13">
        <v>8000.0</v>
      </c>
      <c r="M38" s="13"/>
      <c r="N38" s="13">
        <f>L38-M38</f>
        <v>8000</v>
      </c>
      <c r="O38" s="8" t="s">
        <v>40</v>
      </c>
      <c r="P38" s="8" t="s">
        <v>41</v>
      </c>
      <c r="Q38" s="8" t="s">
        <v>42</v>
      </c>
      <c r="R38" s="6" t="s">
        <v>2084</v>
      </c>
      <c r="S38" s="6" t="s">
        <v>42</v>
      </c>
    </row>
    <row r="39" spans="1:19">
      <c r="A39" s="9">
        <v>32</v>
      </c>
      <c r="B39" s="9" t="s">
        <v>137</v>
      </c>
      <c r="C39" s="9" t="s">
        <v>136</v>
      </c>
      <c r="D39" s="9" t="s">
        <v>32</v>
      </c>
      <c r="E39" s="9" t="s">
        <v>33</v>
      </c>
      <c r="F39" s="7" t="s">
        <v>58</v>
      </c>
      <c r="G39" s="11">
        <v>1</v>
      </c>
      <c r="H39" s="11">
        <v>2</v>
      </c>
      <c r="I39" s="14">
        <v>14000.0</v>
      </c>
      <c r="J39" s="14"/>
      <c r="K39" s="16">
        <f>IF(I39&gt;0, J39/I39, 0)</f>
        <v>0</v>
      </c>
      <c r="L39" s="14">
        <v>14000.0</v>
      </c>
      <c r="M39" s="14"/>
      <c r="N39" s="14">
        <f>L39-M39</f>
        <v>14000</v>
      </c>
      <c r="O39" s="9" t="s">
        <v>40</v>
      </c>
      <c r="P39" s="9" t="s">
        <v>41</v>
      </c>
      <c r="Q39" s="9" t="s">
        <v>42</v>
      </c>
      <c r="R39" s="7" t="s">
        <v>2102</v>
      </c>
      <c r="S39" s="7" t="s">
        <v>42</v>
      </c>
    </row>
    <row r="40" spans="1:19">
      <c r="A40" s="8">
        <v>33</v>
      </c>
      <c r="B40" s="8" t="s">
        <v>138</v>
      </c>
      <c r="C40" s="8" t="s">
        <v>139</v>
      </c>
      <c r="D40" s="8" t="s">
        <v>32</v>
      </c>
      <c r="E40" s="8" t="s">
        <v>33</v>
      </c>
      <c r="F40" s="6" t="s">
        <v>58</v>
      </c>
      <c r="G40" s="10">
        <v>1</v>
      </c>
      <c r="H40" s="10">
        <v>1</v>
      </c>
      <c r="I40" s="13">
        <v>18000.0</v>
      </c>
      <c r="J40" s="13"/>
      <c r="K40" s="15">
        <f>IF(I40&gt;0, J40/I40, 0)</f>
        <v>0</v>
      </c>
      <c r="L40" s="13">
        <v>18000.0</v>
      </c>
      <c r="M40" s="13"/>
      <c r="N40" s="13">
        <f>L40-M40</f>
        <v>18000</v>
      </c>
      <c r="O40" s="8" t="s">
        <v>40</v>
      </c>
      <c r="P40" s="8" t="s">
        <v>41</v>
      </c>
      <c r="Q40" s="8" t="s">
        <v>42</v>
      </c>
      <c r="R40" s="6" t="s">
        <v>2103</v>
      </c>
      <c r="S40" s="6" t="s">
        <v>42</v>
      </c>
    </row>
    <row r="41" spans="1:19">
      <c r="A41" s="9">
        <v>34</v>
      </c>
      <c r="B41" s="9" t="s">
        <v>141</v>
      </c>
      <c r="C41" s="9" t="s">
        <v>139</v>
      </c>
      <c r="D41" s="9" t="s">
        <v>32</v>
      </c>
      <c r="E41" s="9" t="s">
        <v>33</v>
      </c>
      <c r="F41" s="7" t="s">
        <v>58</v>
      </c>
      <c r="G41" s="11">
        <v>1</v>
      </c>
      <c r="H41" s="11">
        <v>2</v>
      </c>
      <c r="I41" s="14">
        <v>20000.0</v>
      </c>
      <c r="J41" s="14"/>
      <c r="K41" s="16">
        <f>IF(I41&gt;0, J41/I41, 0)</f>
        <v>0</v>
      </c>
      <c r="L41" s="14">
        <v>20000.0</v>
      </c>
      <c r="M41" s="14"/>
      <c r="N41" s="14">
        <f>L41-M41</f>
        <v>20000</v>
      </c>
      <c r="O41" s="9" t="s">
        <v>40</v>
      </c>
      <c r="P41" s="9" t="s">
        <v>41</v>
      </c>
      <c r="Q41" s="9" t="s">
        <v>42</v>
      </c>
      <c r="R41" s="7" t="s">
        <v>2104</v>
      </c>
      <c r="S41" s="7" t="s">
        <v>143</v>
      </c>
    </row>
    <row r="42" spans="1:19">
      <c r="A42" s="8">
        <v>35</v>
      </c>
      <c r="B42" s="8" t="s">
        <v>144</v>
      </c>
      <c r="C42" s="8" t="s">
        <v>139</v>
      </c>
      <c r="D42" s="8" t="s">
        <v>32</v>
      </c>
      <c r="E42" s="8" t="s">
        <v>33</v>
      </c>
      <c r="F42" s="6" t="s">
        <v>58</v>
      </c>
      <c r="G42" s="10">
        <v>1</v>
      </c>
      <c r="H42" s="10">
        <v>1</v>
      </c>
      <c r="I42" s="13">
        <v>10000.0</v>
      </c>
      <c r="J42" s="13"/>
      <c r="K42" s="15">
        <f>IF(I42&gt;0, J42/I42, 0)</f>
        <v>0</v>
      </c>
      <c r="L42" s="13">
        <v>10000.0</v>
      </c>
      <c r="M42" s="13"/>
      <c r="N42" s="13">
        <f>L42-M42</f>
        <v>10000</v>
      </c>
      <c r="O42" s="8" t="s">
        <v>40</v>
      </c>
      <c r="P42" s="8" t="s">
        <v>41</v>
      </c>
      <c r="Q42" s="8" t="s">
        <v>42</v>
      </c>
      <c r="R42" s="6" t="s">
        <v>2082</v>
      </c>
      <c r="S42" s="6" t="s">
        <v>143</v>
      </c>
    </row>
    <row r="43" spans="1:19">
      <c r="A43" s="9">
        <v>36</v>
      </c>
      <c r="B43" s="9" t="s">
        <v>145</v>
      </c>
      <c r="C43" s="9" t="s">
        <v>139</v>
      </c>
      <c r="D43" s="9" t="s">
        <v>32</v>
      </c>
      <c r="E43" s="9" t="s">
        <v>33</v>
      </c>
      <c r="F43" s="7" t="s">
        <v>58</v>
      </c>
      <c r="G43" s="11">
        <v>1</v>
      </c>
      <c r="H43" s="11">
        <v>1</v>
      </c>
      <c r="I43" s="14">
        <v>7000.0</v>
      </c>
      <c r="J43" s="14"/>
      <c r="K43" s="16">
        <f>IF(I43&gt;0, J43/I43, 0)</f>
        <v>0</v>
      </c>
      <c r="L43" s="14">
        <v>7000.0</v>
      </c>
      <c r="M43" s="14"/>
      <c r="N43" s="14">
        <f>L43-M43</f>
        <v>7000</v>
      </c>
      <c r="O43" s="9" t="s">
        <v>40</v>
      </c>
      <c r="P43" s="9" t="s">
        <v>41</v>
      </c>
      <c r="Q43" s="9" t="s">
        <v>42</v>
      </c>
      <c r="R43" s="7" t="s">
        <v>2105</v>
      </c>
      <c r="S43" s="7" t="s">
        <v>42</v>
      </c>
    </row>
    <row r="44" spans="1:19">
      <c r="A44" s="8">
        <v>37</v>
      </c>
      <c r="B44" s="8" t="s">
        <v>147</v>
      </c>
      <c r="C44" s="8" t="s">
        <v>139</v>
      </c>
      <c r="D44" s="8" t="s">
        <v>32</v>
      </c>
      <c r="E44" s="8" t="s">
        <v>33</v>
      </c>
      <c r="F44" s="6" t="s">
        <v>58</v>
      </c>
      <c r="G44" s="10">
        <v>1</v>
      </c>
      <c r="H44" s="10">
        <v>1</v>
      </c>
      <c r="I44" s="13">
        <v>15000.0</v>
      </c>
      <c r="J44" s="13"/>
      <c r="K44" s="15">
        <f>IF(I44&gt;0, J44/I44, 0)</f>
        <v>0</v>
      </c>
      <c r="L44" s="13">
        <v>15000.0</v>
      </c>
      <c r="M44" s="13"/>
      <c r="N44" s="13">
        <f>L44-M44</f>
        <v>15000</v>
      </c>
      <c r="O44" s="8" t="s">
        <v>40</v>
      </c>
      <c r="P44" s="8" t="s">
        <v>41</v>
      </c>
      <c r="Q44" s="8" t="s">
        <v>42</v>
      </c>
      <c r="R44" s="6" t="s">
        <v>2106</v>
      </c>
      <c r="S44" s="6" t="s">
        <v>143</v>
      </c>
    </row>
    <row r="45" spans="1:19">
      <c r="A45" s="9">
        <v>38</v>
      </c>
      <c r="B45" s="9" t="s">
        <v>150</v>
      </c>
      <c r="C45" s="9" t="s">
        <v>139</v>
      </c>
      <c r="D45" s="9" t="s">
        <v>32</v>
      </c>
      <c r="E45" s="9" t="s">
        <v>33</v>
      </c>
      <c r="F45" s="7" t="s">
        <v>58</v>
      </c>
      <c r="G45" s="11">
        <v>1</v>
      </c>
      <c r="H45" s="11">
        <v>1</v>
      </c>
      <c r="I45" s="14">
        <v>7000.0</v>
      </c>
      <c r="J45" s="14"/>
      <c r="K45" s="16">
        <f>IF(I45&gt;0, J45/I45, 0)</f>
        <v>0</v>
      </c>
      <c r="L45" s="14">
        <v>7000.0</v>
      </c>
      <c r="M45" s="14"/>
      <c r="N45" s="14">
        <f>L45-M45</f>
        <v>7000</v>
      </c>
      <c r="O45" s="9" t="s">
        <v>40</v>
      </c>
      <c r="P45" s="9" t="s">
        <v>41</v>
      </c>
      <c r="Q45" s="9" t="s">
        <v>42</v>
      </c>
      <c r="R45" s="7" t="s">
        <v>2107</v>
      </c>
      <c r="S45" s="7" t="s">
        <v>42</v>
      </c>
    </row>
    <row r="46" spans="1:19">
      <c r="A46" s="8">
        <v>39</v>
      </c>
      <c r="B46" s="8" t="s">
        <v>152</v>
      </c>
      <c r="C46" s="8" t="s">
        <v>139</v>
      </c>
      <c r="D46" s="8" t="s">
        <v>32</v>
      </c>
      <c r="E46" s="8" t="s">
        <v>33</v>
      </c>
      <c r="F46" s="6" t="s">
        <v>58</v>
      </c>
      <c r="G46" s="10">
        <v>1</v>
      </c>
      <c r="H46" s="10">
        <v>1</v>
      </c>
      <c r="I46" s="13">
        <v>15000.0</v>
      </c>
      <c r="J46" s="13"/>
      <c r="K46" s="15">
        <f>IF(I46&gt;0, J46/I46, 0)</f>
        <v>0</v>
      </c>
      <c r="L46" s="13">
        <v>15000.0</v>
      </c>
      <c r="M46" s="13"/>
      <c r="N46" s="13">
        <f>L46-M46</f>
        <v>15000</v>
      </c>
      <c r="O46" s="8" t="s">
        <v>40</v>
      </c>
      <c r="P46" s="8" t="s">
        <v>41</v>
      </c>
      <c r="Q46" s="8" t="s">
        <v>42</v>
      </c>
      <c r="R46" s="6" t="s">
        <v>2108</v>
      </c>
      <c r="S46" s="6" t="s">
        <v>143</v>
      </c>
    </row>
    <row r="47" spans="1:19">
      <c r="A47" s="9">
        <v>40</v>
      </c>
      <c r="B47" s="9" t="s">
        <v>155</v>
      </c>
      <c r="C47" s="9" t="s">
        <v>139</v>
      </c>
      <c r="D47" s="9" t="s">
        <v>32</v>
      </c>
      <c r="E47" s="9" t="s">
        <v>33</v>
      </c>
      <c r="F47" s="7" t="s">
        <v>58</v>
      </c>
      <c r="G47" s="11">
        <v>1</v>
      </c>
      <c r="H47" s="11">
        <v>1</v>
      </c>
      <c r="I47" s="14">
        <v>9000.0</v>
      </c>
      <c r="J47" s="14"/>
      <c r="K47" s="16">
        <f>IF(I47&gt;0, J47/I47, 0)</f>
        <v>0</v>
      </c>
      <c r="L47" s="14">
        <v>9000.0</v>
      </c>
      <c r="M47" s="14"/>
      <c r="N47" s="14">
        <f>L47-M47</f>
        <v>9000</v>
      </c>
      <c r="O47" s="9" t="s">
        <v>40</v>
      </c>
      <c r="P47" s="9" t="s">
        <v>41</v>
      </c>
      <c r="Q47" s="9" t="s">
        <v>42</v>
      </c>
      <c r="R47" s="7" t="s">
        <v>2109</v>
      </c>
      <c r="S47" s="7" t="s">
        <v>42</v>
      </c>
    </row>
    <row r="48" spans="1:19">
      <c r="A48" s="8">
        <v>41</v>
      </c>
      <c r="B48" s="8" t="s">
        <v>157</v>
      </c>
      <c r="C48" s="8" t="s">
        <v>139</v>
      </c>
      <c r="D48" s="8" t="s">
        <v>32</v>
      </c>
      <c r="E48" s="8" t="s">
        <v>33</v>
      </c>
      <c r="F48" s="6" t="s">
        <v>58</v>
      </c>
      <c r="G48" s="10">
        <v>1</v>
      </c>
      <c r="H48" s="10">
        <v>1</v>
      </c>
      <c r="I48" s="13">
        <v>5000.0</v>
      </c>
      <c r="J48" s="13"/>
      <c r="K48" s="15">
        <f>IF(I48&gt;0, J48/I48, 0)</f>
        <v>0</v>
      </c>
      <c r="L48" s="13">
        <v>5000.0</v>
      </c>
      <c r="M48" s="13"/>
      <c r="N48" s="13">
        <f>L48-M48</f>
        <v>5000</v>
      </c>
      <c r="O48" s="8" t="s">
        <v>40</v>
      </c>
      <c r="P48" s="8" t="s">
        <v>41</v>
      </c>
      <c r="Q48" s="8" t="s">
        <v>42</v>
      </c>
      <c r="R48" s="6" t="s">
        <v>2110</v>
      </c>
      <c r="S48" s="6" t="s">
        <v>143</v>
      </c>
    </row>
    <row r="49" spans="1:19">
      <c r="A49" s="9">
        <v>42</v>
      </c>
      <c r="B49" s="9" t="s">
        <v>161</v>
      </c>
      <c r="C49" s="9" t="s">
        <v>139</v>
      </c>
      <c r="D49" s="9" t="s">
        <v>32</v>
      </c>
      <c r="E49" s="9" t="s">
        <v>33</v>
      </c>
      <c r="F49" s="7" t="s">
        <v>58</v>
      </c>
      <c r="G49" s="11">
        <v>1</v>
      </c>
      <c r="H49" s="11">
        <v>1</v>
      </c>
      <c r="I49" s="14">
        <v>15000.0</v>
      </c>
      <c r="J49" s="14"/>
      <c r="K49" s="16">
        <f>IF(I49&gt;0, J49/I49, 0)</f>
        <v>0</v>
      </c>
      <c r="L49" s="14">
        <v>15000.0</v>
      </c>
      <c r="M49" s="14"/>
      <c r="N49" s="14">
        <f>L49-M49</f>
        <v>15000</v>
      </c>
      <c r="O49" s="9" t="s">
        <v>40</v>
      </c>
      <c r="P49" s="9" t="s">
        <v>41</v>
      </c>
      <c r="Q49" s="9" t="s">
        <v>42</v>
      </c>
      <c r="R49" s="7" t="s">
        <v>2111</v>
      </c>
      <c r="S49" s="7" t="s">
        <v>143</v>
      </c>
    </row>
    <row r="50" spans="1:19">
      <c r="A50" s="8">
        <v>43</v>
      </c>
      <c r="B50" s="8" t="s">
        <v>164</v>
      </c>
      <c r="C50" s="8" t="s">
        <v>139</v>
      </c>
      <c r="D50" s="8" t="s">
        <v>32</v>
      </c>
      <c r="E50" s="8" t="s">
        <v>33</v>
      </c>
      <c r="F50" s="6" t="s">
        <v>58</v>
      </c>
      <c r="G50" s="10">
        <v>1</v>
      </c>
      <c r="H50" s="10">
        <v>1</v>
      </c>
      <c r="I50" s="13">
        <v>12000.0</v>
      </c>
      <c r="J50" s="13"/>
      <c r="K50" s="15">
        <f>IF(I50&gt;0, J50/I50, 0)</f>
        <v>0</v>
      </c>
      <c r="L50" s="13">
        <v>12000.0</v>
      </c>
      <c r="M50" s="13"/>
      <c r="N50" s="13">
        <f>L50-M50</f>
        <v>12000</v>
      </c>
      <c r="O50" s="8" t="s">
        <v>40</v>
      </c>
      <c r="P50" s="8" t="s">
        <v>41</v>
      </c>
      <c r="Q50" s="8" t="s">
        <v>42</v>
      </c>
      <c r="R50" s="6" t="s">
        <v>2112</v>
      </c>
      <c r="S50" s="6" t="s">
        <v>143</v>
      </c>
    </row>
    <row r="51" spans="1:19">
      <c r="A51" s="9">
        <v>44</v>
      </c>
      <c r="B51" s="9" t="s">
        <v>166</v>
      </c>
      <c r="C51" s="9" t="s">
        <v>139</v>
      </c>
      <c r="D51" s="9" t="s">
        <v>32</v>
      </c>
      <c r="E51" s="9" t="s">
        <v>33</v>
      </c>
      <c r="F51" s="7" t="s">
        <v>58</v>
      </c>
      <c r="G51" s="11">
        <v>1</v>
      </c>
      <c r="H51" s="11">
        <v>1</v>
      </c>
      <c r="I51" s="14">
        <v>12000.0</v>
      </c>
      <c r="J51" s="14"/>
      <c r="K51" s="16">
        <f>IF(I51&gt;0, J51/I51, 0)</f>
        <v>0</v>
      </c>
      <c r="L51" s="14">
        <v>12000.0</v>
      </c>
      <c r="M51" s="14"/>
      <c r="N51" s="14">
        <f>L51-M51</f>
        <v>12000</v>
      </c>
      <c r="O51" s="9" t="s">
        <v>40</v>
      </c>
      <c r="P51" s="9" t="s">
        <v>41</v>
      </c>
      <c r="Q51" s="9" t="s">
        <v>42</v>
      </c>
      <c r="R51" s="7" t="s">
        <v>2113</v>
      </c>
      <c r="S51" s="7" t="s">
        <v>143</v>
      </c>
    </row>
    <row r="52" spans="1:19">
      <c r="A52" s="8">
        <v>45</v>
      </c>
      <c r="B52" s="8" t="s">
        <v>168</v>
      </c>
      <c r="C52" s="8" t="s">
        <v>139</v>
      </c>
      <c r="D52" s="8" t="s">
        <v>32</v>
      </c>
      <c r="E52" s="8" t="s">
        <v>33</v>
      </c>
      <c r="F52" s="6" t="s">
        <v>58</v>
      </c>
      <c r="G52" s="10">
        <v>1</v>
      </c>
      <c r="H52" s="10">
        <v>1</v>
      </c>
      <c r="I52" s="13">
        <v>15000.0</v>
      </c>
      <c r="J52" s="13"/>
      <c r="K52" s="15">
        <f>IF(I52&gt;0, J52/I52, 0)</f>
        <v>0</v>
      </c>
      <c r="L52" s="13">
        <v>15000.0</v>
      </c>
      <c r="M52" s="13"/>
      <c r="N52" s="13">
        <f>L52-M52</f>
        <v>15000</v>
      </c>
      <c r="O52" s="8" t="s">
        <v>40</v>
      </c>
      <c r="P52" s="8" t="s">
        <v>41</v>
      </c>
      <c r="Q52" s="8" t="s">
        <v>42</v>
      </c>
      <c r="R52" s="6" t="s">
        <v>2114</v>
      </c>
      <c r="S52" s="6" t="s">
        <v>42</v>
      </c>
    </row>
    <row r="53" spans="1:19">
      <c r="A53" s="9">
        <v>46</v>
      </c>
      <c r="B53" s="9" t="s">
        <v>170</v>
      </c>
      <c r="C53" s="9" t="s">
        <v>139</v>
      </c>
      <c r="D53" s="9" t="s">
        <v>32</v>
      </c>
      <c r="E53" s="9" t="s">
        <v>33</v>
      </c>
      <c r="F53" s="7" t="s">
        <v>58</v>
      </c>
      <c r="G53" s="11">
        <v>1</v>
      </c>
      <c r="H53" s="11">
        <v>1</v>
      </c>
      <c r="I53" s="14">
        <v>5000.0</v>
      </c>
      <c r="J53" s="14"/>
      <c r="K53" s="16">
        <f>IF(I53&gt;0, J53/I53, 0)</f>
        <v>0</v>
      </c>
      <c r="L53" s="14">
        <v>5000.0</v>
      </c>
      <c r="M53" s="14"/>
      <c r="N53" s="14">
        <f>L53-M53</f>
        <v>5000</v>
      </c>
      <c r="O53" s="9" t="s">
        <v>40</v>
      </c>
      <c r="P53" s="9" t="s">
        <v>41</v>
      </c>
      <c r="Q53" s="9" t="s">
        <v>42</v>
      </c>
      <c r="R53" s="7" t="s">
        <v>2110</v>
      </c>
      <c r="S53" s="7" t="s">
        <v>143</v>
      </c>
    </row>
    <row r="54" spans="1:19">
      <c r="A54" s="8">
        <v>47</v>
      </c>
      <c r="B54" s="8" t="s">
        <v>171</v>
      </c>
      <c r="C54" s="8" t="s">
        <v>139</v>
      </c>
      <c r="D54" s="8" t="s">
        <v>32</v>
      </c>
      <c r="E54" s="8" t="s">
        <v>33</v>
      </c>
      <c r="F54" s="6" t="s">
        <v>58</v>
      </c>
      <c r="G54" s="10">
        <v>1</v>
      </c>
      <c r="H54" s="10">
        <v>1</v>
      </c>
      <c r="I54" s="13">
        <v>15000.0</v>
      </c>
      <c r="J54" s="13"/>
      <c r="K54" s="15">
        <f>IF(I54&gt;0, J54/I54, 0)</f>
        <v>0</v>
      </c>
      <c r="L54" s="13">
        <v>15000.0</v>
      </c>
      <c r="M54" s="13"/>
      <c r="N54" s="13">
        <f>L54-M54</f>
        <v>15000</v>
      </c>
      <c r="O54" s="8" t="s">
        <v>40</v>
      </c>
      <c r="P54" s="8" t="s">
        <v>41</v>
      </c>
      <c r="Q54" s="8" t="s">
        <v>42</v>
      </c>
      <c r="R54" s="6" t="s">
        <v>2115</v>
      </c>
      <c r="S54" s="6" t="s">
        <v>143</v>
      </c>
    </row>
    <row r="55" spans="1:19">
      <c r="A55" s="9">
        <v>48</v>
      </c>
      <c r="B55" s="9" t="s">
        <v>174</v>
      </c>
      <c r="C55" s="9" t="s">
        <v>139</v>
      </c>
      <c r="D55" s="9" t="s">
        <v>32</v>
      </c>
      <c r="E55" s="9" t="s">
        <v>33</v>
      </c>
      <c r="F55" s="7" t="s">
        <v>58</v>
      </c>
      <c r="G55" s="11">
        <v>1</v>
      </c>
      <c r="H55" s="11">
        <v>1</v>
      </c>
      <c r="I55" s="14">
        <v>8000.0</v>
      </c>
      <c r="J55" s="14"/>
      <c r="K55" s="16">
        <f>IF(I55&gt;0, J55/I55, 0)</f>
        <v>0</v>
      </c>
      <c r="L55" s="14">
        <v>8000.0</v>
      </c>
      <c r="M55" s="14"/>
      <c r="N55" s="14">
        <f>L55-M55</f>
        <v>8000</v>
      </c>
      <c r="O55" s="9" t="s">
        <v>40</v>
      </c>
      <c r="P55" s="9" t="s">
        <v>41</v>
      </c>
      <c r="Q55" s="9" t="s">
        <v>42</v>
      </c>
      <c r="R55" s="7" t="s">
        <v>2116</v>
      </c>
      <c r="S55" s="7" t="s">
        <v>42</v>
      </c>
    </row>
    <row r="56" spans="1:19">
      <c r="A56" s="8">
        <v>49</v>
      </c>
      <c r="B56" s="8" t="s">
        <v>176</v>
      </c>
      <c r="C56" s="8" t="s">
        <v>139</v>
      </c>
      <c r="D56" s="8" t="s">
        <v>32</v>
      </c>
      <c r="E56" s="8" t="s">
        <v>33</v>
      </c>
      <c r="F56" s="6" t="s">
        <v>58</v>
      </c>
      <c r="G56" s="10">
        <v>1</v>
      </c>
      <c r="H56" s="10">
        <v>2</v>
      </c>
      <c r="I56" s="13">
        <v>14000.0</v>
      </c>
      <c r="J56" s="13"/>
      <c r="K56" s="15">
        <f>IF(I56&gt;0, J56/I56, 0)</f>
        <v>0</v>
      </c>
      <c r="L56" s="13">
        <v>14000.0</v>
      </c>
      <c r="M56" s="13"/>
      <c r="N56" s="13">
        <f>L56-M56</f>
        <v>14000</v>
      </c>
      <c r="O56" s="8" t="s">
        <v>40</v>
      </c>
      <c r="P56" s="8" t="s">
        <v>41</v>
      </c>
      <c r="Q56" s="8" t="s">
        <v>42</v>
      </c>
      <c r="R56" s="6" t="s">
        <v>2117</v>
      </c>
      <c r="S56" s="6" t="s">
        <v>42</v>
      </c>
    </row>
    <row r="57" spans="1:19">
      <c r="A57" s="9">
        <v>50</v>
      </c>
      <c r="B57" s="9" t="s">
        <v>178</v>
      </c>
      <c r="C57" s="9" t="s">
        <v>139</v>
      </c>
      <c r="D57" s="9" t="s">
        <v>32</v>
      </c>
      <c r="E57" s="9" t="s">
        <v>33</v>
      </c>
      <c r="F57" s="7" t="s">
        <v>58</v>
      </c>
      <c r="G57" s="11">
        <v>1</v>
      </c>
      <c r="H57" s="11">
        <v>1</v>
      </c>
      <c r="I57" s="14">
        <v>18000.0</v>
      </c>
      <c r="J57" s="14"/>
      <c r="K57" s="16">
        <f>IF(I57&gt;0, J57/I57, 0)</f>
        <v>0</v>
      </c>
      <c r="L57" s="14">
        <v>18000.0</v>
      </c>
      <c r="M57" s="14"/>
      <c r="N57" s="14">
        <f>L57-M57</f>
        <v>18000</v>
      </c>
      <c r="O57" s="9" t="s">
        <v>40</v>
      </c>
      <c r="P57" s="9" t="s">
        <v>41</v>
      </c>
      <c r="Q57" s="9" t="s">
        <v>42</v>
      </c>
      <c r="R57" s="7" t="s">
        <v>2118</v>
      </c>
      <c r="S57" s="7" t="s">
        <v>143</v>
      </c>
    </row>
    <row r="58" spans="1:19">
      <c r="A58" s="8">
        <v>51</v>
      </c>
      <c r="B58" s="8" t="s">
        <v>180</v>
      </c>
      <c r="C58" s="8" t="s">
        <v>139</v>
      </c>
      <c r="D58" s="8" t="s">
        <v>32</v>
      </c>
      <c r="E58" s="8" t="s">
        <v>33</v>
      </c>
      <c r="F58" s="6" t="s">
        <v>58</v>
      </c>
      <c r="G58" s="10">
        <v>1</v>
      </c>
      <c r="H58" s="10">
        <v>1</v>
      </c>
      <c r="I58" s="13">
        <v>18000.0</v>
      </c>
      <c r="J58" s="13"/>
      <c r="K58" s="15">
        <f>IF(I58&gt;0, J58/I58, 0)</f>
        <v>0</v>
      </c>
      <c r="L58" s="13">
        <v>18000.0</v>
      </c>
      <c r="M58" s="13"/>
      <c r="N58" s="13">
        <f>L58-M58</f>
        <v>18000</v>
      </c>
      <c r="O58" s="8" t="s">
        <v>40</v>
      </c>
      <c r="P58" s="8" t="s">
        <v>41</v>
      </c>
      <c r="Q58" s="8" t="s">
        <v>42</v>
      </c>
      <c r="R58" s="6" t="s">
        <v>2119</v>
      </c>
      <c r="S58" s="6" t="s">
        <v>42</v>
      </c>
    </row>
    <row r="59" spans="1:19">
      <c r="A59" s="9">
        <v>52</v>
      </c>
      <c r="B59" s="9" t="s">
        <v>182</v>
      </c>
      <c r="C59" s="9" t="s">
        <v>139</v>
      </c>
      <c r="D59" s="9" t="s">
        <v>32</v>
      </c>
      <c r="E59" s="9" t="s">
        <v>33</v>
      </c>
      <c r="F59" s="7" t="s">
        <v>58</v>
      </c>
      <c r="G59" s="11">
        <v>1</v>
      </c>
      <c r="H59" s="11">
        <v>1</v>
      </c>
      <c r="I59" s="14">
        <v>18000.0</v>
      </c>
      <c r="J59" s="14"/>
      <c r="K59" s="16">
        <f>IF(I59&gt;0, J59/I59, 0)</f>
        <v>0</v>
      </c>
      <c r="L59" s="14">
        <v>18000.0</v>
      </c>
      <c r="M59" s="14"/>
      <c r="N59" s="14">
        <f>L59-M59</f>
        <v>18000</v>
      </c>
      <c r="O59" s="9" t="s">
        <v>40</v>
      </c>
      <c r="P59" s="9" t="s">
        <v>41</v>
      </c>
      <c r="Q59" s="9" t="s">
        <v>42</v>
      </c>
      <c r="R59" s="7" t="s">
        <v>2120</v>
      </c>
      <c r="S59" s="7" t="s">
        <v>42</v>
      </c>
    </row>
    <row r="60" spans="1:19">
      <c r="A60" s="8">
        <v>53</v>
      </c>
      <c r="B60" s="8" t="s">
        <v>184</v>
      </c>
      <c r="C60" s="8" t="s">
        <v>139</v>
      </c>
      <c r="D60" s="8" t="s">
        <v>32</v>
      </c>
      <c r="E60" s="8" t="s">
        <v>33</v>
      </c>
      <c r="F60" s="6" t="s">
        <v>58</v>
      </c>
      <c r="G60" s="10">
        <v>1</v>
      </c>
      <c r="H60" s="10">
        <v>1</v>
      </c>
      <c r="I60" s="13">
        <v>10000.0</v>
      </c>
      <c r="J60" s="13"/>
      <c r="K60" s="15">
        <f>IF(I60&gt;0, J60/I60, 0)</f>
        <v>0</v>
      </c>
      <c r="L60" s="13">
        <v>10000.0</v>
      </c>
      <c r="M60" s="13"/>
      <c r="N60" s="13">
        <f>L60-M60</f>
        <v>10000</v>
      </c>
      <c r="O60" s="8" t="s">
        <v>40</v>
      </c>
      <c r="P60" s="8" t="s">
        <v>41</v>
      </c>
      <c r="Q60" s="8" t="s">
        <v>42</v>
      </c>
      <c r="R60" s="6" t="s">
        <v>2121</v>
      </c>
      <c r="S60" s="6" t="s">
        <v>42</v>
      </c>
    </row>
    <row r="61" spans="1:19">
      <c r="A61" s="9">
        <v>54</v>
      </c>
      <c r="B61" s="9" t="s">
        <v>186</v>
      </c>
      <c r="C61" s="9" t="s">
        <v>139</v>
      </c>
      <c r="D61" s="9" t="s">
        <v>32</v>
      </c>
      <c r="E61" s="9" t="s">
        <v>33</v>
      </c>
      <c r="F61" s="7" t="s">
        <v>58</v>
      </c>
      <c r="G61" s="11">
        <v>1</v>
      </c>
      <c r="H61" s="11">
        <v>1</v>
      </c>
      <c r="I61" s="14">
        <v>10000.0</v>
      </c>
      <c r="J61" s="14"/>
      <c r="K61" s="16">
        <f>IF(I61&gt;0, J61/I61, 0)</f>
        <v>0</v>
      </c>
      <c r="L61" s="14">
        <v>10000.0</v>
      </c>
      <c r="M61" s="14"/>
      <c r="N61" s="14">
        <f>L61-M61</f>
        <v>10000</v>
      </c>
      <c r="O61" s="9" t="s">
        <v>40</v>
      </c>
      <c r="P61" s="9" t="s">
        <v>41</v>
      </c>
      <c r="Q61" s="9" t="s">
        <v>42</v>
      </c>
      <c r="R61" s="7" t="s">
        <v>2081</v>
      </c>
      <c r="S61" s="7" t="s">
        <v>42</v>
      </c>
    </row>
    <row r="62" spans="1:19">
      <c r="A62" s="8">
        <v>55</v>
      </c>
      <c r="B62" s="8" t="s">
        <v>188</v>
      </c>
      <c r="C62" s="8" t="s">
        <v>139</v>
      </c>
      <c r="D62" s="8" t="s">
        <v>32</v>
      </c>
      <c r="E62" s="8" t="s">
        <v>33</v>
      </c>
      <c r="F62" s="6" t="s">
        <v>58</v>
      </c>
      <c r="G62" s="10">
        <v>1</v>
      </c>
      <c r="H62" s="10">
        <v>1</v>
      </c>
      <c r="I62" s="13">
        <v>18000.0</v>
      </c>
      <c r="J62" s="13"/>
      <c r="K62" s="15">
        <f>IF(I62&gt;0, J62/I62, 0)</f>
        <v>0</v>
      </c>
      <c r="L62" s="13">
        <v>18000.0</v>
      </c>
      <c r="M62" s="13"/>
      <c r="N62" s="13">
        <f>L62-M62</f>
        <v>18000</v>
      </c>
      <c r="O62" s="8" t="s">
        <v>40</v>
      </c>
      <c r="P62" s="8" t="s">
        <v>41</v>
      </c>
      <c r="Q62" s="8" t="s">
        <v>42</v>
      </c>
      <c r="R62" s="6" t="s">
        <v>2118</v>
      </c>
      <c r="S62" s="6" t="s">
        <v>143</v>
      </c>
    </row>
    <row r="63" spans="1:19">
      <c r="A63" s="9">
        <v>56</v>
      </c>
      <c r="B63" s="9" t="s">
        <v>189</v>
      </c>
      <c r="C63" s="9" t="s">
        <v>139</v>
      </c>
      <c r="D63" s="9" t="s">
        <v>32</v>
      </c>
      <c r="E63" s="9" t="s">
        <v>33</v>
      </c>
      <c r="F63" s="7" t="s">
        <v>58</v>
      </c>
      <c r="G63" s="11">
        <v>1</v>
      </c>
      <c r="H63" s="11">
        <v>1</v>
      </c>
      <c r="I63" s="14">
        <v>18000.0</v>
      </c>
      <c r="J63" s="14"/>
      <c r="K63" s="16">
        <f>IF(I63&gt;0, J63/I63, 0)</f>
        <v>0</v>
      </c>
      <c r="L63" s="14">
        <v>18000.0</v>
      </c>
      <c r="M63" s="14"/>
      <c r="N63" s="14">
        <f>L63-M63</f>
        <v>18000</v>
      </c>
      <c r="O63" s="9" t="s">
        <v>40</v>
      </c>
      <c r="P63" s="9" t="s">
        <v>41</v>
      </c>
      <c r="Q63" s="9" t="s">
        <v>42</v>
      </c>
      <c r="R63" s="7" t="s">
        <v>2080</v>
      </c>
      <c r="S63" s="7" t="s">
        <v>143</v>
      </c>
    </row>
    <row r="64" spans="1:19">
      <c r="A64" s="8">
        <v>57</v>
      </c>
      <c r="B64" s="8" t="s">
        <v>190</v>
      </c>
      <c r="C64" s="8" t="s">
        <v>139</v>
      </c>
      <c r="D64" s="8" t="s">
        <v>32</v>
      </c>
      <c r="E64" s="8" t="s">
        <v>33</v>
      </c>
      <c r="F64" s="6" t="s">
        <v>58</v>
      </c>
      <c r="G64" s="10">
        <v>1</v>
      </c>
      <c r="H64" s="10">
        <v>1</v>
      </c>
      <c r="I64" s="13">
        <v>5000.0</v>
      </c>
      <c r="J64" s="13"/>
      <c r="K64" s="15">
        <f>IF(I64&gt;0, J64/I64, 0)</f>
        <v>0</v>
      </c>
      <c r="L64" s="13">
        <v>5000.0</v>
      </c>
      <c r="M64" s="13"/>
      <c r="N64" s="13">
        <f>L64-M64</f>
        <v>5000</v>
      </c>
      <c r="O64" s="8" t="s">
        <v>40</v>
      </c>
      <c r="P64" s="8" t="s">
        <v>41</v>
      </c>
      <c r="Q64" s="8" t="s">
        <v>42</v>
      </c>
      <c r="R64" s="6" t="s">
        <v>2110</v>
      </c>
      <c r="S64" s="6" t="s">
        <v>143</v>
      </c>
    </row>
    <row r="65" spans="1:19">
      <c r="A65" s="9">
        <v>58</v>
      </c>
      <c r="B65" s="9" t="s">
        <v>192</v>
      </c>
      <c r="C65" s="9" t="s">
        <v>139</v>
      </c>
      <c r="D65" s="9" t="s">
        <v>32</v>
      </c>
      <c r="E65" s="9" t="s">
        <v>33</v>
      </c>
      <c r="F65" s="7" t="s">
        <v>58</v>
      </c>
      <c r="G65" s="11">
        <v>1</v>
      </c>
      <c r="H65" s="11">
        <v>1</v>
      </c>
      <c r="I65" s="14">
        <v>12000.0</v>
      </c>
      <c r="J65" s="14"/>
      <c r="K65" s="16">
        <f>IF(I65&gt;0, J65/I65, 0)</f>
        <v>0</v>
      </c>
      <c r="L65" s="14">
        <v>12000.0</v>
      </c>
      <c r="M65" s="14"/>
      <c r="N65" s="14">
        <f>L65-M65</f>
        <v>12000</v>
      </c>
      <c r="O65" s="9" t="s">
        <v>40</v>
      </c>
      <c r="P65" s="9" t="s">
        <v>41</v>
      </c>
      <c r="Q65" s="9" t="s">
        <v>42</v>
      </c>
      <c r="R65" s="7" t="s">
        <v>2106</v>
      </c>
      <c r="S65" s="7" t="s">
        <v>143</v>
      </c>
    </row>
    <row r="66" spans="1:19">
      <c r="A66" s="8">
        <v>59</v>
      </c>
      <c r="B66" s="8" t="s">
        <v>193</v>
      </c>
      <c r="C66" s="8" t="s">
        <v>139</v>
      </c>
      <c r="D66" s="8" t="s">
        <v>32</v>
      </c>
      <c r="E66" s="8" t="s">
        <v>33</v>
      </c>
      <c r="F66" s="6" t="s">
        <v>58</v>
      </c>
      <c r="G66" s="10">
        <v>1</v>
      </c>
      <c r="H66" s="10">
        <v>1</v>
      </c>
      <c r="I66" s="13">
        <v>10000.0</v>
      </c>
      <c r="J66" s="13"/>
      <c r="K66" s="15">
        <f>IF(I66&gt;0, J66/I66, 0)</f>
        <v>0</v>
      </c>
      <c r="L66" s="13">
        <v>10000.0</v>
      </c>
      <c r="M66" s="13"/>
      <c r="N66" s="13">
        <f>L66-M66</f>
        <v>10000</v>
      </c>
      <c r="O66" s="8" t="s">
        <v>40</v>
      </c>
      <c r="P66" s="8" t="s">
        <v>41</v>
      </c>
      <c r="Q66" s="8" t="s">
        <v>42</v>
      </c>
      <c r="R66" s="6" t="s">
        <v>2122</v>
      </c>
      <c r="S66" s="6" t="s">
        <v>143</v>
      </c>
    </row>
    <row r="67" spans="1:19">
      <c r="A67" s="9">
        <v>60</v>
      </c>
      <c r="B67" s="9" t="s">
        <v>194</v>
      </c>
      <c r="C67" s="9" t="s">
        <v>139</v>
      </c>
      <c r="D67" s="9" t="s">
        <v>32</v>
      </c>
      <c r="E67" s="9" t="s">
        <v>33</v>
      </c>
      <c r="F67" s="7" t="s">
        <v>58</v>
      </c>
      <c r="G67" s="11">
        <v>1</v>
      </c>
      <c r="H67" s="11">
        <v>2</v>
      </c>
      <c r="I67" s="14">
        <v>30000.0</v>
      </c>
      <c r="J67" s="14"/>
      <c r="K67" s="16">
        <f>IF(I67&gt;0, J67/I67, 0)</f>
        <v>0</v>
      </c>
      <c r="L67" s="14">
        <v>30000.0</v>
      </c>
      <c r="M67" s="14"/>
      <c r="N67" s="14">
        <f>L67-M67</f>
        <v>30000</v>
      </c>
      <c r="O67" s="9" t="s">
        <v>40</v>
      </c>
      <c r="P67" s="9" t="s">
        <v>41</v>
      </c>
      <c r="Q67" s="9" t="s">
        <v>42</v>
      </c>
      <c r="R67" s="7" t="s">
        <v>2123</v>
      </c>
      <c r="S67" s="7" t="s">
        <v>143</v>
      </c>
    </row>
    <row r="68" spans="1:19">
      <c r="A68" s="8">
        <v>61</v>
      </c>
      <c r="B68" s="8" t="s">
        <v>196</v>
      </c>
      <c r="C68" s="8" t="s">
        <v>197</v>
      </c>
      <c r="D68" s="8" t="s">
        <v>198</v>
      </c>
      <c r="E68" s="8" t="s">
        <v>33</v>
      </c>
      <c r="F68" s="6" t="s">
        <v>58</v>
      </c>
      <c r="G68" s="10">
        <v>1</v>
      </c>
      <c r="H68" s="10">
        <v>1</v>
      </c>
      <c r="I68" s="13">
        <v>8500.0</v>
      </c>
      <c r="J68" s="13"/>
      <c r="K68" s="15">
        <f>IF(I68&gt;0, J68/I68, 0)</f>
        <v>0</v>
      </c>
      <c r="L68" s="13">
        <v>8500.0</v>
      </c>
      <c r="M68" s="13"/>
      <c r="N68" s="13">
        <f>L68-M68</f>
        <v>8500</v>
      </c>
      <c r="O68" s="8" t="s">
        <v>40</v>
      </c>
      <c r="P68" s="8" t="s">
        <v>41</v>
      </c>
      <c r="Q68" s="8" t="s">
        <v>42</v>
      </c>
      <c r="R68" s="6" t="s">
        <v>2099</v>
      </c>
      <c r="S68" s="6" t="s">
        <v>42</v>
      </c>
    </row>
    <row r="69" spans="1:19">
      <c r="A69" s="9">
        <v>62</v>
      </c>
      <c r="B69" s="9" t="s">
        <v>199</v>
      </c>
      <c r="C69" s="9" t="s">
        <v>197</v>
      </c>
      <c r="D69" s="9" t="s">
        <v>198</v>
      </c>
      <c r="E69" s="9" t="s">
        <v>33</v>
      </c>
      <c r="F69" s="7" t="s">
        <v>58</v>
      </c>
      <c r="G69" s="11">
        <v>1</v>
      </c>
      <c r="H69" s="11">
        <v>1</v>
      </c>
      <c r="I69" s="14">
        <v>8500.0</v>
      </c>
      <c r="J69" s="14"/>
      <c r="K69" s="16">
        <f>IF(I69&gt;0, J69/I69, 0)</f>
        <v>0</v>
      </c>
      <c r="L69" s="14">
        <v>8500.0</v>
      </c>
      <c r="M69" s="14"/>
      <c r="N69" s="14">
        <f>L69-M69</f>
        <v>8500</v>
      </c>
      <c r="O69" s="9" t="s">
        <v>40</v>
      </c>
      <c r="P69" s="9" t="s">
        <v>41</v>
      </c>
      <c r="Q69" s="9" t="s">
        <v>42</v>
      </c>
      <c r="R69" s="7" t="s">
        <v>2078</v>
      </c>
      <c r="S69" s="7" t="s">
        <v>42</v>
      </c>
    </row>
    <row r="70" spans="1:19">
      <c r="A70" s="8">
        <v>63</v>
      </c>
      <c r="B70" s="8" t="s">
        <v>200</v>
      </c>
      <c r="C70" s="8" t="s">
        <v>197</v>
      </c>
      <c r="D70" s="8" t="s">
        <v>198</v>
      </c>
      <c r="E70" s="8" t="s">
        <v>33</v>
      </c>
      <c r="F70" s="6" t="s">
        <v>58</v>
      </c>
      <c r="G70" s="10">
        <v>1</v>
      </c>
      <c r="H70" s="10">
        <v>1</v>
      </c>
      <c r="I70" s="13">
        <v>5000.0</v>
      </c>
      <c r="J70" s="13"/>
      <c r="K70" s="15">
        <f>IF(I70&gt;0, J70/I70, 0)</f>
        <v>0</v>
      </c>
      <c r="L70" s="13">
        <v>5000.0</v>
      </c>
      <c r="M70" s="13"/>
      <c r="N70" s="13">
        <f>L70-M70</f>
        <v>5000</v>
      </c>
      <c r="O70" s="8" t="s">
        <v>40</v>
      </c>
      <c r="P70" s="8" t="s">
        <v>41</v>
      </c>
      <c r="Q70" s="8" t="s">
        <v>42</v>
      </c>
      <c r="R70" s="6" t="s">
        <v>2110</v>
      </c>
      <c r="S70" s="6" t="s">
        <v>143</v>
      </c>
    </row>
    <row r="71" spans="1:19">
      <c r="A71" s="9">
        <v>64</v>
      </c>
      <c r="B71" s="9" t="s">
        <v>202</v>
      </c>
      <c r="C71" s="9" t="s">
        <v>197</v>
      </c>
      <c r="D71" s="9" t="s">
        <v>198</v>
      </c>
      <c r="E71" s="9" t="s">
        <v>33</v>
      </c>
      <c r="F71" s="7" t="s">
        <v>58</v>
      </c>
      <c r="G71" s="11">
        <v>1</v>
      </c>
      <c r="H71" s="11">
        <v>1</v>
      </c>
      <c r="I71" s="14">
        <v>18000.0</v>
      </c>
      <c r="J71" s="14"/>
      <c r="K71" s="16">
        <f>IF(I71&gt;0, J71/I71, 0)</f>
        <v>0</v>
      </c>
      <c r="L71" s="14">
        <v>18000.0</v>
      </c>
      <c r="M71" s="14"/>
      <c r="N71" s="14">
        <f>L71-M71</f>
        <v>18000</v>
      </c>
      <c r="O71" s="9" t="s">
        <v>40</v>
      </c>
      <c r="P71" s="9" t="s">
        <v>41</v>
      </c>
      <c r="Q71" s="9" t="s">
        <v>42</v>
      </c>
      <c r="R71" s="7" t="s">
        <v>2124</v>
      </c>
      <c r="S71" s="7" t="s">
        <v>143</v>
      </c>
    </row>
    <row r="72" spans="1:19">
      <c r="A72" s="8">
        <v>65</v>
      </c>
      <c r="B72" s="8" t="s">
        <v>204</v>
      </c>
      <c r="C72" s="8" t="s">
        <v>197</v>
      </c>
      <c r="D72" s="8" t="s">
        <v>198</v>
      </c>
      <c r="E72" s="8" t="s">
        <v>33</v>
      </c>
      <c r="F72" s="6" t="s">
        <v>58</v>
      </c>
      <c r="G72" s="10">
        <v>1</v>
      </c>
      <c r="H72" s="10">
        <v>1</v>
      </c>
      <c r="I72" s="13">
        <v>8500.0</v>
      </c>
      <c r="J72" s="13"/>
      <c r="K72" s="15">
        <f>IF(I72&gt;0, J72/I72, 0)</f>
        <v>0</v>
      </c>
      <c r="L72" s="13">
        <v>8500.0</v>
      </c>
      <c r="M72" s="13"/>
      <c r="N72" s="13">
        <f>L72-M72</f>
        <v>8500</v>
      </c>
      <c r="O72" s="8" t="s">
        <v>40</v>
      </c>
      <c r="P72" s="8" t="s">
        <v>41</v>
      </c>
      <c r="Q72" s="8" t="s">
        <v>42</v>
      </c>
      <c r="R72" s="6" t="s">
        <v>2099</v>
      </c>
      <c r="S72" s="6" t="s">
        <v>42</v>
      </c>
    </row>
    <row r="73" spans="1:19">
      <c r="A73" s="9">
        <v>66</v>
      </c>
      <c r="B73" s="9" t="s">
        <v>205</v>
      </c>
      <c r="C73" s="9" t="s">
        <v>197</v>
      </c>
      <c r="D73" s="9" t="s">
        <v>198</v>
      </c>
      <c r="E73" s="9" t="s">
        <v>33</v>
      </c>
      <c r="F73" s="7" t="s">
        <v>58</v>
      </c>
      <c r="G73" s="11">
        <v>1</v>
      </c>
      <c r="H73" s="11">
        <v>1</v>
      </c>
      <c r="I73" s="14">
        <v>14000.0</v>
      </c>
      <c r="J73" s="14"/>
      <c r="K73" s="16">
        <f>IF(I73&gt;0, J73/I73, 0)</f>
        <v>0</v>
      </c>
      <c r="L73" s="14">
        <v>14000.0</v>
      </c>
      <c r="M73" s="14"/>
      <c r="N73" s="14">
        <f>L73-M73</f>
        <v>14000</v>
      </c>
      <c r="O73" s="9" t="s">
        <v>40</v>
      </c>
      <c r="P73" s="9" t="s">
        <v>41</v>
      </c>
      <c r="Q73" s="9" t="s">
        <v>42</v>
      </c>
      <c r="R73" s="7" t="s">
        <v>2125</v>
      </c>
      <c r="S73" s="7" t="s">
        <v>143</v>
      </c>
    </row>
    <row r="74" spans="1:19">
      <c r="A74" s="8">
        <v>67</v>
      </c>
      <c r="B74" s="8" t="s">
        <v>206</v>
      </c>
      <c r="C74" s="8" t="s">
        <v>197</v>
      </c>
      <c r="D74" s="8" t="s">
        <v>198</v>
      </c>
      <c r="E74" s="8" t="s">
        <v>33</v>
      </c>
      <c r="F74" s="6" t="s">
        <v>58</v>
      </c>
      <c r="G74" s="10">
        <v>1</v>
      </c>
      <c r="H74" s="10">
        <v>1</v>
      </c>
      <c r="I74" s="13">
        <v>16500.0</v>
      </c>
      <c r="J74" s="13"/>
      <c r="K74" s="15">
        <f>IF(I74&gt;0, J74/I74, 0)</f>
        <v>0</v>
      </c>
      <c r="L74" s="13">
        <v>16500.0</v>
      </c>
      <c r="M74" s="13"/>
      <c r="N74" s="13">
        <f>L74-M74</f>
        <v>16500</v>
      </c>
      <c r="O74" s="8" t="s">
        <v>40</v>
      </c>
      <c r="P74" s="8" t="s">
        <v>41</v>
      </c>
      <c r="Q74" s="8" t="s">
        <v>42</v>
      </c>
      <c r="R74" s="6" t="s">
        <v>2126</v>
      </c>
      <c r="S74" s="6" t="s">
        <v>42</v>
      </c>
    </row>
    <row r="75" spans="1:19">
      <c r="A75" s="9">
        <v>68</v>
      </c>
      <c r="B75" s="9" t="s">
        <v>208</v>
      </c>
      <c r="C75" s="9" t="s">
        <v>197</v>
      </c>
      <c r="D75" s="9" t="s">
        <v>198</v>
      </c>
      <c r="E75" s="9" t="s">
        <v>33</v>
      </c>
      <c r="F75" s="7" t="s">
        <v>58</v>
      </c>
      <c r="G75" s="11">
        <v>1</v>
      </c>
      <c r="H75" s="11">
        <v>1</v>
      </c>
      <c r="I75" s="14">
        <v>18000.0</v>
      </c>
      <c r="J75" s="14"/>
      <c r="K75" s="16">
        <f>IF(I75&gt;0, J75/I75, 0)</f>
        <v>0</v>
      </c>
      <c r="L75" s="14">
        <v>18000.0</v>
      </c>
      <c r="M75" s="14"/>
      <c r="N75" s="14">
        <f>L75-M75</f>
        <v>18000</v>
      </c>
      <c r="O75" s="9" t="s">
        <v>40</v>
      </c>
      <c r="P75" s="9" t="s">
        <v>41</v>
      </c>
      <c r="Q75" s="9" t="s">
        <v>42</v>
      </c>
      <c r="R75" s="7" t="s">
        <v>2127</v>
      </c>
      <c r="S75" s="7" t="s">
        <v>42</v>
      </c>
    </row>
    <row r="76" spans="1:19">
      <c r="A76" s="8">
        <v>69</v>
      </c>
      <c r="B76" s="8" t="s">
        <v>210</v>
      </c>
      <c r="C76" s="8" t="s">
        <v>197</v>
      </c>
      <c r="D76" s="8" t="s">
        <v>198</v>
      </c>
      <c r="E76" s="8" t="s">
        <v>68</v>
      </c>
      <c r="F76" s="6" t="s">
        <v>58</v>
      </c>
      <c r="G76" s="10">
        <v>1</v>
      </c>
      <c r="H76" s="10">
        <v>2</v>
      </c>
      <c r="I76" s="13">
        <v>18000.0</v>
      </c>
      <c r="J76" s="13"/>
      <c r="K76" s="15">
        <f>IF(I76&gt;0, J76/I76, 0)</f>
        <v>0</v>
      </c>
      <c r="L76" s="13">
        <v>18000.0</v>
      </c>
      <c r="M76" s="13"/>
      <c r="N76" s="13">
        <f>L76-M76</f>
        <v>18000</v>
      </c>
      <c r="O76" s="8" t="s">
        <v>40</v>
      </c>
      <c r="P76" s="8" t="s">
        <v>71</v>
      </c>
      <c r="Q76" s="8" t="s">
        <v>42</v>
      </c>
      <c r="R76" s="6" t="s">
        <v>2104</v>
      </c>
      <c r="S76" s="6" t="s">
        <v>42</v>
      </c>
    </row>
    <row r="77" spans="1:19">
      <c r="A77" s="9">
        <v>70</v>
      </c>
      <c r="B77" s="9" t="s">
        <v>211</v>
      </c>
      <c r="C77" s="9" t="s">
        <v>197</v>
      </c>
      <c r="D77" s="9" t="s">
        <v>198</v>
      </c>
      <c r="E77" s="9" t="s">
        <v>33</v>
      </c>
      <c r="F77" s="7" t="s">
        <v>58</v>
      </c>
      <c r="G77" s="11">
        <v>1</v>
      </c>
      <c r="H77" s="11">
        <v>1</v>
      </c>
      <c r="I77" s="14">
        <v>7500.0</v>
      </c>
      <c r="J77" s="14"/>
      <c r="K77" s="16">
        <f>IF(I77&gt;0, J77/I77, 0)</f>
        <v>0</v>
      </c>
      <c r="L77" s="14">
        <v>7500.0</v>
      </c>
      <c r="M77" s="14"/>
      <c r="N77" s="14">
        <f>L77-M77</f>
        <v>7500</v>
      </c>
      <c r="O77" s="9" t="s">
        <v>40</v>
      </c>
      <c r="P77" s="9" t="s">
        <v>41</v>
      </c>
      <c r="Q77" s="9" t="s">
        <v>42</v>
      </c>
      <c r="R77" s="7" t="s">
        <v>2128</v>
      </c>
      <c r="S77" s="7" t="s">
        <v>42</v>
      </c>
    </row>
    <row r="78" spans="1:19">
      <c r="A78" s="8">
        <v>71</v>
      </c>
      <c r="B78" s="8" t="s">
        <v>213</v>
      </c>
      <c r="C78" s="8" t="s">
        <v>197</v>
      </c>
      <c r="D78" s="8" t="s">
        <v>198</v>
      </c>
      <c r="E78" s="8" t="s">
        <v>33</v>
      </c>
      <c r="F78" s="6" t="s">
        <v>58</v>
      </c>
      <c r="G78" s="10">
        <v>1</v>
      </c>
      <c r="H78" s="10">
        <v>1</v>
      </c>
      <c r="I78" s="13">
        <v>8500.0</v>
      </c>
      <c r="J78" s="13"/>
      <c r="K78" s="15">
        <f>IF(I78&gt;0, J78/I78, 0)</f>
        <v>0</v>
      </c>
      <c r="L78" s="13">
        <v>8500.0</v>
      </c>
      <c r="M78" s="13"/>
      <c r="N78" s="13">
        <f>L78-M78</f>
        <v>8500</v>
      </c>
      <c r="O78" s="8" t="s">
        <v>40</v>
      </c>
      <c r="P78" s="8" t="s">
        <v>41</v>
      </c>
      <c r="Q78" s="8" t="s">
        <v>42</v>
      </c>
      <c r="R78" s="6" t="s">
        <v>2078</v>
      </c>
      <c r="S78" s="6" t="s">
        <v>42</v>
      </c>
    </row>
    <row r="79" spans="1:19">
      <c r="A79" s="9">
        <v>72</v>
      </c>
      <c r="B79" s="9" t="s">
        <v>214</v>
      </c>
      <c r="C79" s="9" t="s">
        <v>197</v>
      </c>
      <c r="D79" s="9" t="s">
        <v>198</v>
      </c>
      <c r="E79" s="9" t="s">
        <v>33</v>
      </c>
      <c r="F79" s="7" t="s">
        <v>58</v>
      </c>
      <c r="G79" s="11">
        <v>1</v>
      </c>
      <c r="H79" s="11">
        <v>1</v>
      </c>
      <c r="I79" s="14">
        <v>9000.0</v>
      </c>
      <c r="J79" s="14"/>
      <c r="K79" s="16">
        <f>IF(I79&gt;0, J79/I79, 0)</f>
        <v>0</v>
      </c>
      <c r="L79" s="14">
        <v>9000.0</v>
      </c>
      <c r="M79" s="14"/>
      <c r="N79" s="14">
        <f>L79-M79</f>
        <v>9000</v>
      </c>
      <c r="O79" s="9" t="s">
        <v>40</v>
      </c>
      <c r="P79" s="9" t="s">
        <v>41</v>
      </c>
      <c r="Q79" s="9" t="s">
        <v>42</v>
      </c>
      <c r="R79" s="7" t="s">
        <v>2122</v>
      </c>
      <c r="S79" s="7" t="s">
        <v>42</v>
      </c>
    </row>
    <row r="80" spans="1:19">
      <c r="A80" s="8">
        <v>73</v>
      </c>
      <c r="B80" s="8" t="s">
        <v>215</v>
      </c>
      <c r="C80" s="8" t="s">
        <v>197</v>
      </c>
      <c r="D80" s="8" t="s">
        <v>198</v>
      </c>
      <c r="E80" s="8" t="s">
        <v>33</v>
      </c>
      <c r="F80" s="6" t="s">
        <v>58</v>
      </c>
      <c r="G80" s="10">
        <v>1</v>
      </c>
      <c r="H80" s="10">
        <v>1</v>
      </c>
      <c r="I80" s="13">
        <v>18000.0</v>
      </c>
      <c r="J80" s="13"/>
      <c r="K80" s="15">
        <f>IF(I80&gt;0, J80/I80, 0)</f>
        <v>0</v>
      </c>
      <c r="L80" s="13">
        <v>18000.0</v>
      </c>
      <c r="M80" s="13"/>
      <c r="N80" s="13">
        <f>L80-M80</f>
        <v>18000</v>
      </c>
      <c r="O80" s="8" t="s">
        <v>40</v>
      </c>
      <c r="P80" s="8" t="s">
        <v>41</v>
      </c>
      <c r="Q80" s="8" t="s">
        <v>42</v>
      </c>
      <c r="R80" s="6" t="s">
        <v>2119</v>
      </c>
      <c r="S80" s="6" t="s">
        <v>42</v>
      </c>
    </row>
    <row r="81" spans="1:19">
      <c r="A81" s="9">
        <v>74</v>
      </c>
      <c r="B81" s="9" t="s">
        <v>216</v>
      </c>
      <c r="C81" s="9" t="s">
        <v>197</v>
      </c>
      <c r="D81" s="9" t="s">
        <v>198</v>
      </c>
      <c r="E81" s="9" t="s">
        <v>33</v>
      </c>
      <c r="F81" s="7" t="s">
        <v>58</v>
      </c>
      <c r="G81" s="11">
        <v>1</v>
      </c>
      <c r="H81" s="11">
        <v>1</v>
      </c>
      <c r="I81" s="14">
        <v>15000.0</v>
      </c>
      <c r="J81" s="14"/>
      <c r="K81" s="16">
        <f>IF(I81&gt;0, J81/I81, 0)</f>
        <v>0</v>
      </c>
      <c r="L81" s="14">
        <v>15000.0</v>
      </c>
      <c r="M81" s="14"/>
      <c r="N81" s="14">
        <f>L81-M81</f>
        <v>15000</v>
      </c>
      <c r="O81" s="9" t="s">
        <v>40</v>
      </c>
      <c r="P81" s="9" t="s">
        <v>41</v>
      </c>
      <c r="Q81" s="9" t="s">
        <v>42</v>
      </c>
      <c r="R81" s="7" t="s">
        <v>2129</v>
      </c>
      <c r="S81" s="7" t="s">
        <v>143</v>
      </c>
    </row>
    <row r="82" spans="1:19">
      <c r="A82" s="8">
        <v>75</v>
      </c>
      <c r="B82" s="8" t="s">
        <v>218</v>
      </c>
      <c r="C82" s="8" t="s">
        <v>197</v>
      </c>
      <c r="D82" s="8" t="s">
        <v>198</v>
      </c>
      <c r="E82" s="8" t="s">
        <v>33</v>
      </c>
      <c r="F82" s="6" t="s">
        <v>58</v>
      </c>
      <c r="G82" s="10">
        <v>1</v>
      </c>
      <c r="H82" s="10">
        <v>1</v>
      </c>
      <c r="I82" s="13">
        <v>10000.0</v>
      </c>
      <c r="J82" s="13"/>
      <c r="K82" s="15">
        <f>IF(I82&gt;0, J82/I82, 0)</f>
        <v>0</v>
      </c>
      <c r="L82" s="13">
        <v>10000.0</v>
      </c>
      <c r="M82" s="13"/>
      <c r="N82" s="13">
        <f>L82-M82</f>
        <v>10000</v>
      </c>
      <c r="O82" s="8" t="s">
        <v>40</v>
      </c>
      <c r="P82" s="8" t="s">
        <v>41</v>
      </c>
      <c r="Q82" s="8" t="s">
        <v>42</v>
      </c>
      <c r="R82" s="6" t="s">
        <v>2078</v>
      </c>
      <c r="S82" s="6" t="s">
        <v>42</v>
      </c>
    </row>
    <row r="83" spans="1:19">
      <c r="A83" s="9">
        <v>76</v>
      </c>
      <c r="B83" s="9" t="s">
        <v>219</v>
      </c>
      <c r="C83" s="9" t="s">
        <v>197</v>
      </c>
      <c r="D83" s="9" t="s">
        <v>198</v>
      </c>
      <c r="E83" s="9" t="s">
        <v>33</v>
      </c>
      <c r="F83" s="7" t="s">
        <v>58</v>
      </c>
      <c r="G83" s="11">
        <v>1</v>
      </c>
      <c r="H83" s="11">
        <v>1</v>
      </c>
      <c r="I83" s="14">
        <v>18000.0</v>
      </c>
      <c r="J83" s="14"/>
      <c r="K83" s="16">
        <f>IF(I83&gt;0, J83/I83, 0)</f>
        <v>0</v>
      </c>
      <c r="L83" s="14">
        <v>18000.0</v>
      </c>
      <c r="M83" s="14"/>
      <c r="N83" s="14">
        <f>L83-M83</f>
        <v>18000</v>
      </c>
      <c r="O83" s="9" t="s">
        <v>40</v>
      </c>
      <c r="P83" s="9" t="s">
        <v>41</v>
      </c>
      <c r="Q83" s="9" t="s">
        <v>42</v>
      </c>
      <c r="R83" s="7" t="s">
        <v>2080</v>
      </c>
      <c r="S83" s="7" t="s">
        <v>42</v>
      </c>
    </row>
    <row r="84" spans="1:19">
      <c r="A84" s="8">
        <v>77</v>
      </c>
      <c r="B84" s="8" t="s">
        <v>220</v>
      </c>
      <c r="C84" s="8" t="s">
        <v>197</v>
      </c>
      <c r="D84" s="8" t="s">
        <v>198</v>
      </c>
      <c r="E84" s="8" t="s">
        <v>33</v>
      </c>
      <c r="F84" s="6" t="s">
        <v>58</v>
      </c>
      <c r="G84" s="10">
        <v>1</v>
      </c>
      <c r="H84" s="10">
        <v>1</v>
      </c>
      <c r="I84" s="13">
        <v>12000.0</v>
      </c>
      <c r="J84" s="13"/>
      <c r="K84" s="15">
        <f>IF(I84&gt;0, J84/I84, 0)</f>
        <v>0</v>
      </c>
      <c r="L84" s="13">
        <v>12000.0</v>
      </c>
      <c r="M84" s="13"/>
      <c r="N84" s="13">
        <f>L84-M84</f>
        <v>12000</v>
      </c>
      <c r="O84" s="8" t="s">
        <v>40</v>
      </c>
      <c r="P84" s="8" t="s">
        <v>41</v>
      </c>
      <c r="Q84" s="8" t="s">
        <v>42</v>
      </c>
      <c r="R84" s="6" t="s">
        <v>2130</v>
      </c>
      <c r="S84" s="6" t="s">
        <v>143</v>
      </c>
    </row>
    <row r="85" spans="1:19">
      <c r="A85" s="9">
        <v>78</v>
      </c>
      <c r="B85" s="9" t="s">
        <v>222</v>
      </c>
      <c r="C85" s="9" t="s">
        <v>197</v>
      </c>
      <c r="D85" s="9" t="s">
        <v>198</v>
      </c>
      <c r="E85" s="9" t="s">
        <v>33</v>
      </c>
      <c r="F85" s="7" t="s">
        <v>58</v>
      </c>
      <c r="G85" s="11">
        <v>1</v>
      </c>
      <c r="H85" s="11">
        <v>1</v>
      </c>
      <c r="I85" s="14">
        <v>7000.0</v>
      </c>
      <c r="J85" s="14"/>
      <c r="K85" s="16">
        <f>IF(I85&gt;0, J85/I85, 0)</f>
        <v>0</v>
      </c>
      <c r="L85" s="14">
        <v>7000.0</v>
      </c>
      <c r="M85" s="14"/>
      <c r="N85" s="14">
        <f>L85-M85</f>
        <v>7000</v>
      </c>
      <c r="O85" s="9" t="s">
        <v>40</v>
      </c>
      <c r="P85" s="9" t="s">
        <v>41</v>
      </c>
      <c r="Q85" s="9" t="s">
        <v>42</v>
      </c>
      <c r="R85" s="7" t="s">
        <v>2131</v>
      </c>
      <c r="S85" s="7" t="s">
        <v>42</v>
      </c>
    </row>
    <row r="86" spans="1:19">
      <c r="A86" s="8">
        <v>79</v>
      </c>
      <c r="B86" s="8" t="s">
        <v>224</v>
      </c>
      <c r="C86" s="8" t="s">
        <v>197</v>
      </c>
      <c r="D86" s="8" t="s">
        <v>198</v>
      </c>
      <c r="E86" s="8" t="s">
        <v>33</v>
      </c>
      <c r="F86" s="6" t="s">
        <v>58</v>
      </c>
      <c r="G86" s="10">
        <v>1</v>
      </c>
      <c r="H86" s="10">
        <v>1</v>
      </c>
      <c r="I86" s="13">
        <v>16000.0</v>
      </c>
      <c r="J86" s="13"/>
      <c r="K86" s="15">
        <f>IF(I86&gt;0, J86/I86, 0)</f>
        <v>0</v>
      </c>
      <c r="L86" s="13">
        <v>16000.0</v>
      </c>
      <c r="M86" s="13"/>
      <c r="N86" s="13">
        <f>L86-M86</f>
        <v>16000</v>
      </c>
      <c r="O86" s="8" t="s">
        <v>40</v>
      </c>
      <c r="P86" s="8" t="s">
        <v>41</v>
      </c>
      <c r="Q86" s="8" t="s">
        <v>42</v>
      </c>
      <c r="R86" s="6" t="s">
        <v>2132</v>
      </c>
      <c r="S86" s="6" t="s">
        <v>42</v>
      </c>
    </row>
    <row r="87" spans="1:19">
      <c r="A87" s="9">
        <v>80</v>
      </c>
      <c r="B87" s="9" t="s">
        <v>226</v>
      </c>
      <c r="C87" s="9" t="s">
        <v>197</v>
      </c>
      <c r="D87" s="9" t="s">
        <v>198</v>
      </c>
      <c r="E87" s="9" t="s">
        <v>33</v>
      </c>
      <c r="F87" s="7" t="s">
        <v>58</v>
      </c>
      <c r="G87" s="11">
        <v>1</v>
      </c>
      <c r="H87" s="11">
        <v>1</v>
      </c>
      <c r="I87" s="14">
        <v>18000.0</v>
      </c>
      <c r="J87" s="14"/>
      <c r="K87" s="16">
        <f>IF(I87&gt;0, J87/I87, 0)</f>
        <v>0</v>
      </c>
      <c r="L87" s="14">
        <v>18000.0</v>
      </c>
      <c r="M87" s="14"/>
      <c r="N87" s="14">
        <f>L87-M87</f>
        <v>18000</v>
      </c>
      <c r="O87" s="9" t="s">
        <v>40</v>
      </c>
      <c r="P87" s="9" t="s">
        <v>41</v>
      </c>
      <c r="Q87" s="9" t="s">
        <v>42</v>
      </c>
      <c r="R87" s="7" t="s">
        <v>2103</v>
      </c>
      <c r="S87" s="7" t="s">
        <v>42</v>
      </c>
    </row>
    <row r="88" spans="1:19">
      <c r="A88" s="8">
        <v>81</v>
      </c>
      <c r="B88" s="8" t="s">
        <v>227</v>
      </c>
      <c r="C88" s="8" t="s">
        <v>197</v>
      </c>
      <c r="D88" s="8" t="s">
        <v>198</v>
      </c>
      <c r="E88" s="8" t="s">
        <v>33</v>
      </c>
      <c r="F88" s="6" t="s">
        <v>58</v>
      </c>
      <c r="G88" s="10">
        <v>1</v>
      </c>
      <c r="H88" s="10">
        <v>1</v>
      </c>
      <c r="I88" s="13">
        <v>9000.0</v>
      </c>
      <c r="J88" s="13"/>
      <c r="K88" s="15">
        <f>IF(I88&gt;0, J88/I88, 0)</f>
        <v>0</v>
      </c>
      <c r="L88" s="13">
        <v>9000.0</v>
      </c>
      <c r="M88" s="13"/>
      <c r="N88" s="13">
        <f>L88-M88</f>
        <v>9000</v>
      </c>
      <c r="O88" s="8" t="s">
        <v>40</v>
      </c>
      <c r="P88" s="8" t="s">
        <v>41</v>
      </c>
      <c r="Q88" s="8" t="s">
        <v>42</v>
      </c>
      <c r="R88" s="6" t="s">
        <v>2133</v>
      </c>
      <c r="S88" s="6" t="s">
        <v>42</v>
      </c>
    </row>
    <row r="89" spans="1:19">
      <c r="A89" s="9">
        <v>82</v>
      </c>
      <c r="B89" s="9" t="s">
        <v>229</v>
      </c>
      <c r="C89" s="9" t="s">
        <v>197</v>
      </c>
      <c r="D89" s="9" t="s">
        <v>198</v>
      </c>
      <c r="E89" s="9" t="s">
        <v>33</v>
      </c>
      <c r="F89" s="7" t="s">
        <v>58</v>
      </c>
      <c r="G89" s="11">
        <v>1</v>
      </c>
      <c r="H89" s="11">
        <v>1</v>
      </c>
      <c r="I89" s="14">
        <v>8000.0</v>
      </c>
      <c r="J89" s="14"/>
      <c r="K89" s="16">
        <f>IF(I89&gt;0, J89/I89, 0)</f>
        <v>0</v>
      </c>
      <c r="L89" s="14">
        <v>8000.0</v>
      </c>
      <c r="M89" s="14"/>
      <c r="N89" s="14">
        <f>L89-M89</f>
        <v>8000</v>
      </c>
      <c r="O89" s="9" t="s">
        <v>40</v>
      </c>
      <c r="P89" s="9" t="s">
        <v>41</v>
      </c>
      <c r="Q89" s="9" t="s">
        <v>42</v>
      </c>
      <c r="R89" s="7" t="s">
        <v>2134</v>
      </c>
      <c r="S89" s="7" t="s">
        <v>42</v>
      </c>
    </row>
    <row r="90" spans="1:19">
      <c r="A90" s="8">
        <v>83</v>
      </c>
      <c r="B90" s="8" t="s">
        <v>231</v>
      </c>
      <c r="C90" s="8" t="s">
        <v>197</v>
      </c>
      <c r="D90" s="8" t="s">
        <v>198</v>
      </c>
      <c r="E90" s="8" t="s">
        <v>33</v>
      </c>
      <c r="F90" s="6" t="s">
        <v>58</v>
      </c>
      <c r="G90" s="10">
        <v>1</v>
      </c>
      <c r="H90" s="10">
        <v>1</v>
      </c>
      <c r="I90" s="13">
        <v>8000.0</v>
      </c>
      <c r="J90" s="13"/>
      <c r="K90" s="15">
        <f>IF(I90&gt;0, J90/I90, 0)</f>
        <v>0</v>
      </c>
      <c r="L90" s="13">
        <v>8000.0</v>
      </c>
      <c r="M90" s="13"/>
      <c r="N90" s="13">
        <f>L90-M90</f>
        <v>8000</v>
      </c>
      <c r="O90" s="8" t="s">
        <v>40</v>
      </c>
      <c r="P90" s="8" t="s">
        <v>41</v>
      </c>
      <c r="Q90" s="8" t="s">
        <v>42</v>
      </c>
      <c r="R90" s="6" t="s">
        <v>2087</v>
      </c>
      <c r="S90" s="6" t="s">
        <v>42</v>
      </c>
    </row>
    <row r="91" spans="1:19">
      <c r="A91" s="9">
        <v>84</v>
      </c>
      <c r="B91" s="9" t="s">
        <v>232</v>
      </c>
      <c r="C91" s="9" t="s">
        <v>197</v>
      </c>
      <c r="D91" s="9" t="s">
        <v>198</v>
      </c>
      <c r="E91" s="9" t="s">
        <v>33</v>
      </c>
      <c r="F91" s="7" t="s">
        <v>58</v>
      </c>
      <c r="G91" s="11">
        <v>1</v>
      </c>
      <c r="H91" s="11">
        <v>1</v>
      </c>
      <c r="I91" s="14">
        <v>15000.0</v>
      </c>
      <c r="J91" s="14"/>
      <c r="K91" s="16">
        <f>IF(I91&gt;0, J91/I91, 0)</f>
        <v>0</v>
      </c>
      <c r="L91" s="14">
        <v>15000.0</v>
      </c>
      <c r="M91" s="14"/>
      <c r="N91" s="14">
        <f>L91-M91</f>
        <v>15000</v>
      </c>
      <c r="O91" s="9" t="s">
        <v>40</v>
      </c>
      <c r="P91" s="9" t="s">
        <v>41</v>
      </c>
      <c r="Q91" s="9" t="s">
        <v>42</v>
      </c>
      <c r="R91" s="7" t="s">
        <v>2135</v>
      </c>
      <c r="S91" s="7" t="s">
        <v>42</v>
      </c>
    </row>
    <row r="92" spans="1:19">
      <c r="A92" s="8">
        <v>85</v>
      </c>
      <c r="B92" s="8" t="s">
        <v>234</v>
      </c>
      <c r="C92" s="8" t="s">
        <v>197</v>
      </c>
      <c r="D92" s="8" t="s">
        <v>198</v>
      </c>
      <c r="E92" s="8" t="s">
        <v>33</v>
      </c>
      <c r="F92" s="6" t="s">
        <v>58</v>
      </c>
      <c r="G92" s="10">
        <v>1</v>
      </c>
      <c r="H92" s="10">
        <v>1</v>
      </c>
      <c r="I92" s="13">
        <v>8500.0</v>
      </c>
      <c r="J92" s="13"/>
      <c r="K92" s="15">
        <f>IF(I92&gt;0, J92/I92, 0)</f>
        <v>0</v>
      </c>
      <c r="L92" s="13">
        <v>8500.0</v>
      </c>
      <c r="M92" s="13"/>
      <c r="N92" s="13">
        <f>L92-M92</f>
        <v>8500</v>
      </c>
      <c r="O92" s="8" t="s">
        <v>40</v>
      </c>
      <c r="P92" s="8" t="s">
        <v>41</v>
      </c>
      <c r="Q92" s="8" t="s">
        <v>42</v>
      </c>
      <c r="R92" s="6" t="s">
        <v>2099</v>
      </c>
      <c r="S92" s="6" t="s">
        <v>42</v>
      </c>
    </row>
    <row r="93" spans="1:19">
      <c r="A93" s="9">
        <v>86</v>
      </c>
      <c r="B93" s="9" t="s">
        <v>235</v>
      </c>
      <c r="C93" s="9" t="s">
        <v>197</v>
      </c>
      <c r="D93" s="9" t="s">
        <v>198</v>
      </c>
      <c r="E93" s="9" t="s">
        <v>33</v>
      </c>
      <c r="F93" s="7" t="s">
        <v>58</v>
      </c>
      <c r="G93" s="11">
        <v>1</v>
      </c>
      <c r="H93" s="11">
        <v>1</v>
      </c>
      <c r="I93" s="14">
        <v>8500.0</v>
      </c>
      <c r="J93" s="14"/>
      <c r="K93" s="16">
        <f>IF(I93&gt;0, J93/I93, 0)</f>
        <v>0</v>
      </c>
      <c r="L93" s="14">
        <v>8500.0</v>
      </c>
      <c r="M93" s="14"/>
      <c r="N93" s="14">
        <f>L93-M93</f>
        <v>8500</v>
      </c>
      <c r="O93" s="9" t="s">
        <v>40</v>
      </c>
      <c r="P93" s="9" t="s">
        <v>41</v>
      </c>
      <c r="Q93" s="9" t="s">
        <v>42</v>
      </c>
      <c r="R93" s="7" t="s">
        <v>2099</v>
      </c>
      <c r="S93" s="7" t="s">
        <v>42</v>
      </c>
    </row>
    <row r="94" spans="1:19">
      <c r="A94" s="8">
        <v>87</v>
      </c>
      <c r="B94" s="8" t="s">
        <v>236</v>
      </c>
      <c r="C94" s="8" t="s">
        <v>197</v>
      </c>
      <c r="D94" s="8" t="s">
        <v>198</v>
      </c>
      <c r="E94" s="8" t="s">
        <v>33</v>
      </c>
      <c r="F94" s="6" t="s">
        <v>58</v>
      </c>
      <c r="G94" s="10">
        <v>1</v>
      </c>
      <c r="H94" s="10">
        <v>1</v>
      </c>
      <c r="I94" s="13">
        <v>12000.0</v>
      </c>
      <c r="J94" s="13"/>
      <c r="K94" s="15">
        <f>IF(I94&gt;0, J94/I94, 0)</f>
        <v>0</v>
      </c>
      <c r="L94" s="13">
        <v>12000.0</v>
      </c>
      <c r="M94" s="13"/>
      <c r="N94" s="13">
        <f>L94-M94</f>
        <v>12000</v>
      </c>
      <c r="O94" s="8" t="s">
        <v>40</v>
      </c>
      <c r="P94" s="8" t="s">
        <v>41</v>
      </c>
      <c r="Q94" s="8" t="s">
        <v>42</v>
      </c>
      <c r="R94" s="6" t="s">
        <v>2136</v>
      </c>
      <c r="S94" s="6" t="s">
        <v>143</v>
      </c>
    </row>
    <row r="95" spans="1:19">
      <c r="A95" s="9">
        <v>88</v>
      </c>
      <c r="B95" s="9" t="s">
        <v>239</v>
      </c>
      <c r="C95" s="9" t="s">
        <v>197</v>
      </c>
      <c r="D95" s="9" t="s">
        <v>198</v>
      </c>
      <c r="E95" s="9" t="s">
        <v>33</v>
      </c>
      <c r="F95" s="7" t="s">
        <v>58</v>
      </c>
      <c r="G95" s="11">
        <v>1</v>
      </c>
      <c r="H95" s="11">
        <v>1</v>
      </c>
      <c r="I95" s="14">
        <v>12000.0</v>
      </c>
      <c r="J95" s="14"/>
      <c r="K95" s="16">
        <f>IF(I95&gt;0, J95/I95, 0)</f>
        <v>0</v>
      </c>
      <c r="L95" s="14">
        <v>12000.0</v>
      </c>
      <c r="M95" s="14"/>
      <c r="N95" s="14">
        <f>L95-M95</f>
        <v>12000</v>
      </c>
      <c r="O95" s="9" t="s">
        <v>40</v>
      </c>
      <c r="P95" s="9" t="s">
        <v>41</v>
      </c>
      <c r="Q95" s="9" t="s">
        <v>42</v>
      </c>
      <c r="R95" s="7" t="s">
        <v>2130</v>
      </c>
      <c r="S95" s="7" t="s">
        <v>143</v>
      </c>
    </row>
    <row r="96" spans="1:19">
      <c r="A96" s="8">
        <v>89</v>
      </c>
      <c r="B96" s="8" t="s">
        <v>240</v>
      </c>
      <c r="C96" s="8" t="s">
        <v>197</v>
      </c>
      <c r="D96" s="8" t="s">
        <v>198</v>
      </c>
      <c r="E96" s="8" t="s">
        <v>33</v>
      </c>
      <c r="F96" s="6" t="s">
        <v>58</v>
      </c>
      <c r="G96" s="10">
        <v>1</v>
      </c>
      <c r="H96" s="10">
        <v>1</v>
      </c>
      <c r="I96" s="13">
        <v>12000.0</v>
      </c>
      <c r="J96" s="13"/>
      <c r="K96" s="15">
        <f>IF(I96&gt;0, J96/I96, 0)</f>
        <v>0</v>
      </c>
      <c r="L96" s="13">
        <v>12000.0</v>
      </c>
      <c r="M96" s="13"/>
      <c r="N96" s="13">
        <f>L96-M96</f>
        <v>12000</v>
      </c>
      <c r="O96" s="8" t="s">
        <v>40</v>
      </c>
      <c r="P96" s="8" t="s">
        <v>41</v>
      </c>
      <c r="Q96" s="8" t="s">
        <v>42</v>
      </c>
      <c r="R96" s="6" t="s">
        <v>2137</v>
      </c>
      <c r="S96" s="6" t="s">
        <v>143</v>
      </c>
    </row>
    <row r="97" spans="1:19">
      <c r="A97" s="9">
        <v>90</v>
      </c>
      <c r="B97" s="9" t="s">
        <v>242</v>
      </c>
      <c r="C97" s="9" t="s">
        <v>197</v>
      </c>
      <c r="D97" s="9" t="s">
        <v>198</v>
      </c>
      <c r="E97" s="9" t="s">
        <v>33</v>
      </c>
      <c r="F97" s="7" t="s">
        <v>58</v>
      </c>
      <c r="G97" s="11">
        <v>1</v>
      </c>
      <c r="H97" s="11">
        <v>1</v>
      </c>
      <c r="I97" s="14">
        <v>18000.0</v>
      </c>
      <c r="J97" s="14"/>
      <c r="K97" s="16">
        <f>IF(I97&gt;0, J97/I97, 0)</f>
        <v>0</v>
      </c>
      <c r="L97" s="14">
        <v>18000.0</v>
      </c>
      <c r="M97" s="14"/>
      <c r="N97" s="14">
        <f>L97-M97</f>
        <v>18000</v>
      </c>
      <c r="O97" s="9" t="s">
        <v>40</v>
      </c>
      <c r="P97" s="9" t="s">
        <v>41</v>
      </c>
      <c r="Q97" s="9" t="s">
        <v>42</v>
      </c>
      <c r="R97" s="7" t="s">
        <v>2120</v>
      </c>
      <c r="S97" s="7" t="s">
        <v>42</v>
      </c>
    </row>
    <row r="98" spans="1:19">
      <c r="A98" s="8">
        <v>91</v>
      </c>
      <c r="B98" s="8" t="s">
        <v>243</v>
      </c>
      <c r="C98" s="8" t="s">
        <v>197</v>
      </c>
      <c r="D98" s="8" t="s">
        <v>198</v>
      </c>
      <c r="E98" s="8" t="s">
        <v>33</v>
      </c>
      <c r="F98" s="6" t="s">
        <v>58</v>
      </c>
      <c r="G98" s="10">
        <v>1</v>
      </c>
      <c r="H98" s="10">
        <v>1</v>
      </c>
      <c r="I98" s="13">
        <v>8000.0</v>
      </c>
      <c r="J98" s="13"/>
      <c r="K98" s="15">
        <f>IF(I98&gt;0, J98/I98, 0)</f>
        <v>0</v>
      </c>
      <c r="L98" s="13">
        <v>8000.0</v>
      </c>
      <c r="M98" s="13"/>
      <c r="N98" s="13">
        <f>L98-M98</f>
        <v>8000</v>
      </c>
      <c r="O98" s="8" t="s">
        <v>40</v>
      </c>
      <c r="P98" s="8" t="s">
        <v>41</v>
      </c>
      <c r="Q98" s="8" t="s">
        <v>42</v>
      </c>
      <c r="R98" s="6" t="s">
        <v>2121</v>
      </c>
      <c r="S98" s="6" t="s">
        <v>42</v>
      </c>
    </row>
    <row r="99" spans="1:19">
      <c r="A99" s="9">
        <v>92</v>
      </c>
      <c r="B99" s="9" t="s">
        <v>244</v>
      </c>
      <c r="C99" s="9" t="s">
        <v>197</v>
      </c>
      <c r="D99" s="9" t="s">
        <v>198</v>
      </c>
      <c r="E99" s="9" t="s">
        <v>33</v>
      </c>
      <c r="F99" s="7" t="s">
        <v>58</v>
      </c>
      <c r="G99" s="11">
        <v>1</v>
      </c>
      <c r="H99" s="11">
        <v>1</v>
      </c>
      <c r="I99" s="14">
        <v>12000.0</v>
      </c>
      <c r="J99" s="14"/>
      <c r="K99" s="16">
        <f>IF(I99&gt;0, J99/I99, 0)</f>
        <v>0</v>
      </c>
      <c r="L99" s="14">
        <v>12000.0</v>
      </c>
      <c r="M99" s="14"/>
      <c r="N99" s="14">
        <f>L99-M99</f>
        <v>12000</v>
      </c>
      <c r="O99" s="9" t="s">
        <v>40</v>
      </c>
      <c r="P99" s="9" t="s">
        <v>41</v>
      </c>
      <c r="Q99" s="9" t="s">
        <v>42</v>
      </c>
      <c r="R99" s="7" t="s">
        <v>2113</v>
      </c>
      <c r="S99" s="7" t="s">
        <v>143</v>
      </c>
    </row>
    <row r="100" spans="1:19">
      <c r="A100" s="8">
        <v>93</v>
      </c>
      <c r="B100" s="8" t="s">
        <v>245</v>
      </c>
      <c r="C100" s="8" t="s">
        <v>197</v>
      </c>
      <c r="D100" s="8" t="s">
        <v>198</v>
      </c>
      <c r="E100" s="8" t="s">
        <v>33</v>
      </c>
      <c r="F100" s="6" t="s">
        <v>58</v>
      </c>
      <c r="G100" s="10">
        <v>1</v>
      </c>
      <c r="H100" s="10">
        <v>1</v>
      </c>
      <c r="I100" s="13">
        <v>12000.0</v>
      </c>
      <c r="J100" s="13"/>
      <c r="K100" s="15">
        <f>IF(I100&gt;0, J100/I100, 0)</f>
        <v>0</v>
      </c>
      <c r="L100" s="13">
        <v>12000.0</v>
      </c>
      <c r="M100" s="13"/>
      <c r="N100" s="13">
        <f>L100-M100</f>
        <v>12000</v>
      </c>
      <c r="O100" s="8" t="s">
        <v>40</v>
      </c>
      <c r="P100" s="8" t="s">
        <v>41</v>
      </c>
      <c r="Q100" s="8" t="s">
        <v>42</v>
      </c>
      <c r="R100" s="6" t="s">
        <v>2138</v>
      </c>
      <c r="S100" s="6" t="s">
        <v>143</v>
      </c>
    </row>
    <row r="101" spans="1:19">
      <c r="A101" s="9">
        <v>94</v>
      </c>
      <c r="B101" s="9" t="s">
        <v>247</v>
      </c>
      <c r="C101" s="9" t="s">
        <v>197</v>
      </c>
      <c r="D101" s="9" t="s">
        <v>198</v>
      </c>
      <c r="E101" s="9" t="s">
        <v>33</v>
      </c>
      <c r="F101" s="7" t="s">
        <v>58</v>
      </c>
      <c r="G101" s="11">
        <v>1</v>
      </c>
      <c r="H101" s="11">
        <v>2</v>
      </c>
      <c r="I101" s="14">
        <v>16000.0</v>
      </c>
      <c r="J101" s="14"/>
      <c r="K101" s="16">
        <f>IF(I101&gt;0, J101/I101, 0)</f>
        <v>0</v>
      </c>
      <c r="L101" s="14">
        <v>16000.0</v>
      </c>
      <c r="M101" s="14"/>
      <c r="N101" s="14">
        <f>L101-M101</f>
        <v>16000</v>
      </c>
      <c r="O101" s="9" t="s">
        <v>40</v>
      </c>
      <c r="P101" s="9" t="s">
        <v>41</v>
      </c>
      <c r="Q101" s="9" t="s">
        <v>42</v>
      </c>
      <c r="R101" s="7" t="s">
        <v>2139</v>
      </c>
      <c r="S101" s="7" t="s">
        <v>42</v>
      </c>
    </row>
    <row r="102" spans="1:19">
      <c r="A102" s="8">
        <v>95</v>
      </c>
      <c r="B102" s="8" t="s">
        <v>248</v>
      </c>
      <c r="C102" s="8" t="s">
        <v>197</v>
      </c>
      <c r="D102" s="8" t="s">
        <v>198</v>
      </c>
      <c r="E102" s="8" t="s">
        <v>33</v>
      </c>
      <c r="F102" s="6" t="s">
        <v>58</v>
      </c>
      <c r="G102" s="10">
        <v>1</v>
      </c>
      <c r="H102" s="10">
        <v>1</v>
      </c>
      <c r="I102" s="13">
        <v>8000.0</v>
      </c>
      <c r="J102" s="13"/>
      <c r="K102" s="15">
        <f>IF(I102&gt;0, J102/I102, 0)</f>
        <v>0</v>
      </c>
      <c r="L102" s="13">
        <v>8000.0</v>
      </c>
      <c r="M102" s="13"/>
      <c r="N102" s="13">
        <f>L102-M102</f>
        <v>8000</v>
      </c>
      <c r="O102" s="8" t="s">
        <v>40</v>
      </c>
      <c r="P102" s="8" t="s">
        <v>41</v>
      </c>
      <c r="Q102" s="8" t="s">
        <v>42</v>
      </c>
      <c r="R102" s="6" t="s">
        <v>2105</v>
      </c>
      <c r="S102" s="6" t="s">
        <v>42</v>
      </c>
    </row>
    <row r="103" spans="1:19">
      <c r="A103" s="9">
        <v>96</v>
      </c>
      <c r="B103" s="9" t="s">
        <v>249</v>
      </c>
      <c r="C103" s="9" t="s">
        <v>197</v>
      </c>
      <c r="D103" s="9" t="s">
        <v>198</v>
      </c>
      <c r="E103" s="9" t="s">
        <v>68</v>
      </c>
      <c r="F103" s="7" t="s">
        <v>58</v>
      </c>
      <c r="G103" s="11">
        <v>1</v>
      </c>
      <c r="H103" s="11">
        <v>1</v>
      </c>
      <c r="I103" s="14">
        <v>12000.0</v>
      </c>
      <c r="J103" s="14"/>
      <c r="K103" s="16">
        <f>IF(I103&gt;0, J103/I103, 0)</f>
        <v>0</v>
      </c>
      <c r="L103" s="14">
        <v>12000.0</v>
      </c>
      <c r="M103" s="14"/>
      <c r="N103" s="14">
        <f>L103-M103</f>
        <v>12000</v>
      </c>
      <c r="O103" s="9" t="s">
        <v>40</v>
      </c>
      <c r="P103" s="9" t="s">
        <v>71</v>
      </c>
      <c r="Q103" s="9" t="s">
        <v>42</v>
      </c>
      <c r="R103" s="7" t="s">
        <v>2113</v>
      </c>
      <c r="S103" s="7" t="s">
        <v>143</v>
      </c>
    </row>
    <row r="104" spans="1:19">
      <c r="A104" s="8">
        <v>97</v>
      </c>
      <c r="B104" s="8" t="s">
        <v>250</v>
      </c>
      <c r="C104" s="8" t="s">
        <v>197</v>
      </c>
      <c r="D104" s="8" t="s">
        <v>198</v>
      </c>
      <c r="E104" s="8" t="s">
        <v>33</v>
      </c>
      <c r="F104" s="6" t="s">
        <v>58</v>
      </c>
      <c r="G104" s="10">
        <v>1</v>
      </c>
      <c r="H104" s="10">
        <v>1</v>
      </c>
      <c r="I104" s="13">
        <v>12000.0</v>
      </c>
      <c r="J104" s="13"/>
      <c r="K104" s="15">
        <f>IF(I104&gt;0, J104/I104, 0)</f>
        <v>0</v>
      </c>
      <c r="L104" s="13">
        <v>12000.0</v>
      </c>
      <c r="M104" s="13"/>
      <c r="N104" s="13">
        <f>L104-M104</f>
        <v>12000</v>
      </c>
      <c r="O104" s="8" t="s">
        <v>40</v>
      </c>
      <c r="P104" s="8" t="s">
        <v>41</v>
      </c>
      <c r="Q104" s="8" t="s">
        <v>42</v>
      </c>
      <c r="R104" s="6" t="s">
        <v>2140</v>
      </c>
      <c r="S104" s="6" t="s">
        <v>143</v>
      </c>
    </row>
    <row r="105" spans="1:19">
      <c r="A105" s="9">
        <v>98</v>
      </c>
      <c r="B105" s="9" t="s">
        <v>252</v>
      </c>
      <c r="C105" s="9" t="s">
        <v>197</v>
      </c>
      <c r="D105" s="9" t="s">
        <v>198</v>
      </c>
      <c r="E105" s="9" t="s">
        <v>33</v>
      </c>
      <c r="F105" s="7" t="s">
        <v>58</v>
      </c>
      <c r="G105" s="11">
        <v>1</v>
      </c>
      <c r="H105" s="11">
        <v>1</v>
      </c>
      <c r="I105" s="14">
        <v>12000.0</v>
      </c>
      <c r="J105" s="14"/>
      <c r="K105" s="16">
        <f>IF(I105&gt;0, J105/I105, 0)</f>
        <v>0</v>
      </c>
      <c r="L105" s="14">
        <v>12000.0</v>
      </c>
      <c r="M105" s="14"/>
      <c r="N105" s="14">
        <f>L105-M105</f>
        <v>12000</v>
      </c>
      <c r="O105" s="9" t="s">
        <v>40</v>
      </c>
      <c r="P105" s="9" t="s">
        <v>41</v>
      </c>
      <c r="Q105" s="9" t="s">
        <v>42</v>
      </c>
      <c r="R105" s="7" t="s">
        <v>2137</v>
      </c>
      <c r="S105" s="7" t="s">
        <v>143</v>
      </c>
    </row>
    <row r="106" spans="1:19">
      <c r="A106" s="8">
        <v>99</v>
      </c>
      <c r="B106" s="8" t="s">
        <v>253</v>
      </c>
      <c r="C106" s="8" t="s">
        <v>197</v>
      </c>
      <c r="D106" s="8" t="s">
        <v>198</v>
      </c>
      <c r="E106" s="8" t="s">
        <v>33</v>
      </c>
      <c r="F106" s="6" t="s">
        <v>58</v>
      </c>
      <c r="G106" s="10">
        <v>1</v>
      </c>
      <c r="H106" s="10">
        <v>1</v>
      </c>
      <c r="I106" s="13">
        <v>8000.0</v>
      </c>
      <c r="J106" s="13"/>
      <c r="K106" s="15">
        <f>IF(I106&gt;0, J106/I106, 0)</f>
        <v>0</v>
      </c>
      <c r="L106" s="13">
        <v>8000.0</v>
      </c>
      <c r="M106" s="13"/>
      <c r="N106" s="13">
        <f>L106-M106</f>
        <v>8000</v>
      </c>
      <c r="O106" s="8" t="s">
        <v>40</v>
      </c>
      <c r="P106" s="8" t="s">
        <v>41</v>
      </c>
      <c r="Q106" s="8" t="s">
        <v>42</v>
      </c>
      <c r="R106" s="6" t="s">
        <v>2141</v>
      </c>
      <c r="S106" s="6" t="s">
        <v>42</v>
      </c>
    </row>
    <row r="107" spans="1:19">
      <c r="A107" s="9">
        <v>100</v>
      </c>
      <c r="B107" s="9" t="s">
        <v>255</v>
      </c>
      <c r="C107" s="9" t="s">
        <v>197</v>
      </c>
      <c r="D107" s="9" t="s">
        <v>198</v>
      </c>
      <c r="E107" s="9" t="s">
        <v>33</v>
      </c>
      <c r="F107" s="7" t="s">
        <v>58</v>
      </c>
      <c r="G107" s="11">
        <v>1</v>
      </c>
      <c r="H107" s="11">
        <v>1</v>
      </c>
      <c r="I107" s="14">
        <v>8000.0</v>
      </c>
      <c r="J107" s="14"/>
      <c r="K107" s="16">
        <f>IF(I107&gt;0, J107/I107, 0)</f>
        <v>0</v>
      </c>
      <c r="L107" s="14">
        <v>8000.0</v>
      </c>
      <c r="M107" s="14"/>
      <c r="N107" s="14">
        <f>L107-M107</f>
        <v>8000</v>
      </c>
      <c r="O107" s="9" t="s">
        <v>40</v>
      </c>
      <c r="P107" s="9" t="s">
        <v>41</v>
      </c>
      <c r="Q107" s="9" t="s">
        <v>42</v>
      </c>
      <c r="R107" s="7" t="s">
        <v>2084</v>
      </c>
      <c r="S107" s="7" t="s">
        <v>42</v>
      </c>
    </row>
    <row r="108" spans="1:19">
      <c r="A108" s="8">
        <v>101</v>
      </c>
      <c r="B108" s="8" t="s">
        <v>256</v>
      </c>
      <c r="C108" s="8" t="s">
        <v>197</v>
      </c>
      <c r="D108" s="8" t="s">
        <v>198</v>
      </c>
      <c r="E108" s="8" t="s">
        <v>33</v>
      </c>
      <c r="F108" s="6" t="s">
        <v>58</v>
      </c>
      <c r="G108" s="10">
        <v>1</v>
      </c>
      <c r="H108" s="10">
        <v>1</v>
      </c>
      <c r="I108" s="13">
        <v>7000.0</v>
      </c>
      <c r="J108" s="13"/>
      <c r="K108" s="15">
        <f>IF(I108&gt;0, J108/I108, 0)</f>
        <v>0</v>
      </c>
      <c r="L108" s="13">
        <v>7000.0</v>
      </c>
      <c r="M108" s="13"/>
      <c r="N108" s="13">
        <f>L108-M108</f>
        <v>7000</v>
      </c>
      <c r="O108" s="8" t="s">
        <v>40</v>
      </c>
      <c r="P108" s="8" t="s">
        <v>41</v>
      </c>
      <c r="Q108" s="8" t="s">
        <v>42</v>
      </c>
      <c r="R108" s="6" t="s">
        <v>2142</v>
      </c>
      <c r="S108" s="6" t="s">
        <v>42</v>
      </c>
    </row>
    <row r="109" spans="1:19">
      <c r="A109" s="9">
        <v>102</v>
      </c>
      <c r="B109" s="9" t="s">
        <v>258</v>
      </c>
      <c r="C109" s="9" t="s">
        <v>197</v>
      </c>
      <c r="D109" s="9" t="s">
        <v>198</v>
      </c>
      <c r="E109" s="9" t="s">
        <v>33</v>
      </c>
      <c r="F109" s="7" t="s">
        <v>58</v>
      </c>
      <c r="G109" s="11">
        <v>1</v>
      </c>
      <c r="H109" s="11">
        <v>1</v>
      </c>
      <c r="I109" s="14">
        <v>7000.0</v>
      </c>
      <c r="J109" s="14"/>
      <c r="K109" s="16">
        <f>IF(I109&gt;0, J109/I109, 0)</f>
        <v>0</v>
      </c>
      <c r="L109" s="14">
        <v>7000.0</v>
      </c>
      <c r="M109" s="14"/>
      <c r="N109" s="14">
        <f>L109-M109</f>
        <v>7000</v>
      </c>
      <c r="O109" s="9" t="s">
        <v>40</v>
      </c>
      <c r="P109" s="9" t="s">
        <v>41</v>
      </c>
      <c r="Q109" s="9" t="s">
        <v>42</v>
      </c>
      <c r="R109" s="7" t="s">
        <v>2092</v>
      </c>
      <c r="S109" s="7" t="s">
        <v>42</v>
      </c>
    </row>
    <row r="110" spans="1:19">
      <c r="A110" s="8">
        <v>103</v>
      </c>
      <c r="B110" s="8" t="s">
        <v>259</v>
      </c>
      <c r="C110" s="8" t="s">
        <v>197</v>
      </c>
      <c r="D110" s="8" t="s">
        <v>198</v>
      </c>
      <c r="E110" s="8" t="s">
        <v>33</v>
      </c>
      <c r="F110" s="6" t="s">
        <v>58</v>
      </c>
      <c r="G110" s="10">
        <v>1</v>
      </c>
      <c r="H110" s="10">
        <v>1</v>
      </c>
      <c r="I110" s="13">
        <v>18000.0</v>
      </c>
      <c r="J110" s="13"/>
      <c r="K110" s="15">
        <f>IF(I110&gt;0, J110/I110, 0)</f>
        <v>0</v>
      </c>
      <c r="L110" s="13">
        <v>18000.0</v>
      </c>
      <c r="M110" s="13"/>
      <c r="N110" s="13">
        <f>L110-M110</f>
        <v>18000</v>
      </c>
      <c r="O110" s="8" t="s">
        <v>40</v>
      </c>
      <c r="P110" s="8" t="s">
        <v>41</v>
      </c>
      <c r="Q110" s="8" t="s">
        <v>42</v>
      </c>
      <c r="R110" s="6" t="s">
        <v>2093</v>
      </c>
      <c r="S110" s="6" t="s">
        <v>143</v>
      </c>
    </row>
    <row r="111" spans="1:19">
      <c r="A111" s="9">
        <v>104</v>
      </c>
      <c r="B111" s="9" t="s">
        <v>261</v>
      </c>
      <c r="C111" s="9" t="s">
        <v>197</v>
      </c>
      <c r="D111" s="9" t="s">
        <v>198</v>
      </c>
      <c r="E111" s="9" t="s">
        <v>33</v>
      </c>
      <c r="F111" s="7" t="s">
        <v>58</v>
      </c>
      <c r="G111" s="11">
        <v>1</v>
      </c>
      <c r="H111" s="11">
        <v>2</v>
      </c>
      <c r="I111" s="14">
        <v>20000.0</v>
      </c>
      <c r="J111" s="14"/>
      <c r="K111" s="16">
        <f>IF(I111&gt;0, J111/I111, 0)</f>
        <v>0</v>
      </c>
      <c r="L111" s="14">
        <v>20000.0</v>
      </c>
      <c r="M111" s="14"/>
      <c r="N111" s="14">
        <f>L111-M111</f>
        <v>20000</v>
      </c>
      <c r="O111" s="9" t="s">
        <v>40</v>
      </c>
      <c r="P111" s="9" t="s">
        <v>41</v>
      </c>
      <c r="Q111" s="9" t="s">
        <v>42</v>
      </c>
      <c r="R111" s="7" t="s">
        <v>2143</v>
      </c>
      <c r="S111" s="7" t="s">
        <v>143</v>
      </c>
    </row>
    <row r="112" spans="1:19">
      <c r="A112" s="8">
        <v>105</v>
      </c>
      <c r="B112" s="8" t="s">
        <v>263</v>
      </c>
      <c r="C112" s="8" t="s">
        <v>197</v>
      </c>
      <c r="D112" s="8" t="s">
        <v>198</v>
      </c>
      <c r="E112" s="8" t="s">
        <v>33</v>
      </c>
      <c r="F112" s="6" t="s">
        <v>58</v>
      </c>
      <c r="G112" s="10">
        <v>1</v>
      </c>
      <c r="H112" s="10">
        <v>1</v>
      </c>
      <c r="I112" s="13">
        <v>16000.0</v>
      </c>
      <c r="J112" s="13"/>
      <c r="K112" s="15">
        <f>IF(I112&gt;0, J112/I112, 0)</f>
        <v>0</v>
      </c>
      <c r="L112" s="13">
        <v>16000.0</v>
      </c>
      <c r="M112" s="13"/>
      <c r="N112" s="13">
        <f>L112-M112</f>
        <v>16000</v>
      </c>
      <c r="O112" s="8" t="s">
        <v>40</v>
      </c>
      <c r="P112" s="8" t="s">
        <v>41</v>
      </c>
      <c r="Q112" s="8" t="s">
        <v>42</v>
      </c>
      <c r="R112" s="6" t="s">
        <v>2144</v>
      </c>
      <c r="S112" s="6" t="s">
        <v>42</v>
      </c>
    </row>
    <row r="113" spans="1:19">
      <c r="A113" s="9">
        <v>106</v>
      </c>
      <c r="B113" s="9" t="s">
        <v>265</v>
      </c>
      <c r="C113" s="9" t="s">
        <v>197</v>
      </c>
      <c r="D113" s="9" t="s">
        <v>198</v>
      </c>
      <c r="E113" s="9" t="s">
        <v>33</v>
      </c>
      <c r="F113" s="7" t="s">
        <v>58</v>
      </c>
      <c r="G113" s="11">
        <v>1</v>
      </c>
      <c r="H113" s="11">
        <v>1</v>
      </c>
      <c r="I113" s="14">
        <v>18000.0</v>
      </c>
      <c r="J113" s="14"/>
      <c r="K113" s="16">
        <f>IF(I113&gt;0, J113/I113, 0)</f>
        <v>0</v>
      </c>
      <c r="L113" s="14">
        <v>18000.0</v>
      </c>
      <c r="M113" s="14"/>
      <c r="N113" s="14">
        <f>L113-M113</f>
        <v>18000</v>
      </c>
      <c r="O113" s="9" t="s">
        <v>40</v>
      </c>
      <c r="P113" s="9" t="s">
        <v>41</v>
      </c>
      <c r="Q113" s="9" t="s">
        <v>42</v>
      </c>
      <c r="R113" s="7" t="s">
        <v>2103</v>
      </c>
      <c r="S113" s="7" t="s">
        <v>42</v>
      </c>
    </row>
    <row r="114" spans="1:19">
      <c r="A114" s="8">
        <v>107</v>
      </c>
      <c r="B114" s="8" t="s">
        <v>266</v>
      </c>
      <c r="C114" s="8" t="s">
        <v>197</v>
      </c>
      <c r="D114" s="8" t="s">
        <v>198</v>
      </c>
      <c r="E114" s="8" t="s">
        <v>33</v>
      </c>
      <c r="F114" s="6" t="s">
        <v>58</v>
      </c>
      <c r="G114" s="10">
        <v>1</v>
      </c>
      <c r="H114" s="10">
        <v>2</v>
      </c>
      <c r="I114" s="13">
        <v>20000.0</v>
      </c>
      <c r="J114" s="13"/>
      <c r="K114" s="15">
        <f>IF(I114&gt;0, J114/I114, 0)</f>
        <v>0</v>
      </c>
      <c r="L114" s="13">
        <v>20000.0</v>
      </c>
      <c r="M114" s="13"/>
      <c r="N114" s="13">
        <f>L114-M114</f>
        <v>20000</v>
      </c>
      <c r="O114" s="8" t="s">
        <v>40</v>
      </c>
      <c r="P114" s="8" t="s">
        <v>41</v>
      </c>
      <c r="Q114" s="8" t="s">
        <v>42</v>
      </c>
      <c r="R114" s="6" t="s">
        <v>2145</v>
      </c>
      <c r="S114" s="6" t="s">
        <v>143</v>
      </c>
    </row>
    <row r="115" spans="1:19">
      <c r="A115" s="9">
        <v>108</v>
      </c>
      <c r="B115" s="9" t="s">
        <v>267</v>
      </c>
      <c r="C115" s="9" t="s">
        <v>197</v>
      </c>
      <c r="D115" s="9" t="s">
        <v>198</v>
      </c>
      <c r="E115" s="9" t="s">
        <v>33</v>
      </c>
      <c r="F115" s="7" t="s">
        <v>58</v>
      </c>
      <c r="G115" s="11">
        <v>1</v>
      </c>
      <c r="H115" s="11">
        <v>3</v>
      </c>
      <c r="I115" s="14">
        <v>21000.0</v>
      </c>
      <c r="J115" s="14"/>
      <c r="K115" s="16">
        <f>IF(I115&gt;0, J115/I115, 0)</f>
        <v>0</v>
      </c>
      <c r="L115" s="14">
        <v>21000.0</v>
      </c>
      <c r="M115" s="14"/>
      <c r="N115" s="14">
        <f>L115-M115</f>
        <v>21000</v>
      </c>
      <c r="O115" s="9" t="s">
        <v>40</v>
      </c>
      <c r="P115" s="9" t="s">
        <v>41</v>
      </c>
      <c r="Q115" s="9" t="s">
        <v>42</v>
      </c>
      <c r="R115" s="7" t="s">
        <v>2146</v>
      </c>
      <c r="S115" s="7" t="s">
        <v>42</v>
      </c>
    </row>
    <row r="116" spans="1:19">
      <c r="A116" s="8">
        <v>109</v>
      </c>
      <c r="B116" s="8" t="s">
        <v>268</v>
      </c>
      <c r="C116" s="8" t="s">
        <v>197</v>
      </c>
      <c r="D116" s="8" t="s">
        <v>198</v>
      </c>
      <c r="E116" s="8" t="s">
        <v>33</v>
      </c>
      <c r="F116" s="6" t="s">
        <v>58</v>
      </c>
      <c r="G116" s="10">
        <v>1</v>
      </c>
      <c r="H116" s="10">
        <v>1</v>
      </c>
      <c r="I116" s="13">
        <v>10000.0</v>
      </c>
      <c r="J116" s="13"/>
      <c r="K116" s="15">
        <f>IF(I116&gt;0, J116/I116, 0)</f>
        <v>0</v>
      </c>
      <c r="L116" s="13">
        <v>10000.0</v>
      </c>
      <c r="M116" s="13"/>
      <c r="N116" s="13">
        <f>L116-M116</f>
        <v>10000</v>
      </c>
      <c r="O116" s="8" t="s">
        <v>40</v>
      </c>
      <c r="P116" s="8" t="s">
        <v>41</v>
      </c>
      <c r="Q116" s="8" t="s">
        <v>42</v>
      </c>
      <c r="R116" s="6" t="s">
        <v>2105</v>
      </c>
      <c r="S116" s="6" t="s">
        <v>42</v>
      </c>
    </row>
    <row r="117" spans="1:19">
      <c r="A117" s="9">
        <v>110</v>
      </c>
      <c r="B117" s="9" t="s">
        <v>269</v>
      </c>
      <c r="C117" s="9" t="s">
        <v>197</v>
      </c>
      <c r="D117" s="9" t="s">
        <v>198</v>
      </c>
      <c r="E117" s="9" t="s">
        <v>33</v>
      </c>
      <c r="F117" s="7" t="s">
        <v>58</v>
      </c>
      <c r="G117" s="11">
        <v>1</v>
      </c>
      <c r="H117" s="11">
        <v>1</v>
      </c>
      <c r="I117" s="14">
        <v>16000.0</v>
      </c>
      <c r="J117" s="14"/>
      <c r="K117" s="16">
        <f>IF(I117&gt;0, J117/I117, 0)</f>
        <v>0</v>
      </c>
      <c r="L117" s="14">
        <v>16000.0</v>
      </c>
      <c r="M117" s="14"/>
      <c r="N117" s="14">
        <f>L117-M117</f>
        <v>16000</v>
      </c>
      <c r="O117" s="9" t="s">
        <v>40</v>
      </c>
      <c r="P117" s="9" t="s">
        <v>41</v>
      </c>
      <c r="Q117" s="9" t="s">
        <v>42</v>
      </c>
      <c r="R117" s="7" t="s">
        <v>2127</v>
      </c>
      <c r="S117" s="7" t="s">
        <v>42</v>
      </c>
    </row>
    <row r="118" spans="1:19">
      <c r="A118" s="8">
        <v>111</v>
      </c>
      <c r="B118" s="8" t="s">
        <v>270</v>
      </c>
      <c r="C118" s="8" t="s">
        <v>197</v>
      </c>
      <c r="D118" s="8" t="s">
        <v>198</v>
      </c>
      <c r="E118" s="8" t="s">
        <v>33</v>
      </c>
      <c r="F118" s="6" t="s">
        <v>58</v>
      </c>
      <c r="G118" s="10">
        <v>1</v>
      </c>
      <c r="H118" s="10">
        <v>1</v>
      </c>
      <c r="I118" s="13">
        <v>7500.0</v>
      </c>
      <c r="J118" s="13"/>
      <c r="K118" s="15">
        <f>IF(I118&gt;0, J118/I118, 0)</f>
        <v>0</v>
      </c>
      <c r="L118" s="13">
        <v>7500.0</v>
      </c>
      <c r="M118" s="13"/>
      <c r="N118" s="13">
        <f>L118-M118</f>
        <v>7500</v>
      </c>
      <c r="O118" s="8" t="s">
        <v>40</v>
      </c>
      <c r="P118" s="8" t="s">
        <v>41</v>
      </c>
      <c r="Q118" s="8" t="s">
        <v>42</v>
      </c>
      <c r="R118" s="6" t="s">
        <v>2077</v>
      </c>
      <c r="S118" s="6" t="s">
        <v>42</v>
      </c>
    </row>
    <row r="119" spans="1:19">
      <c r="A119" s="9">
        <v>112</v>
      </c>
      <c r="B119" s="9" t="s">
        <v>271</v>
      </c>
      <c r="C119" s="9" t="s">
        <v>197</v>
      </c>
      <c r="D119" s="9" t="s">
        <v>198</v>
      </c>
      <c r="E119" s="9" t="s">
        <v>33</v>
      </c>
      <c r="F119" s="7" t="s">
        <v>58</v>
      </c>
      <c r="G119" s="11">
        <v>1</v>
      </c>
      <c r="H119" s="11">
        <v>1</v>
      </c>
      <c r="I119" s="14">
        <v>8500.0</v>
      </c>
      <c r="J119" s="14"/>
      <c r="K119" s="16">
        <f>IF(I119&gt;0, J119/I119, 0)</f>
        <v>0</v>
      </c>
      <c r="L119" s="14">
        <v>8500.0</v>
      </c>
      <c r="M119" s="14"/>
      <c r="N119" s="14">
        <f>L119-M119</f>
        <v>8500</v>
      </c>
      <c r="O119" s="9" t="s">
        <v>40</v>
      </c>
      <c r="P119" s="9" t="s">
        <v>41</v>
      </c>
      <c r="Q119" s="9" t="s">
        <v>42</v>
      </c>
      <c r="R119" s="7" t="s">
        <v>2099</v>
      </c>
      <c r="S119" s="7" t="s">
        <v>42</v>
      </c>
    </row>
    <row r="120" spans="1:19">
      <c r="A120" s="8">
        <v>113</v>
      </c>
      <c r="B120" s="8" t="s">
        <v>272</v>
      </c>
      <c r="C120" s="8" t="s">
        <v>197</v>
      </c>
      <c r="D120" s="8" t="s">
        <v>198</v>
      </c>
      <c r="E120" s="8" t="s">
        <v>33</v>
      </c>
      <c r="F120" s="6" t="s">
        <v>58</v>
      </c>
      <c r="G120" s="10">
        <v>1</v>
      </c>
      <c r="H120" s="10">
        <v>1</v>
      </c>
      <c r="I120" s="13">
        <v>12000.0</v>
      </c>
      <c r="J120" s="13">
        <v>1200.0</v>
      </c>
      <c r="K120" s="15">
        <f>IF(I120&gt;0, J120/I120, 0)</f>
        <v>0.1</v>
      </c>
      <c r="L120" s="13">
        <v>10800.0</v>
      </c>
      <c r="M120" s="13"/>
      <c r="N120" s="13">
        <f>L120-M120</f>
        <v>10800</v>
      </c>
      <c r="O120" s="8" t="s">
        <v>40</v>
      </c>
      <c r="P120" s="8" t="s">
        <v>41</v>
      </c>
      <c r="Q120" s="8" t="s">
        <v>42</v>
      </c>
      <c r="R120" s="6" t="s">
        <v>2138</v>
      </c>
      <c r="S120" s="6" t="s">
        <v>143</v>
      </c>
    </row>
    <row r="121" spans="1:19">
      <c r="A121" s="9">
        <v>114</v>
      </c>
      <c r="B121" s="9" t="s">
        <v>273</v>
      </c>
      <c r="C121" s="9" t="s">
        <v>197</v>
      </c>
      <c r="D121" s="9" t="s">
        <v>198</v>
      </c>
      <c r="E121" s="9" t="s">
        <v>33</v>
      </c>
      <c r="F121" s="7" t="s">
        <v>58</v>
      </c>
      <c r="G121" s="11">
        <v>1</v>
      </c>
      <c r="H121" s="11">
        <v>2</v>
      </c>
      <c r="I121" s="14">
        <v>16000.0</v>
      </c>
      <c r="J121" s="14"/>
      <c r="K121" s="16">
        <f>IF(I121&gt;0, J121/I121, 0)</f>
        <v>0</v>
      </c>
      <c r="L121" s="14">
        <v>16000.0</v>
      </c>
      <c r="M121" s="14"/>
      <c r="N121" s="14">
        <f>L121-M121</f>
        <v>16000</v>
      </c>
      <c r="O121" s="9" t="s">
        <v>40</v>
      </c>
      <c r="P121" s="9" t="s">
        <v>41</v>
      </c>
      <c r="Q121" s="9" t="s">
        <v>42</v>
      </c>
      <c r="R121" s="7" t="s">
        <v>2139</v>
      </c>
      <c r="S121" s="7" t="s">
        <v>42</v>
      </c>
    </row>
    <row r="122" spans="1:19">
      <c r="A122" s="8">
        <v>115</v>
      </c>
      <c r="B122" s="8" t="s">
        <v>274</v>
      </c>
      <c r="C122" s="8" t="s">
        <v>197</v>
      </c>
      <c r="D122" s="8" t="s">
        <v>198</v>
      </c>
      <c r="E122" s="8" t="s">
        <v>33</v>
      </c>
      <c r="F122" s="6" t="s">
        <v>58</v>
      </c>
      <c r="G122" s="10">
        <v>1</v>
      </c>
      <c r="H122" s="10">
        <v>1</v>
      </c>
      <c r="I122" s="13">
        <v>12000.0</v>
      </c>
      <c r="J122" s="13"/>
      <c r="K122" s="15">
        <f>IF(I122&gt;0, J122/I122, 0)</f>
        <v>0</v>
      </c>
      <c r="L122" s="13">
        <v>12000.0</v>
      </c>
      <c r="M122" s="13"/>
      <c r="N122" s="13">
        <f>L122-M122</f>
        <v>12000</v>
      </c>
      <c r="O122" s="8" t="s">
        <v>40</v>
      </c>
      <c r="P122" s="8" t="s">
        <v>41</v>
      </c>
      <c r="Q122" s="8" t="s">
        <v>42</v>
      </c>
      <c r="R122" s="6" t="s">
        <v>2138</v>
      </c>
      <c r="S122" s="6" t="s">
        <v>275</v>
      </c>
    </row>
    <row r="123" spans="1:19">
      <c r="A123" s="9">
        <v>116</v>
      </c>
      <c r="B123" s="9" t="s">
        <v>276</v>
      </c>
      <c r="C123" s="9" t="s">
        <v>197</v>
      </c>
      <c r="D123" s="9" t="s">
        <v>198</v>
      </c>
      <c r="E123" s="9" t="s">
        <v>33</v>
      </c>
      <c r="F123" s="7" t="s">
        <v>58</v>
      </c>
      <c r="G123" s="11">
        <v>1</v>
      </c>
      <c r="H123" s="11">
        <v>1</v>
      </c>
      <c r="I123" s="14">
        <v>5000.0</v>
      </c>
      <c r="J123" s="14"/>
      <c r="K123" s="16">
        <f>IF(I123&gt;0, J123/I123, 0)</f>
        <v>0</v>
      </c>
      <c r="L123" s="14">
        <v>5000.0</v>
      </c>
      <c r="M123" s="14"/>
      <c r="N123" s="14">
        <f>L123-M123</f>
        <v>5000</v>
      </c>
      <c r="O123" s="9" t="s">
        <v>40</v>
      </c>
      <c r="P123" s="9" t="s">
        <v>41</v>
      </c>
      <c r="Q123" s="9" t="s">
        <v>42</v>
      </c>
      <c r="R123" s="7" t="s">
        <v>2110</v>
      </c>
      <c r="S123" s="7" t="s">
        <v>143</v>
      </c>
    </row>
    <row r="124" spans="1:19">
      <c r="A124" s="8">
        <v>117</v>
      </c>
      <c r="B124" s="8" t="s">
        <v>278</v>
      </c>
      <c r="C124" s="8" t="s">
        <v>197</v>
      </c>
      <c r="D124" s="8" t="s">
        <v>198</v>
      </c>
      <c r="E124" s="8" t="s">
        <v>33</v>
      </c>
      <c r="F124" s="6" t="s">
        <v>58</v>
      </c>
      <c r="G124" s="10">
        <v>1</v>
      </c>
      <c r="H124" s="10">
        <v>2</v>
      </c>
      <c r="I124" s="13">
        <v>16000.0</v>
      </c>
      <c r="J124" s="13"/>
      <c r="K124" s="15">
        <f>IF(I124&gt;0, J124/I124, 0)</f>
        <v>0</v>
      </c>
      <c r="L124" s="13">
        <v>16000.0</v>
      </c>
      <c r="M124" s="13"/>
      <c r="N124" s="13">
        <f>L124-M124</f>
        <v>16000</v>
      </c>
      <c r="O124" s="8" t="s">
        <v>40</v>
      </c>
      <c r="P124" s="8" t="s">
        <v>41</v>
      </c>
      <c r="Q124" s="8" t="s">
        <v>42</v>
      </c>
      <c r="R124" s="6" t="s">
        <v>2147</v>
      </c>
      <c r="S124" s="6" t="s">
        <v>42</v>
      </c>
    </row>
    <row r="125" spans="1:19">
      <c r="A125" s="9">
        <v>118</v>
      </c>
      <c r="B125" s="9" t="s">
        <v>280</v>
      </c>
      <c r="C125" s="9" t="s">
        <v>197</v>
      </c>
      <c r="D125" s="9" t="s">
        <v>198</v>
      </c>
      <c r="E125" s="9" t="s">
        <v>33</v>
      </c>
      <c r="F125" s="7" t="s">
        <v>58</v>
      </c>
      <c r="G125" s="11">
        <v>1</v>
      </c>
      <c r="H125" s="11">
        <v>2</v>
      </c>
      <c r="I125" s="14">
        <v>16000.0</v>
      </c>
      <c r="J125" s="14"/>
      <c r="K125" s="16">
        <f>IF(I125&gt;0, J125/I125, 0)</f>
        <v>0</v>
      </c>
      <c r="L125" s="14">
        <v>16000.0</v>
      </c>
      <c r="M125" s="14"/>
      <c r="N125" s="14">
        <f>L125-M125</f>
        <v>16000</v>
      </c>
      <c r="O125" s="9" t="s">
        <v>40</v>
      </c>
      <c r="P125" s="9" t="s">
        <v>41</v>
      </c>
      <c r="Q125" s="9" t="s">
        <v>42</v>
      </c>
      <c r="R125" s="7" t="s">
        <v>2148</v>
      </c>
      <c r="S125" s="7" t="s">
        <v>42</v>
      </c>
    </row>
    <row r="126" spans="1:19">
      <c r="A126" s="8">
        <v>119</v>
      </c>
      <c r="B126" s="8" t="s">
        <v>282</v>
      </c>
      <c r="C126" s="8" t="s">
        <v>197</v>
      </c>
      <c r="D126" s="8" t="s">
        <v>198</v>
      </c>
      <c r="E126" s="8" t="s">
        <v>33</v>
      </c>
      <c r="F126" s="6" t="s">
        <v>58</v>
      </c>
      <c r="G126" s="10">
        <v>1</v>
      </c>
      <c r="H126" s="10">
        <v>1</v>
      </c>
      <c r="I126" s="13">
        <v>18000.0</v>
      </c>
      <c r="J126" s="13"/>
      <c r="K126" s="15">
        <f>IF(I126&gt;0, J126/I126, 0)</f>
        <v>0</v>
      </c>
      <c r="L126" s="13">
        <v>18000.0</v>
      </c>
      <c r="M126" s="13"/>
      <c r="N126" s="13">
        <f>L126-M126</f>
        <v>18000</v>
      </c>
      <c r="O126" s="8" t="s">
        <v>40</v>
      </c>
      <c r="P126" s="8" t="s">
        <v>41</v>
      </c>
      <c r="Q126" s="8" t="s">
        <v>42</v>
      </c>
      <c r="R126" s="6" t="s">
        <v>2149</v>
      </c>
      <c r="S126" s="6" t="s">
        <v>143</v>
      </c>
    </row>
    <row r="127" spans="1:19">
      <c r="A127" s="9">
        <v>120</v>
      </c>
      <c r="B127" s="9" t="s">
        <v>285</v>
      </c>
      <c r="C127" s="9" t="s">
        <v>197</v>
      </c>
      <c r="D127" s="9" t="s">
        <v>198</v>
      </c>
      <c r="E127" s="9" t="s">
        <v>33</v>
      </c>
      <c r="F127" s="7" t="s">
        <v>58</v>
      </c>
      <c r="G127" s="11">
        <v>1</v>
      </c>
      <c r="H127" s="11">
        <v>1</v>
      </c>
      <c r="I127" s="14">
        <v>8500.0</v>
      </c>
      <c r="J127" s="14"/>
      <c r="K127" s="16">
        <f>IF(I127&gt;0, J127/I127, 0)</f>
        <v>0</v>
      </c>
      <c r="L127" s="14">
        <v>8500.0</v>
      </c>
      <c r="M127" s="14"/>
      <c r="N127" s="14">
        <f>L127-M127</f>
        <v>8500</v>
      </c>
      <c r="O127" s="9" t="s">
        <v>40</v>
      </c>
      <c r="P127" s="9" t="s">
        <v>41</v>
      </c>
      <c r="Q127" s="9" t="s">
        <v>42</v>
      </c>
      <c r="R127" s="7" t="s">
        <v>2099</v>
      </c>
      <c r="S127" s="7" t="s">
        <v>42</v>
      </c>
    </row>
    <row r="128" spans="1:19">
      <c r="A128" s="8">
        <v>121</v>
      </c>
      <c r="B128" s="8" t="s">
        <v>286</v>
      </c>
      <c r="C128" s="8" t="s">
        <v>197</v>
      </c>
      <c r="D128" s="8" t="s">
        <v>198</v>
      </c>
      <c r="E128" s="8" t="s">
        <v>33</v>
      </c>
      <c r="F128" s="6" t="s">
        <v>58</v>
      </c>
      <c r="G128" s="10">
        <v>1</v>
      </c>
      <c r="H128" s="10">
        <v>1</v>
      </c>
      <c r="I128" s="13">
        <v>8000.0</v>
      </c>
      <c r="J128" s="13"/>
      <c r="K128" s="15">
        <f>IF(I128&gt;0, J128/I128, 0)</f>
        <v>0</v>
      </c>
      <c r="L128" s="13">
        <v>8000.0</v>
      </c>
      <c r="M128" s="13"/>
      <c r="N128" s="13">
        <f>L128-M128</f>
        <v>8000</v>
      </c>
      <c r="O128" s="8" t="s">
        <v>40</v>
      </c>
      <c r="P128" s="8" t="s">
        <v>41</v>
      </c>
      <c r="Q128" s="8" t="s">
        <v>42</v>
      </c>
      <c r="R128" s="6" t="s">
        <v>2122</v>
      </c>
      <c r="S128" s="6" t="s">
        <v>42</v>
      </c>
    </row>
    <row r="129" spans="1:19">
      <c r="A129" s="9">
        <v>122</v>
      </c>
      <c r="B129" s="9" t="s">
        <v>287</v>
      </c>
      <c r="C129" s="9" t="s">
        <v>197</v>
      </c>
      <c r="D129" s="9" t="s">
        <v>198</v>
      </c>
      <c r="E129" s="9" t="s">
        <v>33</v>
      </c>
      <c r="F129" s="7" t="s">
        <v>58</v>
      </c>
      <c r="G129" s="11">
        <v>1</v>
      </c>
      <c r="H129" s="11">
        <v>1</v>
      </c>
      <c r="I129" s="14">
        <v>8500.0</v>
      </c>
      <c r="J129" s="14"/>
      <c r="K129" s="16">
        <f>IF(I129&gt;0, J129/I129, 0)</f>
        <v>0</v>
      </c>
      <c r="L129" s="14">
        <v>8500.0</v>
      </c>
      <c r="M129" s="14"/>
      <c r="N129" s="14">
        <f>L129-M129</f>
        <v>8500</v>
      </c>
      <c r="O129" s="9" t="s">
        <v>40</v>
      </c>
      <c r="P129" s="9" t="s">
        <v>41</v>
      </c>
      <c r="Q129" s="9" t="s">
        <v>42</v>
      </c>
      <c r="R129" s="7" t="s">
        <v>2078</v>
      </c>
      <c r="S129" s="7" t="s">
        <v>42</v>
      </c>
    </row>
    <row r="130" spans="1:19">
      <c r="A130" s="8">
        <v>123</v>
      </c>
      <c r="B130" s="8" t="s">
        <v>288</v>
      </c>
      <c r="C130" s="8" t="s">
        <v>197</v>
      </c>
      <c r="D130" s="8" t="s">
        <v>198</v>
      </c>
      <c r="E130" s="8" t="s">
        <v>33</v>
      </c>
      <c r="F130" s="6" t="s">
        <v>58</v>
      </c>
      <c r="G130" s="10">
        <v>1</v>
      </c>
      <c r="H130" s="10">
        <v>3</v>
      </c>
      <c r="I130" s="13">
        <v>21000.0</v>
      </c>
      <c r="J130" s="13"/>
      <c r="K130" s="15">
        <f>IF(I130&gt;0, J130/I130, 0)</f>
        <v>0</v>
      </c>
      <c r="L130" s="13">
        <v>21000.0</v>
      </c>
      <c r="M130" s="13"/>
      <c r="N130" s="13">
        <f>L130-M130</f>
        <v>21000</v>
      </c>
      <c r="O130" s="8" t="s">
        <v>40</v>
      </c>
      <c r="P130" s="8" t="s">
        <v>41</v>
      </c>
      <c r="Q130" s="8" t="s">
        <v>42</v>
      </c>
      <c r="R130" s="6" t="s">
        <v>2150</v>
      </c>
      <c r="S130" s="6" t="s">
        <v>42</v>
      </c>
    </row>
    <row r="131" spans="1:19">
      <c r="A131" s="9">
        <v>124</v>
      </c>
      <c r="B131" s="9" t="s">
        <v>289</v>
      </c>
      <c r="C131" s="9" t="s">
        <v>197</v>
      </c>
      <c r="D131" s="9" t="s">
        <v>198</v>
      </c>
      <c r="E131" s="9" t="s">
        <v>33</v>
      </c>
      <c r="F131" s="7" t="s">
        <v>58</v>
      </c>
      <c r="G131" s="11">
        <v>1</v>
      </c>
      <c r="H131" s="11">
        <v>1</v>
      </c>
      <c r="I131" s="14">
        <v>18000.0</v>
      </c>
      <c r="J131" s="14"/>
      <c r="K131" s="16">
        <f>IF(I131&gt;0, J131/I131, 0)</f>
        <v>0</v>
      </c>
      <c r="L131" s="14">
        <v>18000.0</v>
      </c>
      <c r="M131" s="14"/>
      <c r="N131" s="14">
        <f>L131-M131</f>
        <v>18000</v>
      </c>
      <c r="O131" s="9" t="s">
        <v>40</v>
      </c>
      <c r="P131" s="9" t="s">
        <v>41</v>
      </c>
      <c r="Q131" s="9" t="s">
        <v>42</v>
      </c>
      <c r="R131" s="7" t="s">
        <v>2120</v>
      </c>
      <c r="S131" s="7" t="s">
        <v>42</v>
      </c>
    </row>
    <row r="132" spans="1:19">
      <c r="A132" s="8">
        <v>125</v>
      </c>
      <c r="B132" s="8" t="s">
        <v>290</v>
      </c>
      <c r="C132" s="8" t="s">
        <v>197</v>
      </c>
      <c r="D132" s="8" t="s">
        <v>198</v>
      </c>
      <c r="E132" s="8" t="s">
        <v>68</v>
      </c>
      <c r="F132" s="6" t="s">
        <v>58</v>
      </c>
      <c r="G132" s="10">
        <v>1</v>
      </c>
      <c r="H132" s="10">
        <v>2</v>
      </c>
      <c r="I132" s="13">
        <v>22000.0</v>
      </c>
      <c r="J132" s="13"/>
      <c r="K132" s="15">
        <f>IF(I132&gt;0, J132/I132, 0)</f>
        <v>0</v>
      </c>
      <c r="L132" s="13">
        <v>22000.0</v>
      </c>
      <c r="M132" s="13"/>
      <c r="N132" s="13">
        <f>L132-M132</f>
        <v>22000</v>
      </c>
      <c r="O132" s="8" t="s">
        <v>40</v>
      </c>
      <c r="P132" s="8" t="s">
        <v>71</v>
      </c>
      <c r="Q132" s="8" t="s">
        <v>42</v>
      </c>
      <c r="R132" s="6" t="s">
        <v>2151</v>
      </c>
      <c r="S132" s="6" t="s">
        <v>42</v>
      </c>
    </row>
    <row r="133" spans="1:19">
      <c r="A133" s="9">
        <v>126</v>
      </c>
      <c r="B133" s="9" t="s">
        <v>292</v>
      </c>
      <c r="C133" s="9" t="s">
        <v>197</v>
      </c>
      <c r="D133" s="9" t="s">
        <v>198</v>
      </c>
      <c r="E133" s="9" t="s">
        <v>33</v>
      </c>
      <c r="F133" s="7" t="s">
        <v>58</v>
      </c>
      <c r="G133" s="11">
        <v>1</v>
      </c>
      <c r="H133" s="11">
        <v>1</v>
      </c>
      <c r="I133" s="14">
        <v>18000.0</v>
      </c>
      <c r="J133" s="14"/>
      <c r="K133" s="16">
        <f>IF(I133&gt;0, J133/I133, 0)</f>
        <v>0</v>
      </c>
      <c r="L133" s="14">
        <v>18000.0</v>
      </c>
      <c r="M133" s="14"/>
      <c r="N133" s="14">
        <f>L133-M133</f>
        <v>18000</v>
      </c>
      <c r="O133" s="9" t="s">
        <v>40</v>
      </c>
      <c r="P133" s="9" t="s">
        <v>41</v>
      </c>
      <c r="Q133" s="9" t="s">
        <v>42</v>
      </c>
      <c r="R133" s="7" t="s">
        <v>2093</v>
      </c>
      <c r="S133" s="7" t="s">
        <v>143</v>
      </c>
    </row>
    <row r="134" spans="1:19">
      <c r="A134" s="8">
        <v>127</v>
      </c>
      <c r="B134" s="8" t="s">
        <v>293</v>
      </c>
      <c r="C134" s="8" t="s">
        <v>197</v>
      </c>
      <c r="D134" s="8" t="s">
        <v>198</v>
      </c>
      <c r="E134" s="8" t="s">
        <v>33</v>
      </c>
      <c r="F134" s="6" t="s">
        <v>58</v>
      </c>
      <c r="G134" s="10">
        <v>1</v>
      </c>
      <c r="H134" s="10">
        <v>1</v>
      </c>
      <c r="I134" s="13">
        <v>5000.0</v>
      </c>
      <c r="J134" s="13"/>
      <c r="K134" s="15">
        <f>IF(I134&gt;0, J134/I134, 0)</f>
        <v>0</v>
      </c>
      <c r="L134" s="13">
        <v>5000.0</v>
      </c>
      <c r="M134" s="13"/>
      <c r="N134" s="13">
        <f>L134-M134</f>
        <v>5000</v>
      </c>
      <c r="O134" s="8" t="s">
        <v>40</v>
      </c>
      <c r="P134" s="8" t="s">
        <v>41</v>
      </c>
      <c r="Q134" s="8" t="s">
        <v>42</v>
      </c>
      <c r="R134" s="6" t="s">
        <v>2110</v>
      </c>
      <c r="S134" s="6" t="s">
        <v>143</v>
      </c>
    </row>
    <row r="135" spans="1:19">
      <c r="A135" s="9">
        <v>128</v>
      </c>
      <c r="B135" s="9" t="s">
        <v>295</v>
      </c>
      <c r="C135" s="9" t="s">
        <v>197</v>
      </c>
      <c r="D135" s="9" t="s">
        <v>198</v>
      </c>
      <c r="E135" s="9" t="s">
        <v>68</v>
      </c>
      <c r="F135" s="7" t="s">
        <v>58</v>
      </c>
      <c r="G135" s="11">
        <v>1</v>
      </c>
      <c r="H135" s="11">
        <v>1</v>
      </c>
      <c r="I135" s="14">
        <v>18000.0</v>
      </c>
      <c r="J135" s="14"/>
      <c r="K135" s="16">
        <f>IF(I135&gt;0, J135/I135, 0)</f>
        <v>0</v>
      </c>
      <c r="L135" s="14">
        <v>18000.0</v>
      </c>
      <c r="M135" s="14"/>
      <c r="N135" s="14">
        <f>L135-M135</f>
        <v>18000</v>
      </c>
      <c r="O135" s="9" t="s">
        <v>40</v>
      </c>
      <c r="P135" s="9" t="s">
        <v>71</v>
      </c>
      <c r="Q135" s="9" t="s">
        <v>42</v>
      </c>
      <c r="R135" s="7" t="s">
        <v>2080</v>
      </c>
      <c r="S135" s="7" t="s">
        <v>42</v>
      </c>
    </row>
    <row r="136" spans="1:19">
      <c r="A136" s="8">
        <v>129</v>
      </c>
      <c r="B136" s="8" t="s">
        <v>296</v>
      </c>
      <c r="C136" s="8" t="s">
        <v>197</v>
      </c>
      <c r="D136" s="8" t="s">
        <v>198</v>
      </c>
      <c r="E136" s="8" t="s">
        <v>68</v>
      </c>
      <c r="F136" s="6" t="s">
        <v>58</v>
      </c>
      <c r="G136" s="10">
        <v>1</v>
      </c>
      <c r="H136" s="10">
        <v>1</v>
      </c>
      <c r="I136" s="13">
        <v>10000.0</v>
      </c>
      <c r="J136" s="13"/>
      <c r="K136" s="15">
        <f>IF(I136&gt;0, J136/I136, 0)</f>
        <v>0</v>
      </c>
      <c r="L136" s="13">
        <v>10000.0</v>
      </c>
      <c r="M136" s="13"/>
      <c r="N136" s="13">
        <f>L136-M136</f>
        <v>10000</v>
      </c>
      <c r="O136" s="8" t="s">
        <v>40</v>
      </c>
      <c r="P136" s="8" t="s">
        <v>71</v>
      </c>
      <c r="Q136" s="8" t="s">
        <v>42</v>
      </c>
      <c r="R136" s="6" t="s">
        <v>2074</v>
      </c>
      <c r="S136" s="6" t="s">
        <v>42</v>
      </c>
    </row>
    <row r="137" spans="1:19">
      <c r="A137" s="9">
        <v>130</v>
      </c>
      <c r="B137" s="9" t="s">
        <v>297</v>
      </c>
      <c r="C137" s="9" t="s">
        <v>197</v>
      </c>
      <c r="D137" s="9" t="s">
        <v>198</v>
      </c>
      <c r="E137" s="9" t="s">
        <v>33</v>
      </c>
      <c r="F137" s="7" t="s">
        <v>58</v>
      </c>
      <c r="G137" s="11">
        <v>1</v>
      </c>
      <c r="H137" s="11">
        <v>1</v>
      </c>
      <c r="I137" s="14">
        <v>9000.0</v>
      </c>
      <c r="J137" s="14"/>
      <c r="K137" s="16">
        <f>IF(I137&gt;0, J137/I137, 0)</f>
        <v>0</v>
      </c>
      <c r="L137" s="14">
        <v>9000.0</v>
      </c>
      <c r="M137" s="14"/>
      <c r="N137" s="14">
        <f>L137-M137</f>
        <v>9000</v>
      </c>
      <c r="O137" s="9" t="s">
        <v>40</v>
      </c>
      <c r="P137" s="9" t="s">
        <v>41</v>
      </c>
      <c r="Q137" s="9" t="s">
        <v>42</v>
      </c>
      <c r="R137" s="7" t="s">
        <v>2100</v>
      </c>
      <c r="S137" s="7" t="s">
        <v>42</v>
      </c>
    </row>
    <row r="138" spans="1:19">
      <c r="A138" s="8">
        <v>131</v>
      </c>
      <c r="B138" s="8" t="s">
        <v>298</v>
      </c>
      <c r="C138" s="8" t="s">
        <v>197</v>
      </c>
      <c r="D138" s="8" t="s">
        <v>198</v>
      </c>
      <c r="E138" s="8" t="s">
        <v>33</v>
      </c>
      <c r="F138" s="6" t="s">
        <v>58</v>
      </c>
      <c r="G138" s="10">
        <v>1</v>
      </c>
      <c r="H138" s="10">
        <v>1</v>
      </c>
      <c r="I138" s="13">
        <v>10000.0</v>
      </c>
      <c r="J138" s="13"/>
      <c r="K138" s="15">
        <f>IF(I138&gt;0, J138/I138, 0)</f>
        <v>0</v>
      </c>
      <c r="L138" s="13">
        <v>10000.0</v>
      </c>
      <c r="M138" s="13"/>
      <c r="N138" s="13">
        <f>L138-M138</f>
        <v>10000</v>
      </c>
      <c r="O138" s="8" t="s">
        <v>40</v>
      </c>
      <c r="P138" s="8" t="s">
        <v>41</v>
      </c>
      <c r="Q138" s="8" t="s">
        <v>42</v>
      </c>
      <c r="R138" s="6" t="s">
        <v>2078</v>
      </c>
      <c r="S138" s="6" t="s">
        <v>42</v>
      </c>
    </row>
    <row r="139" spans="1:19">
      <c r="A139" s="9">
        <v>132</v>
      </c>
      <c r="B139" s="9" t="s">
        <v>299</v>
      </c>
      <c r="C139" s="9" t="s">
        <v>300</v>
      </c>
      <c r="D139" s="9" t="s">
        <v>198</v>
      </c>
      <c r="E139" s="9" t="s">
        <v>33</v>
      </c>
      <c r="F139" s="7" t="s">
        <v>58</v>
      </c>
      <c r="G139" s="11">
        <v>1</v>
      </c>
      <c r="H139" s="11">
        <v>1</v>
      </c>
      <c r="I139" s="14">
        <v>16500.0</v>
      </c>
      <c r="J139" s="14"/>
      <c r="K139" s="16">
        <f>IF(I139&gt;0, J139/I139, 0)</f>
        <v>0</v>
      </c>
      <c r="L139" s="14">
        <v>16500.0</v>
      </c>
      <c r="M139" s="14"/>
      <c r="N139" s="14">
        <f>L139-M139</f>
        <v>16500</v>
      </c>
      <c r="O139" s="9" t="s">
        <v>40</v>
      </c>
      <c r="P139" s="9" t="s">
        <v>41</v>
      </c>
      <c r="Q139" s="9" t="s">
        <v>42</v>
      </c>
      <c r="R139" s="7" t="s">
        <v>2126</v>
      </c>
      <c r="S139" s="7" t="s">
        <v>42</v>
      </c>
    </row>
    <row r="140" spans="1:19">
      <c r="A140" s="8">
        <v>133</v>
      </c>
      <c r="B140" s="8" t="s">
        <v>301</v>
      </c>
      <c r="C140" s="8" t="s">
        <v>300</v>
      </c>
      <c r="D140" s="8" t="s">
        <v>198</v>
      </c>
      <c r="E140" s="8" t="s">
        <v>33</v>
      </c>
      <c r="F140" s="6" t="s">
        <v>58</v>
      </c>
      <c r="G140" s="10">
        <v>1</v>
      </c>
      <c r="H140" s="10">
        <v>1</v>
      </c>
      <c r="I140" s="13">
        <v>8500.0</v>
      </c>
      <c r="J140" s="13"/>
      <c r="K140" s="15">
        <f>IF(I140&gt;0, J140/I140, 0)</f>
        <v>0</v>
      </c>
      <c r="L140" s="13">
        <v>8500.0</v>
      </c>
      <c r="M140" s="13"/>
      <c r="N140" s="13">
        <f>L140-M140</f>
        <v>8500</v>
      </c>
      <c r="O140" s="8" t="s">
        <v>40</v>
      </c>
      <c r="P140" s="8" t="s">
        <v>41</v>
      </c>
      <c r="Q140" s="8" t="s">
        <v>42</v>
      </c>
      <c r="R140" s="6" t="s">
        <v>2152</v>
      </c>
      <c r="S140" s="6" t="s">
        <v>42</v>
      </c>
    </row>
    <row r="141" spans="1:19">
      <c r="A141" s="9">
        <v>134</v>
      </c>
      <c r="B141" s="9" t="s">
        <v>303</v>
      </c>
      <c r="C141" s="9" t="s">
        <v>300</v>
      </c>
      <c r="D141" s="9" t="s">
        <v>198</v>
      </c>
      <c r="E141" s="9" t="s">
        <v>33</v>
      </c>
      <c r="F141" s="7" t="s">
        <v>58</v>
      </c>
      <c r="G141" s="11">
        <v>1</v>
      </c>
      <c r="H141" s="11">
        <v>1</v>
      </c>
      <c r="I141" s="14">
        <v>8000.0</v>
      </c>
      <c r="J141" s="14"/>
      <c r="K141" s="16">
        <f>IF(I141&gt;0, J141/I141, 0)</f>
        <v>0</v>
      </c>
      <c r="L141" s="14">
        <v>8000.0</v>
      </c>
      <c r="M141" s="14"/>
      <c r="N141" s="14">
        <f>L141-M141</f>
        <v>8000</v>
      </c>
      <c r="O141" s="9" t="s">
        <v>40</v>
      </c>
      <c r="P141" s="9" t="s">
        <v>41</v>
      </c>
      <c r="Q141" s="9" t="s">
        <v>42</v>
      </c>
      <c r="R141" s="7" t="s">
        <v>2122</v>
      </c>
      <c r="S141" s="7" t="s">
        <v>42</v>
      </c>
    </row>
    <row r="142" spans="1:19">
      <c r="A142" s="8">
        <v>135</v>
      </c>
      <c r="B142" s="8" t="s">
        <v>304</v>
      </c>
      <c r="C142" s="8" t="s">
        <v>300</v>
      </c>
      <c r="D142" s="8" t="s">
        <v>198</v>
      </c>
      <c r="E142" s="8" t="s">
        <v>33</v>
      </c>
      <c r="F142" s="6" t="s">
        <v>58</v>
      </c>
      <c r="G142" s="10">
        <v>1</v>
      </c>
      <c r="H142" s="10">
        <v>1</v>
      </c>
      <c r="I142" s="13">
        <v>8000.0</v>
      </c>
      <c r="J142" s="13"/>
      <c r="K142" s="15">
        <f>IF(I142&gt;0, J142/I142, 0)</f>
        <v>0</v>
      </c>
      <c r="L142" s="13">
        <v>8000.0</v>
      </c>
      <c r="M142" s="13"/>
      <c r="N142" s="13">
        <f>L142-M142</f>
        <v>8000</v>
      </c>
      <c r="O142" s="8" t="s">
        <v>40</v>
      </c>
      <c r="P142" s="8" t="s">
        <v>41</v>
      </c>
      <c r="Q142" s="8" t="s">
        <v>42</v>
      </c>
      <c r="R142" s="6" t="s">
        <v>2074</v>
      </c>
      <c r="S142" s="6" t="s">
        <v>42</v>
      </c>
    </row>
    <row r="143" spans="1:19">
      <c r="A143" s="9">
        <v>136</v>
      </c>
      <c r="B143" s="9" t="s">
        <v>305</v>
      </c>
      <c r="C143" s="9" t="s">
        <v>300</v>
      </c>
      <c r="D143" s="9" t="s">
        <v>198</v>
      </c>
      <c r="E143" s="9" t="s">
        <v>33</v>
      </c>
      <c r="F143" s="7" t="s">
        <v>58</v>
      </c>
      <c r="G143" s="11">
        <v>1</v>
      </c>
      <c r="H143" s="11">
        <v>1</v>
      </c>
      <c r="I143" s="14">
        <v>11000.0</v>
      </c>
      <c r="J143" s="14"/>
      <c r="K143" s="16">
        <f>IF(I143&gt;0, J143/I143, 0)</f>
        <v>0</v>
      </c>
      <c r="L143" s="14">
        <v>11000.0</v>
      </c>
      <c r="M143" s="14"/>
      <c r="N143" s="14">
        <f>L143-M143</f>
        <v>11000</v>
      </c>
      <c r="O143" s="9" t="s">
        <v>40</v>
      </c>
      <c r="P143" s="9" t="s">
        <v>41</v>
      </c>
      <c r="Q143" s="9" t="s">
        <v>42</v>
      </c>
      <c r="R143" s="7" t="s">
        <v>2106</v>
      </c>
      <c r="S143" s="7" t="s">
        <v>143</v>
      </c>
    </row>
    <row r="144" spans="1:19">
      <c r="A144" s="8">
        <v>137</v>
      </c>
      <c r="B144" s="8" t="s">
        <v>306</v>
      </c>
      <c r="C144" s="8" t="s">
        <v>300</v>
      </c>
      <c r="D144" s="8" t="s">
        <v>198</v>
      </c>
      <c r="E144" s="8" t="s">
        <v>33</v>
      </c>
      <c r="F144" s="6" t="s">
        <v>58</v>
      </c>
      <c r="G144" s="10">
        <v>1</v>
      </c>
      <c r="H144" s="10">
        <v>1</v>
      </c>
      <c r="I144" s="13">
        <v>10000.0</v>
      </c>
      <c r="J144" s="13"/>
      <c r="K144" s="15">
        <f>IF(I144&gt;0, J144/I144, 0)</f>
        <v>0</v>
      </c>
      <c r="L144" s="13">
        <v>10000.0</v>
      </c>
      <c r="M144" s="13"/>
      <c r="N144" s="13">
        <f>L144-M144</f>
        <v>10000</v>
      </c>
      <c r="O144" s="8" t="s">
        <v>40</v>
      </c>
      <c r="P144" s="8" t="s">
        <v>41</v>
      </c>
      <c r="Q144" s="8" t="s">
        <v>42</v>
      </c>
      <c r="R144" s="6" t="s">
        <v>2125</v>
      </c>
      <c r="S144" s="6" t="s">
        <v>143</v>
      </c>
    </row>
    <row r="145" spans="1:19">
      <c r="A145" s="9">
        <v>138</v>
      </c>
      <c r="B145" s="9" t="s">
        <v>307</v>
      </c>
      <c r="C145" s="9" t="s">
        <v>308</v>
      </c>
      <c r="D145" s="9" t="s">
        <v>198</v>
      </c>
      <c r="E145" s="9" t="s">
        <v>33</v>
      </c>
      <c r="F145" s="7" t="s">
        <v>58</v>
      </c>
      <c r="G145" s="11">
        <v>1</v>
      </c>
      <c r="H145" s="11">
        <v>2</v>
      </c>
      <c r="I145" s="14">
        <v>20000.0</v>
      </c>
      <c r="J145" s="14"/>
      <c r="K145" s="16">
        <f>IF(I145&gt;0, J145/I145, 0)</f>
        <v>0</v>
      </c>
      <c r="L145" s="14">
        <v>20000.0</v>
      </c>
      <c r="M145" s="14"/>
      <c r="N145" s="14">
        <f>L145-M145</f>
        <v>20000</v>
      </c>
      <c r="O145" s="9" t="s">
        <v>40</v>
      </c>
      <c r="P145" s="9" t="s">
        <v>41</v>
      </c>
      <c r="Q145" s="9" t="s">
        <v>42</v>
      </c>
      <c r="R145" s="7" t="s">
        <v>2153</v>
      </c>
      <c r="S145" s="7" t="s">
        <v>143</v>
      </c>
    </row>
    <row r="146" spans="1:19">
      <c r="A146" s="8">
        <v>139</v>
      </c>
      <c r="B146" s="8" t="s">
        <v>309</v>
      </c>
      <c r="C146" s="8" t="s">
        <v>308</v>
      </c>
      <c r="D146" s="8" t="s">
        <v>198</v>
      </c>
      <c r="E146" s="8" t="s">
        <v>33</v>
      </c>
      <c r="F146" s="6" t="s">
        <v>58</v>
      </c>
      <c r="G146" s="10">
        <v>1</v>
      </c>
      <c r="H146" s="10">
        <v>1</v>
      </c>
      <c r="I146" s="13">
        <v>7000.0</v>
      </c>
      <c r="J146" s="13"/>
      <c r="K146" s="15">
        <f>IF(I146&gt;0, J146/I146, 0)</f>
        <v>0</v>
      </c>
      <c r="L146" s="13">
        <v>7000.0</v>
      </c>
      <c r="M146" s="13"/>
      <c r="N146" s="13">
        <f>L146-M146</f>
        <v>7000</v>
      </c>
      <c r="O146" s="8" t="s">
        <v>40</v>
      </c>
      <c r="P146" s="8" t="s">
        <v>41</v>
      </c>
      <c r="Q146" s="8" t="s">
        <v>42</v>
      </c>
      <c r="R146" s="6" t="s">
        <v>2142</v>
      </c>
      <c r="S146" s="6" t="s">
        <v>42</v>
      </c>
    </row>
    <row r="147" spans="1:19">
      <c r="A147" s="9">
        <v>140</v>
      </c>
      <c r="B147" s="9" t="s">
        <v>310</v>
      </c>
      <c r="C147" s="9" t="s">
        <v>308</v>
      </c>
      <c r="D147" s="9" t="s">
        <v>198</v>
      </c>
      <c r="E147" s="9" t="s">
        <v>68</v>
      </c>
      <c r="F147" s="7" t="s">
        <v>58</v>
      </c>
      <c r="G147" s="11">
        <v>1</v>
      </c>
      <c r="H147" s="11">
        <v>1</v>
      </c>
      <c r="I147" s="14">
        <v>8000.0</v>
      </c>
      <c r="J147" s="14"/>
      <c r="K147" s="16">
        <f>IF(I147&gt;0, J147/I147, 0)</f>
        <v>0</v>
      </c>
      <c r="L147" s="14">
        <v>8000.0</v>
      </c>
      <c r="M147" s="14"/>
      <c r="N147" s="14">
        <f>L147-M147</f>
        <v>8000</v>
      </c>
      <c r="O147" s="9" t="s">
        <v>40</v>
      </c>
      <c r="P147" s="9" t="s">
        <v>71</v>
      </c>
      <c r="Q147" s="9" t="s">
        <v>42</v>
      </c>
      <c r="R147" s="7" t="s">
        <v>2154</v>
      </c>
      <c r="S147" s="7" t="s">
        <v>42</v>
      </c>
    </row>
    <row r="148" spans="1:19">
      <c r="A148" s="8">
        <v>141</v>
      </c>
      <c r="B148" s="8" t="s">
        <v>312</v>
      </c>
      <c r="C148" s="8" t="s">
        <v>308</v>
      </c>
      <c r="D148" s="8" t="s">
        <v>198</v>
      </c>
      <c r="E148" s="8" t="s">
        <v>33</v>
      </c>
      <c r="F148" s="6" t="s">
        <v>58</v>
      </c>
      <c r="G148" s="10">
        <v>1</v>
      </c>
      <c r="H148" s="10">
        <v>1</v>
      </c>
      <c r="I148" s="13">
        <v>5000.0</v>
      </c>
      <c r="J148" s="13"/>
      <c r="K148" s="15">
        <f>IF(I148&gt;0, J148/I148, 0)</f>
        <v>0</v>
      </c>
      <c r="L148" s="13">
        <v>5000.0</v>
      </c>
      <c r="M148" s="13"/>
      <c r="N148" s="13">
        <f>L148-M148</f>
        <v>5000</v>
      </c>
      <c r="O148" s="8" t="s">
        <v>40</v>
      </c>
      <c r="P148" s="8" t="s">
        <v>41</v>
      </c>
      <c r="Q148" s="8" t="s">
        <v>42</v>
      </c>
      <c r="R148" s="6" t="s">
        <v>2110</v>
      </c>
      <c r="S148" s="6" t="s">
        <v>143</v>
      </c>
    </row>
    <row r="149" spans="1:19">
      <c r="A149" s="9">
        <v>142</v>
      </c>
      <c r="B149" s="9" t="s">
        <v>314</v>
      </c>
      <c r="C149" s="9" t="s">
        <v>308</v>
      </c>
      <c r="D149" s="9" t="s">
        <v>198</v>
      </c>
      <c r="E149" s="9" t="s">
        <v>33</v>
      </c>
      <c r="F149" s="7" t="s">
        <v>58</v>
      </c>
      <c r="G149" s="11">
        <v>1</v>
      </c>
      <c r="H149" s="11">
        <v>1</v>
      </c>
      <c r="I149" s="14">
        <v>5000.0</v>
      </c>
      <c r="J149" s="14"/>
      <c r="K149" s="16">
        <f>IF(I149&gt;0, J149/I149, 0)</f>
        <v>0</v>
      </c>
      <c r="L149" s="14">
        <v>5000.0</v>
      </c>
      <c r="M149" s="14"/>
      <c r="N149" s="14">
        <f>L149-M149</f>
        <v>5000</v>
      </c>
      <c r="O149" s="9" t="s">
        <v>40</v>
      </c>
      <c r="P149" s="9" t="s">
        <v>41</v>
      </c>
      <c r="Q149" s="9" t="s">
        <v>42</v>
      </c>
      <c r="R149" s="7" t="s">
        <v>2110</v>
      </c>
      <c r="S149" s="7" t="s">
        <v>42</v>
      </c>
    </row>
    <row r="150" spans="1:19">
      <c r="A150" s="8">
        <v>143</v>
      </c>
      <c r="B150" s="8" t="s">
        <v>315</v>
      </c>
      <c r="C150" s="8" t="s">
        <v>308</v>
      </c>
      <c r="D150" s="8" t="s">
        <v>198</v>
      </c>
      <c r="E150" s="8" t="s">
        <v>33</v>
      </c>
      <c r="F150" s="6" t="s">
        <v>58</v>
      </c>
      <c r="G150" s="10">
        <v>1</v>
      </c>
      <c r="H150" s="10">
        <v>1</v>
      </c>
      <c r="I150" s="13">
        <v>8000.0</v>
      </c>
      <c r="J150" s="13"/>
      <c r="K150" s="15">
        <f>IF(I150&gt;0, J150/I150, 0)</f>
        <v>0</v>
      </c>
      <c r="L150" s="13">
        <v>8000.0</v>
      </c>
      <c r="M150" s="13"/>
      <c r="N150" s="13">
        <f>L150-M150</f>
        <v>8000</v>
      </c>
      <c r="O150" s="8" t="s">
        <v>40</v>
      </c>
      <c r="P150" s="8" t="s">
        <v>41</v>
      </c>
      <c r="Q150" s="8" t="s">
        <v>42</v>
      </c>
      <c r="R150" s="6" t="s">
        <v>2121</v>
      </c>
      <c r="S150" s="6" t="s">
        <v>42</v>
      </c>
    </row>
    <row r="151" spans="1:19">
      <c r="A151" s="9">
        <v>144</v>
      </c>
      <c r="B151" s="9" t="s">
        <v>316</v>
      </c>
      <c r="C151" s="9" t="s">
        <v>308</v>
      </c>
      <c r="D151" s="9" t="s">
        <v>198</v>
      </c>
      <c r="E151" s="9" t="s">
        <v>33</v>
      </c>
      <c r="F151" s="7" t="s">
        <v>58</v>
      </c>
      <c r="G151" s="11">
        <v>1</v>
      </c>
      <c r="H151" s="11">
        <v>1</v>
      </c>
      <c r="I151" s="14">
        <v>7000.0</v>
      </c>
      <c r="J151" s="14"/>
      <c r="K151" s="16">
        <f>IF(I151&gt;0, J151/I151, 0)</f>
        <v>0</v>
      </c>
      <c r="L151" s="14">
        <v>7000.0</v>
      </c>
      <c r="M151" s="14"/>
      <c r="N151" s="14">
        <f>L151-M151</f>
        <v>7000</v>
      </c>
      <c r="O151" s="9" t="s">
        <v>40</v>
      </c>
      <c r="P151" s="9" t="s">
        <v>41</v>
      </c>
      <c r="Q151" s="9" t="s">
        <v>42</v>
      </c>
      <c r="R151" s="7" t="s">
        <v>2155</v>
      </c>
      <c r="S151" s="7" t="s">
        <v>42</v>
      </c>
    </row>
    <row r="152" spans="1:19">
      <c r="A152" s="8">
        <v>145</v>
      </c>
      <c r="B152" s="8" t="s">
        <v>317</v>
      </c>
      <c r="C152" s="8" t="s">
        <v>308</v>
      </c>
      <c r="D152" s="8" t="s">
        <v>198</v>
      </c>
      <c r="E152" s="8" t="s">
        <v>33</v>
      </c>
      <c r="F152" s="6" t="s">
        <v>58</v>
      </c>
      <c r="G152" s="10">
        <v>1</v>
      </c>
      <c r="H152" s="10">
        <v>1</v>
      </c>
      <c r="I152" s="13">
        <v>18000.0</v>
      </c>
      <c r="J152" s="13"/>
      <c r="K152" s="15">
        <f>IF(I152&gt;0, J152/I152, 0)</f>
        <v>0</v>
      </c>
      <c r="L152" s="13">
        <v>18000.0</v>
      </c>
      <c r="M152" s="13"/>
      <c r="N152" s="13">
        <f>L152-M152</f>
        <v>18000</v>
      </c>
      <c r="O152" s="8" t="s">
        <v>40</v>
      </c>
      <c r="P152" s="8" t="s">
        <v>41</v>
      </c>
      <c r="Q152" s="8" t="s">
        <v>42</v>
      </c>
      <c r="R152" s="6" t="s">
        <v>2156</v>
      </c>
      <c r="S152" s="6" t="s">
        <v>42</v>
      </c>
    </row>
    <row r="153" spans="1:19">
      <c r="A153" s="9">
        <v>146</v>
      </c>
      <c r="B153" s="9" t="s">
        <v>319</v>
      </c>
      <c r="C153" s="9" t="s">
        <v>308</v>
      </c>
      <c r="D153" s="9" t="s">
        <v>198</v>
      </c>
      <c r="E153" s="9" t="s">
        <v>33</v>
      </c>
      <c r="F153" s="7" t="s">
        <v>58</v>
      </c>
      <c r="G153" s="11">
        <v>1</v>
      </c>
      <c r="H153" s="11">
        <v>1</v>
      </c>
      <c r="I153" s="14">
        <v>7500.0</v>
      </c>
      <c r="J153" s="14"/>
      <c r="K153" s="16">
        <f>IF(I153&gt;0, J153/I153, 0)</f>
        <v>0</v>
      </c>
      <c r="L153" s="14">
        <v>7500.0</v>
      </c>
      <c r="M153" s="14"/>
      <c r="N153" s="14">
        <f>L153-M153</f>
        <v>7500</v>
      </c>
      <c r="O153" s="9" t="s">
        <v>40</v>
      </c>
      <c r="P153" s="9" t="s">
        <v>41</v>
      </c>
      <c r="Q153" s="9" t="s">
        <v>42</v>
      </c>
      <c r="R153" s="7" t="s">
        <v>2077</v>
      </c>
      <c r="S153" s="7" t="s">
        <v>42</v>
      </c>
    </row>
    <row r="154" spans="1:19">
      <c r="A154" s="8">
        <v>147</v>
      </c>
      <c r="B154" s="8" t="s">
        <v>320</v>
      </c>
      <c r="C154" s="8" t="s">
        <v>308</v>
      </c>
      <c r="D154" s="8" t="s">
        <v>198</v>
      </c>
      <c r="E154" s="8" t="s">
        <v>33</v>
      </c>
      <c r="F154" s="6" t="s">
        <v>58</v>
      </c>
      <c r="G154" s="10">
        <v>1</v>
      </c>
      <c r="H154" s="10">
        <v>1</v>
      </c>
      <c r="I154" s="13">
        <v>8500.0</v>
      </c>
      <c r="J154" s="13"/>
      <c r="K154" s="15">
        <f>IF(I154&gt;0, J154/I154, 0)</f>
        <v>0</v>
      </c>
      <c r="L154" s="13">
        <v>8500.0</v>
      </c>
      <c r="M154" s="13"/>
      <c r="N154" s="13">
        <f>L154-M154</f>
        <v>8500</v>
      </c>
      <c r="O154" s="8" t="s">
        <v>40</v>
      </c>
      <c r="P154" s="8" t="s">
        <v>41</v>
      </c>
      <c r="Q154" s="8" t="s">
        <v>42</v>
      </c>
      <c r="R154" s="6" t="s">
        <v>2157</v>
      </c>
      <c r="S154" s="6" t="s">
        <v>42</v>
      </c>
    </row>
    <row r="155" spans="1:19">
      <c r="A155" s="9">
        <v>148</v>
      </c>
      <c r="B155" s="9" t="s">
        <v>322</v>
      </c>
      <c r="C155" s="9" t="s">
        <v>308</v>
      </c>
      <c r="D155" s="9" t="s">
        <v>198</v>
      </c>
      <c r="E155" s="9" t="s">
        <v>33</v>
      </c>
      <c r="F155" s="7" t="s">
        <v>58</v>
      </c>
      <c r="G155" s="11">
        <v>1</v>
      </c>
      <c r="H155" s="11">
        <v>1</v>
      </c>
      <c r="I155" s="14">
        <v>12000.0</v>
      </c>
      <c r="J155" s="14"/>
      <c r="K155" s="16">
        <f>IF(I155&gt;0, J155/I155, 0)</f>
        <v>0</v>
      </c>
      <c r="L155" s="14">
        <v>12000.0</v>
      </c>
      <c r="M155" s="14"/>
      <c r="N155" s="14">
        <f>L155-M155</f>
        <v>12000</v>
      </c>
      <c r="O155" s="9" t="s">
        <v>40</v>
      </c>
      <c r="P155" s="9" t="s">
        <v>41</v>
      </c>
      <c r="Q155" s="9" t="s">
        <v>42</v>
      </c>
      <c r="R155" s="7" t="s">
        <v>2125</v>
      </c>
      <c r="S155" s="7" t="s">
        <v>143</v>
      </c>
    </row>
    <row r="156" spans="1:19">
      <c r="A156" s="8">
        <v>149</v>
      </c>
      <c r="B156" s="8" t="s">
        <v>323</v>
      </c>
      <c r="C156" s="8" t="s">
        <v>308</v>
      </c>
      <c r="D156" s="8" t="s">
        <v>198</v>
      </c>
      <c r="E156" s="8" t="s">
        <v>33</v>
      </c>
      <c r="F156" s="6" t="s">
        <v>58</v>
      </c>
      <c r="G156" s="10">
        <v>1</v>
      </c>
      <c r="H156" s="10">
        <v>1</v>
      </c>
      <c r="I156" s="13">
        <v>8500.0</v>
      </c>
      <c r="J156" s="13"/>
      <c r="K156" s="15">
        <f>IF(I156&gt;0, J156/I156, 0)</f>
        <v>0</v>
      </c>
      <c r="L156" s="13">
        <v>8500.0</v>
      </c>
      <c r="M156" s="13"/>
      <c r="N156" s="13">
        <f>L156-M156</f>
        <v>8500</v>
      </c>
      <c r="O156" s="8" t="s">
        <v>40</v>
      </c>
      <c r="P156" s="8" t="s">
        <v>41</v>
      </c>
      <c r="Q156" s="8" t="s">
        <v>42</v>
      </c>
      <c r="R156" s="6" t="s">
        <v>2141</v>
      </c>
      <c r="S156" s="6" t="s">
        <v>42</v>
      </c>
    </row>
    <row r="157" spans="1:19">
      <c r="A157" s="9">
        <v>150</v>
      </c>
      <c r="B157" s="9" t="s">
        <v>325</v>
      </c>
      <c r="C157" s="9" t="s">
        <v>308</v>
      </c>
      <c r="D157" s="9" t="s">
        <v>198</v>
      </c>
      <c r="E157" s="9" t="s">
        <v>68</v>
      </c>
      <c r="F157" s="7" t="s">
        <v>58</v>
      </c>
      <c r="G157" s="11">
        <v>1</v>
      </c>
      <c r="H157" s="11">
        <v>1</v>
      </c>
      <c r="I157" s="14">
        <v>12000.0</v>
      </c>
      <c r="J157" s="14"/>
      <c r="K157" s="16">
        <f>IF(I157&gt;0, J157/I157, 0)</f>
        <v>0</v>
      </c>
      <c r="L157" s="14">
        <v>12000.0</v>
      </c>
      <c r="M157" s="14"/>
      <c r="N157" s="14">
        <f>L157-M157</f>
        <v>12000</v>
      </c>
      <c r="O157" s="9" t="s">
        <v>40</v>
      </c>
      <c r="P157" s="9" t="s">
        <v>71</v>
      </c>
      <c r="Q157" s="9" t="s">
        <v>42</v>
      </c>
      <c r="R157" s="7" t="s">
        <v>2113</v>
      </c>
      <c r="S157" s="7" t="s">
        <v>42</v>
      </c>
    </row>
    <row r="158" spans="1:19">
      <c r="A158" s="8">
        <v>151</v>
      </c>
      <c r="B158" s="8" t="s">
        <v>326</v>
      </c>
      <c r="C158" s="8" t="s">
        <v>308</v>
      </c>
      <c r="D158" s="8" t="s">
        <v>198</v>
      </c>
      <c r="E158" s="8" t="s">
        <v>68</v>
      </c>
      <c r="F158" s="6" t="s">
        <v>58</v>
      </c>
      <c r="G158" s="10">
        <v>1</v>
      </c>
      <c r="H158" s="10">
        <v>1</v>
      </c>
      <c r="I158" s="13">
        <v>10000.0</v>
      </c>
      <c r="J158" s="13"/>
      <c r="K158" s="15">
        <f>IF(I158&gt;0, J158/I158, 0)</f>
        <v>0</v>
      </c>
      <c r="L158" s="13">
        <v>10000.0</v>
      </c>
      <c r="M158" s="13"/>
      <c r="N158" s="13">
        <f>L158-M158</f>
        <v>10000</v>
      </c>
      <c r="O158" s="8" t="s">
        <v>40</v>
      </c>
      <c r="P158" s="8" t="s">
        <v>71</v>
      </c>
      <c r="Q158" s="8" t="s">
        <v>42</v>
      </c>
      <c r="R158" s="6" t="s">
        <v>2112</v>
      </c>
      <c r="S158" s="6" t="s">
        <v>42</v>
      </c>
    </row>
    <row r="159" spans="1:19">
      <c r="A159" s="9">
        <v>152</v>
      </c>
      <c r="B159" s="9" t="s">
        <v>327</v>
      </c>
      <c r="C159" s="9" t="s">
        <v>328</v>
      </c>
      <c r="D159" s="9" t="s">
        <v>198</v>
      </c>
      <c r="E159" s="9" t="s">
        <v>33</v>
      </c>
      <c r="F159" s="7" t="s">
        <v>58</v>
      </c>
      <c r="G159" s="11">
        <v>1</v>
      </c>
      <c r="H159" s="11">
        <v>1</v>
      </c>
      <c r="I159" s="14">
        <v>7500.0</v>
      </c>
      <c r="J159" s="14"/>
      <c r="K159" s="16">
        <f>IF(I159&gt;0, J159/I159, 0)</f>
        <v>0</v>
      </c>
      <c r="L159" s="14">
        <v>7500.0</v>
      </c>
      <c r="M159" s="14"/>
      <c r="N159" s="14">
        <f>L159-M159</f>
        <v>7500</v>
      </c>
      <c r="O159" s="9" t="s">
        <v>40</v>
      </c>
      <c r="P159" s="9" t="s">
        <v>41</v>
      </c>
      <c r="Q159" s="9" t="s">
        <v>42</v>
      </c>
      <c r="R159" s="7" t="s">
        <v>2154</v>
      </c>
      <c r="S159" s="7" t="s">
        <v>42</v>
      </c>
    </row>
    <row r="160" spans="1:19">
      <c r="A160" s="8">
        <v>153</v>
      </c>
      <c r="B160" s="8" t="s">
        <v>330</v>
      </c>
      <c r="C160" s="8" t="s">
        <v>328</v>
      </c>
      <c r="D160" s="8" t="s">
        <v>198</v>
      </c>
      <c r="E160" s="8" t="s">
        <v>33</v>
      </c>
      <c r="F160" s="6" t="s">
        <v>58</v>
      </c>
      <c r="G160" s="10">
        <v>1</v>
      </c>
      <c r="H160" s="10">
        <v>1</v>
      </c>
      <c r="I160" s="13">
        <v>8500.0</v>
      </c>
      <c r="J160" s="13"/>
      <c r="K160" s="15">
        <f>IF(I160&gt;0, J160/I160, 0)</f>
        <v>0</v>
      </c>
      <c r="L160" s="13">
        <v>8500.0</v>
      </c>
      <c r="M160" s="13"/>
      <c r="N160" s="13">
        <f>L160-M160</f>
        <v>8500</v>
      </c>
      <c r="O160" s="8" t="s">
        <v>40</v>
      </c>
      <c r="P160" s="8" t="s">
        <v>41</v>
      </c>
      <c r="Q160" s="8" t="s">
        <v>42</v>
      </c>
      <c r="R160" s="6" t="s">
        <v>2099</v>
      </c>
      <c r="S160" s="6" t="s">
        <v>42</v>
      </c>
    </row>
    <row r="161" spans="1:19">
      <c r="A161" s="9">
        <v>154</v>
      </c>
      <c r="B161" s="9" t="s">
        <v>331</v>
      </c>
      <c r="C161" s="9" t="s">
        <v>328</v>
      </c>
      <c r="D161" s="9" t="s">
        <v>198</v>
      </c>
      <c r="E161" s="9" t="s">
        <v>33</v>
      </c>
      <c r="F161" s="7" t="s">
        <v>58</v>
      </c>
      <c r="G161" s="11">
        <v>1</v>
      </c>
      <c r="H161" s="11">
        <v>1</v>
      </c>
      <c r="I161" s="14">
        <v>5000.0</v>
      </c>
      <c r="J161" s="14"/>
      <c r="K161" s="16">
        <f>IF(I161&gt;0, J161/I161, 0)</f>
        <v>0</v>
      </c>
      <c r="L161" s="14">
        <v>5000.0</v>
      </c>
      <c r="M161" s="14"/>
      <c r="N161" s="14">
        <f>L161-M161</f>
        <v>5000</v>
      </c>
      <c r="O161" s="9" t="s">
        <v>40</v>
      </c>
      <c r="P161" s="9" t="s">
        <v>41</v>
      </c>
      <c r="Q161" s="9" t="s">
        <v>42</v>
      </c>
      <c r="R161" s="7" t="s">
        <v>2110</v>
      </c>
      <c r="S161" s="7" t="s">
        <v>42</v>
      </c>
    </row>
    <row r="162" spans="1:19">
      <c r="A162" s="8">
        <v>155</v>
      </c>
      <c r="B162" s="8" t="s">
        <v>333</v>
      </c>
      <c r="C162" s="8" t="s">
        <v>328</v>
      </c>
      <c r="D162" s="8" t="s">
        <v>198</v>
      </c>
      <c r="E162" s="8" t="s">
        <v>33</v>
      </c>
      <c r="F162" s="6" t="s">
        <v>58</v>
      </c>
      <c r="G162" s="10">
        <v>1</v>
      </c>
      <c r="H162" s="10">
        <v>1</v>
      </c>
      <c r="I162" s="13">
        <v>10000.0</v>
      </c>
      <c r="J162" s="13"/>
      <c r="K162" s="15">
        <f>IF(I162&gt;0, J162/I162, 0)</f>
        <v>0</v>
      </c>
      <c r="L162" s="13">
        <v>10000.0</v>
      </c>
      <c r="M162" s="13"/>
      <c r="N162" s="13">
        <f>L162-M162</f>
        <v>10000</v>
      </c>
      <c r="O162" s="8" t="s">
        <v>40</v>
      </c>
      <c r="P162" s="8" t="s">
        <v>41</v>
      </c>
      <c r="Q162" s="8" t="s">
        <v>42</v>
      </c>
      <c r="R162" s="6" t="s">
        <v>2137</v>
      </c>
      <c r="S162" s="6" t="s">
        <v>143</v>
      </c>
    </row>
    <row r="163" spans="1:19">
      <c r="A163" s="9">
        <v>156</v>
      </c>
      <c r="B163" s="9" t="s">
        <v>334</v>
      </c>
      <c r="C163" s="9" t="s">
        <v>328</v>
      </c>
      <c r="D163" s="9" t="s">
        <v>198</v>
      </c>
      <c r="E163" s="9" t="s">
        <v>33</v>
      </c>
      <c r="F163" s="7" t="s">
        <v>58</v>
      </c>
      <c r="G163" s="11">
        <v>1</v>
      </c>
      <c r="H163" s="11">
        <v>1</v>
      </c>
      <c r="I163" s="14">
        <v>8000.0</v>
      </c>
      <c r="J163" s="14"/>
      <c r="K163" s="16">
        <f>IF(I163&gt;0, J163/I163, 0)</f>
        <v>0</v>
      </c>
      <c r="L163" s="14">
        <v>8000.0</v>
      </c>
      <c r="M163" s="14"/>
      <c r="N163" s="14">
        <f>L163-M163</f>
        <v>8000</v>
      </c>
      <c r="O163" s="9" t="s">
        <v>40</v>
      </c>
      <c r="P163" s="9" t="s">
        <v>41</v>
      </c>
      <c r="Q163" s="9" t="s">
        <v>42</v>
      </c>
      <c r="R163" s="7" t="s">
        <v>2158</v>
      </c>
      <c r="S163" s="7" t="s">
        <v>42</v>
      </c>
    </row>
    <row r="164" spans="1:19">
      <c r="A164" s="8">
        <v>157</v>
      </c>
      <c r="B164" s="8" t="s">
        <v>336</v>
      </c>
      <c r="C164" s="8" t="s">
        <v>328</v>
      </c>
      <c r="D164" s="8" t="s">
        <v>198</v>
      </c>
      <c r="E164" s="8" t="s">
        <v>33</v>
      </c>
      <c r="F164" s="6" t="s">
        <v>58</v>
      </c>
      <c r="G164" s="10">
        <v>1</v>
      </c>
      <c r="H164" s="10">
        <v>1</v>
      </c>
      <c r="I164" s="13">
        <v>8500.0</v>
      </c>
      <c r="J164" s="13"/>
      <c r="K164" s="15">
        <f>IF(I164&gt;0, J164/I164, 0)</f>
        <v>0</v>
      </c>
      <c r="L164" s="13">
        <v>8500.0</v>
      </c>
      <c r="M164" s="13"/>
      <c r="N164" s="13">
        <f>L164-M164</f>
        <v>8500</v>
      </c>
      <c r="O164" s="8" t="s">
        <v>40</v>
      </c>
      <c r="P164" s="8" t="s">
        <v>41</v>
      </c>
      <c r="Q164" s="8" t="s">
        <v>42</v>
      </c>
      <c r="R164" s="6" t="s">
        <v>2157</v>
      </c>
      <c r="S164" s="6" t="s">
        <v>42</v>
      </c>
    </row>
    <row r="165" spans="1:19">
      <c r="A165" s="9">
        <v>158</v>
      </c>
      <c r="B165" s="9" t="s">
        <v>337</v>
      </c>
      <c r="C165" s="9" t="s">
        <v>328</v>
      </c>
      <c r="D165" s="9" t="s">
        <v>198</v>
      </c>
      <c r="E165" s="9" t="s">
        <v>33</v>
      </c>
      <c r="F165" s="7" t="s">
        <v>58</v>
      </c>
      <c r="G165" s="11">
        <v>1</v>
      </c>
      <c r="H165" s="11">
        <v>1</v>
      </c>
      <c r="I165" s="14">
        <v>10000.0</v>
      </c>
      <c r="J165" s="14"/>
      <c r="K165" s="16">
        <f>IF(I165&gt;0, J165/I165, 0)</f>
        <v>0</v>
      </c>
      <c r="L165" s="14">
        <v>10000.0</v>
      </c>
      <c r="M165" s="14"/>
      <c r="N165" s="14">
        <f>L165-M165</f>
        <v>10000</v>
      </c>
      <c r="O165" s="9" t="s">
        <v>40</v>
      </c>
      <c r="P165" s="9" t="s">
        <v>41</v>
      </c>
      <c r="Q165" s="9" t="s">
        <v>42</v>
      </c>
      <c r="R165" s="7" t="s">
        <v>2112</v>
      </c>
      <c r="S165" s="7" t="s">
        <v>143</v>
      </c>
    </row>
    <row r="166" spans="1:19">
      <c r="A166" s="8">
        <v>159</v>
      </c>
      <c r="B166" s="8" t="s">
        <v>338</v>
      </c>
      <c r="C166" s="8" t="s">
        <v>328</v>
      </c>
      <c r="D166" s="8" t="s">
        <v>198</v>
      </c>
      <c r="E166" s="8" t="s">
        <v>33</v>
      </c>
      <c r="F166" s="6" t="s">
        <v>58</v>
      </c>
      <c r="G166" s="10">
        <v>1</v>
      </c>
      <c r="H166" s="10">
        <v>1</v>
      </c>
      <c r="I166" s="13">
        <v>12000.0</v>
      </c>
      <c r="J166" s="13"/>
      <c r="K166" s="15">
        <f>IF(I166&gt;0, J166/I166, 0)</f>
        <v>0</v>
      </c>
      <c r="L166" s="13">
        <v>12000.0</v>
      </c>
      <c r="M166" s="13"/>
      <c r="N166" s="13">
        <f>L166-M166</f>
        <v>12000</v>
      </c>
      <c r="O166" s="8" t="s">
        <v>40</v>
      </c>
      <c r="P166" s="8" t="s">
        <v>41</v>
      </c>
      <c r="Q166" s="8" t="s">
        <v>42</v>
      </c>
      <c r="R166" s="6" t="s">
        <v>2125</v>
      </c>
      <c r="S166" s="6" t="s">
        <v>143</v>
      </c>
    </row>
    <row r="167" spans="1:19">
      <c r="A167" s="9">
        <v>160</v>
      </c>
      <c r="B167" s="9" t="s">
        <v>339</v>
      </c>
      <c r="C167" s="9" t="s">
        <v>328</v>
      </c>
      <c r="D167" s="9" t="s">
        <v>198</v>
      </c>
      <c r="E167" s="9" t="s">
        <v>33</v>
      </c>
      <c r="F167" s="7" t="s">
        <v>58</v>
      </c>
      <c r="G167" s="11">
        <v>1</v>
      </c>
      <c r="H167" s="11">
        <v>1</v>
      </c>
      <c r="I167" s="14">
        <v>8000.0</v>
      </c>
      <c r="J167" s="14"/>
      <c r="K167" s="16">
        <f>IF(I167&gt;0, J167/I167, 0)</f>
        <v>0</v>
      </c>
      <c r="L167" s="14">
        <v>8000.0</v>
      </c>
      <c r="M167" s="14"/>
      <c r="N167" s="14">
        <f>L167-M167</f>
        <v>8000</v>
      </c>
      <c r="O167" s="9" t="s">
        <v>40</v>
      </c>
      <c r="P167" s="9" t="s">
        <v>41</v>
      </c>
      <c r="Q167" s="9" t="s">
        <v>42</v>
      </c>
      <c r="R167" s="7" t="s">
        <v>2159</v>
      </c>
      <c r="S167" s="7" t="s">
        <v>42</v>
      </c>
    </row>
    <row r="168" spans="1:19">
      <c r="A168" s="8">
        <v>161</v>
      </c>
      <c r="B168" s="8" t="s">
        <v>341</v>
      </c>
      <c r="C168" s="8" t="s">
        <v>328</v>
      </c>
      <c r="D168" s="8" t="s">
        <v>198</v>
      </c>
      <c r="E168" s="8" t="s">
        <v>33</v>
      </c>
      <c r="F168" s="6" t="s">
        <v>58</v>
      </c>
      <c r="G168" s="10">
        <v>1</v>
      </c>
      <c r="H168" s="10">
        <v>1</v>
      </c>
      <c r="I168" s="13">
        <v>16000.0</v>
      </c>
      <c r="J168" s="13"/>
      <c r="K168" s="15">
        <f>IF(I168&gt;0, J168/I168, 0)</f>
        <v>0</v>
      </c>
      <c r="L168" s="13">
        <v>16000.0</v>
      </c>
      <c r="M168" s="13"/>
      <c r="N168" s="13">
        <f>L168-M168</f>
        <v>16000</v>
      </c>
      <c r="O168" s="8" t="s">
        <v>40</v>
      </c>
      <c r="P168" s="8" t="s">
        <v>41</v>
      </c>
      <c r="Q168" s="8" t="s">
        <v>42</v>
      </c>
      <c r="R168" s="6" t="s">
        <v>2127</v>
      </c>
      <c r="S168" s="6" t="s">
        <v>42</v>
      </c>
    </row>
    <row r="169" spans="1:19">
      <c r="A169" s="9">
        <v>162</v>
      </c>
      <c r="B169" s="9" t="s">
        <v>342</v>
      </c>
      <c r="C169" s="9" t="s">
        <v>328</v>
      </c>
      <c r="D169" s="9" t="s">
        <v>198</v>
      </c>
      <c r="E169" s="9" t="s">
        <v>33</v>
      </c>
      <c r="F169" s="7" t="s">
        <v>58</v>
      </c>
      <c r="G169" s="11">
        <v>1</v>
      </c>
      <c r="H169" s="11">
        <v>1</v>
      </c>
      <c r="I169" s="14">
        <v>18000.0</v>
      </c>
      <c r="J169" s="14"/>
      <c r="K169" s="16">
        <f>IF(I169&gt;0, J169/I169, 0)</f>
        <v>0</v>
      </c>
      <c r="L169" s="14">
        <v>18000.0</v>
      </c>
      <c r="M169" s="14"/>
      <c r="N169" s="14">
        <f>L169-M169</f>
        <v>18000</v>
      </c>
      <c r="O169" s="9" t="s">
        <v>40</v>
      </c>
      <c r="P169" s="9" t="s">
        <v>41</v>
      </c>
      <c r="Q169" s="9" t="s">
        <v>42</v>
      </c>
      <c r="R169" s="7" t="s">
        <v>2080</v>
      </c>
      <c r="S169" s="7" t="s">
        <v>143</v>
      </c>
    </row>
    <row r="170" spans="1:19">
      <c r="A170" s="8">
        <v>163</v>
      </c>
      <c r="B170" s="8" t="s">
        <v>343</v>
      </c>
      <c r="C170" s="8" t="s">
        <v>328</v>
      </c>
      <c r="D170" s="8" t="s">
        <v>198</v>
      </c>
      <c r="E170" s="8" t="s">
        <v>33</v>
      </c>
      <c r="F170" s="6" t="s">
        <v>58</v>
      </c>
      <c r="G170" s="10">
        <v>1</v>
      </c>
      <c r="H170" s="10">
        <v>1</v>
      </c>
      <c r="I170" s="13">
        <v>16000.0</v>
      </c>
      <c r="J170" s="13"/>
      <c r="K170" s="15">
        <f>IF(I170&gt;0, J170/I170, 0)</f>
        <v>0</v>
      </c>
      <c r="L170" s="13">
        <v>16000.0</v>
      </c>
      <c r="M170" s="13"/>
      <c r="N170" s="13">
        <f>L170-M170</f>
        <v>16000</v>
      </c>
      <c r="O170" s="8" t="s">
        <v>40</v>
      </c>
      <c r="P170" s="8" t="s">
        <v>41</v>
      </c>
      <c r="Q170" s="8" t="s">
        <v>42</v>
      </c>
      <c r="R170" s="6" t="s">
        <v>2126</v>
      </c>
      <c r="S170" s="6" t="s">
        <v>42</v>
      </c>
    </row>
    <row r="171" spans="1:19">
      <c r="A171" s="9">
        <v>164</v>
      </c>
      <c r="B171" s="9" t="s">
        <v>344</v>
      </c>
      <c r="C171" s="9" t="s">
        <v>328</v>
      </c>
      <c r="D171" s="9" t="s">
        <v>198</v>
      </c>
      <c r="E171" s="9" t="s">
        <v>33</v>
      </c>
      <c r="F171" s="7" t="s">
        <v>58</v>
      </c>
      <c r="G171" s="11">
        <v>1</v>
      </c>
      <c r="H171" s="11">
        <v>1</v>
      </c>
      <c r="I171" s="14">
        <v>18000.0</v>
      </c>
      <c r="J171" s="14"/>
      <c r="K171" s="16">
        <f>IF(I171&gt;0, J171/I171, 0)</f>
        <v>0</v>
      </c>
      <c r="L171" s="14">
        <v>18000.0</v>
      </c>
      <c r="M171" s="14"/>
      <c r="N171" s="14">
        <f>L171-M171</f>
        <v>18000</v>
      </c>
      <c r="O171" s="9" t="s">
        <v>40</v>
      </c>
      <c r="P171" s="9" t="s">
        <v>41</v>
      </c>
      <c r="Q171" s="9" t="s">
        <v>42</v>
      </c>
      <c r="R171" s="7" t="s">
        <v>2160</v>
      </c>
      <c r="S171" s="7" t="s">
        <v>42</v>
      </c>
    </row>
    <row r="172" spans="1:19">
      <c r="A172" s="8">
        <v>165</v>
      </c>
      <c r="B172" s="8" t="s">
        <v>346</v>
      </c>
      <c r="C172" s="8" t="s">
        <v>328</v>
      </c>
      <c r="D172" s="8" t="s">
        <v>198</v>
      </c>
      <c r="E172" s="8" t="s">
        <v>33</v>
      </c>
      <c r="F172" s="6" t="s">
        <v>58</v>
      </c>
      <c r="G172" s="10">
        <v>1</v>
      </c>
      <c r="H172" s="10">
        <v>1</v>
      </c>
      <c r="I172" s="13">
        <v>8500.0</v>
      </c>
      <c r="J172" s="13"/>
      <c r="K172" s="15">
        <f>IF(I172&gt;0, J172/I172, 0)</f>
        <v>0</v>
      </c>
      <c r="L172" s="13">
        <v>8500.0</v>
      </c>
      <c r="M172" s="13"/>
      <c r="N172" s="13">
        <f>L172-M172</f>
        <v>8500</v>
      </c>
      <c r="O172" s="8" t="s">
        <v>40</v>
      </c>
      <c r="P172" s="8" t="s">
        <v>41</v>
      </c>
      <c r="Q172" s="8" t="s">
        <v>42</v>
      </c>
      <c r="R172" s="6" t="s">
        <v>2078</v>
      </c>
      <c r="S172" s="6" t="s">
        <v>42</v>
      </c>
    </row>
    <row r="173" spans="1:19">
      <c r="A173" s="9">
        <v>166</v>
      </c>
      <c r="B173" s="9" t="s">
        <v>347</v>
      </c>
      <c r="C173" s="9" t="s">
        <v>328</v>
      </c>
      <c r="D173" s="9" t="s">
        <v>198</v>
      </c>
      <c r="E173" s="9" t="s">
        <v>33</v>
      </c>
      <c r="F173" s="7" t="s">
        <v>58</v>
      </c>
      <c r="G173" s="11">
        <v>1</v>
      </c>
      <c r="H173" s="11">
        <v>2</v>
      </c>
      <c r="I173" s="14">
        <v>14000.0</v>
      </c>
      <c r="J173" s="14"/>
      <c r="K173" s="16">
        <f>IF(I173&gt;0, J173/I173, 0)</f>
        <v>0</v>
      </c>
      <c r="L173" s="14">
        <v>14000.0</v>
      </c>
      <c r="M173" s="14"/>
      <c r="N173" s="14">
        <f>L173-M173</f>
        <v>14000</v>
      </c>
      <c r="O173" s="9" t="s">
        <v>40</v>
      </c>
      <c r="P173" s="9" t="s">
        <v>41</v>
      </c>
      <c r="Q173" s="9" t="s">
        <v>42</v>
      </c>
      <c r="R173" s="7" t="s">
        <v>2104</v>
      </c>
      <c r="S173" s="7" t="s">
        <v>42</v>
      </c>
    </row>
    <row r="174" spans="1:19">
      <c r="A174" s="8">
        <v>167</v>
      </c>
      <c r="B174" s="8" t="s">
        <v>348</v>
      </c>
      <c r="C174" s="8" t="s">
        <v>349</v>
      </c>
      <c r="D174" s="8" t="s">
        <v>198</v>
      </c>
      <c r="E174" s="8" t="s">
        <v>33</v>
      </c>
      <c r="F174" s="6" t="s">
        <v>39</v>
      </c>
      <c r="G174" s="10">
        <v>1</v>
      </c>
      <c r="H174" s="10">
        <v>1</v>
      </c>
      <c r="I174" s="13">
        <v>16000.0</v>
      </c>
      <c r="J174" s="13"/>
      <c r="K174" s="15">
        <f>IF(I174&gt;0, J174/I174, 0)</f>
        <v>0</v>
      </c>
      <c r="L174" s="13">
        <v>16000.0</v>
      </c>
      <c r="M174" s="13"/>
      <c r="N174" s="13">
        <f>L174-M174</f>
        <v>16000</v>
      </c>
      <c r="O174" s="8" t="s">
        <v>40</v>
      </c>
      <c r="P174" s="8" t="s">
        <v>41</v>
      </c>
      <c r="Q174" s="8" t="s">
        <v>42</v>
      </c>
      <c r="R174" s="6" t="s">
        <v>2126</v>
      </c>
      <c r="S174" s="6" t="s">
        <v>42</v>
      </c>
    </row>
    <row r="175" spans="1:19">
      <c r="A175" s="9">
        <v>168</v>
      </c>
      <c r="B175" s="9" t="s">
        <v>351</v>
      </c>
      <c r="C175" s="9" t="s">
        <v>349</v>
      </c>
      <c r="D175" s="9" t="s">
        <v>198</v>
      </c>
      <c r="E175" s="9" t="s">
        <v>33</v>
      </c>
      <c r="F175" s="7" t="s">
        <v>39</v>
      </c>
      <c r="G175" s="11">
        <v>1</v>
      </c>
      <c r="H175" s="11">
        <v>1</v>
      </c>
      <c r="I175" s="14">
        <v>8000.0</v>
      </c>
      <c r="J175" s="14"/>
      <c r="K175" s="16">
        <f>IF(I175&gt;0, J175/I175, 0)</f>
        <v>0</v>
      </c>
      <c r="L175" s="14">
        <v>8000.0</v>
      </c>
      <c r="M175" s="14"/>
      <c r="N175" s="14">
        <f>L175-M175</f>
        <v>8000</v>
      </c>
      <c r="O175" s="9" t="s">
        <v>40</v>
      </c>
      <c r="P175" s="9" t="s">
        <v>41</v>
      </c>
      <c r="Q175" s="9" t="s">
        <v>42</v>
      </c>
      <c r="R175" s="7" t="s">
        <v>2161</v>
      </c>
      <c r="S175" s="7" t="s">
        <v>42</v>
      </c>
    </row>
    <row r="176" spans="1:19">
      <c r="A176" s="8">
        <v>169</v>
      </c>
      <c r="B176" s="8" t="s">
        <v>353</v>
      </c>
      <c r="C176" s="8" t="s">
        <v>349</v>
      </c>
      <c r="D176" s="8" t="s">
        <v>198</v>
      </c>
      <c r="E176" s="8" t="s">
        <v>33</v>
      </c>
      <c r="F176" s="6" t="s">
        <v>39</v>
      </c>
      <c r="G176" s="10">
        <v>1</v>
      </c>
      <c r="H176" s="10">
        <v>1</v>
      </c>
      <c r="I176" s="13">
        <v>9000.0</v>
      </c>
      <c r="J176" s="13"/>
      <c r="K176" s="15">
        <f>IF(I176&gt;0, J176/I176, 0)</f>
        <v>0</v>
      </c>
      <c r="L176" s="13">
        <v>9000.0</v>
      </c>
      <c r="M176" s="13"/>
      <c r="N176" s="13">
        <f>L176-M176</f>
        <v>9000</v>
      </c>
      <c r="O176" s="8" t="s">
        <v>40</v>
      </c>
      <c r="P176" s="8" t="s">
        <v>41</v>
      </c>
      <c r="Q176" s="8" t="s">
        <v>42</v>
      </c>
      <c r="R176" s="6" t="s">
        <v>2162</v>
      </c>
      <c r="S176" s="6" t="s">
        <v>42</v>
      </c>
    </row>
    <row r="177" spans="1:19">
      <c r="A177" s="9">
        <v>170</v>
      </c>
      <c r="B177" s="9" t="s">
        <v>355</v>
      </c>
      <c r="C177" s="9" t="s">
        <v>349</v>
      </c>
      <c r="D177" s="9" t="s">
        <v>198</v>
      </c>
      <c r="E177" s="9" t="s">
        <v>33</v>
      </c>
      <c r="F177" s="7" t="s">
        <v>39</v>
      </c>
      <c r="G177" s="11">
        <v>1</v>
      </c>
      <c r="H177" s="11">
        <v>1</v>
      </c>
      <c r="I177" s="14">
        <v>8500.0</v>
      </c>
      <c r="J177" s="14"/>
      <c r="K177" s="16">
        <f>IF(I177&gt;0, J177/I177, 0)</f>
        <v>0</v>
      </c>
      <c r="L177" s="14">
        <v>8500.0</v>
      </c>
      <c r="M177" s="14"/>
      <c r="N177" s="14">
        <f>L177-M177</f>
        <v>8500</v>
      </c>
      <c r="O177" s="9" t="s">
        <v>40</v>
      </c>
      <c r="P177" s="9" t="s">
        <v>41</v>
      </c>
      <c r="Q177" s="9" t="s">
        <v>42</v>
      </c>
      <c r="R177" s="7" t="s">
        <v>2157</v>
      </c>
      <c r="S177" s="7" t="s">
        <v>42</v>
      </c>
    </row>
    <row r="178" spans="1:19">
      <c r="A178" s="8">
        <v>171</v>
      </c>
      <c r="B178" s="8" t="s">
        <v>356</v>
      </c>
      <c r="C178" s="8" t="s">
        <v>349</v>
      </c>
      <c r="D178" s="8" t="s">
        <v>198</v>
      </c>
      <c r="E178" s="8" t="s">
        <v>68</v>
      </c>
      <c r="F178" s="6" t="s">
        <v>39</v>
      </c>
      <c r="G178" s="10">
        <v>1</v>
      </c>
      <c r="H178" s="10">
        <v>1</v>
      </c>
      <c r="I178" s="13">
        <v>10000.0</v>
      </c>
      <c r="J178" s="13"/>
      <c r="K178" s="15">
        <f>IF(I178&gt;0, J178/I178, 0)</f>
        <v>0</v>
      </c>
      <c r="L178" s="13">
        <v>10000.0</v>
      </c>
      <c r="M178" s="13"/>
      <c r="N178" s="13">
        <f>L178-M178</f>
        <v>10000</v>
      </c>
      <c r="O178" s="8" t="s">
        <v>40</v>
      </c>
      <c r="P178" s="8" t="s">
        <v>71</v>
      </c>
      <c r="Q178" s="8" t="s">
        <v>42</v>
      </c>
      <c r="R178" s="6" t="s">
        <v>2137</v>
      </c>
      <c r="S178" s="6" t="s">
        <v>42</v>
      </c>
    </row>
    <row r="179" spans="1:19">
      <c r="A179" s="9">
        <v>172</v>
      </c>
      <c r="B179" s="9" t="s">
        <v>357</v>
      </c>
      <c r="C179" s="9" t="s">
        <v>349</v>
      </c>
      <c r="D179" s="9" t="s">
        <v>198</v>
      </c>
      <c r="E179" s="9" t="s">
        <v>68</v>
      </c>
      <c r="F179" s="7" t="s">
        <v>39</v>
      </c>
      <c r="G179" s="11">
        <v>1</v>
      </c>
      <c r="H179" s="11">
        <v>1</v>
      </c>
      <c r="I179" s="14">
        <v>5000.0</v>
      </c>
      <c r="J179" s="14"/>
      <c r="K179" s="16">
        <f>IF(I179&gt;0, J179/I179, 0)</f>
        <v>0</v>
      </c>
      <c r="L179" s="14">
        <v>5000.0</v>
      </c>
      <c r="M179" s="14"/>
      <c r="N179" s="14">
        <f>L179-M179</f>
        <v>5000</v>
      </c>
      <c r="O179" s="9" t="s">
        <v>40</v>
      </c>
      <c r="P179" s="9" t="s">
        <v>71</v>
      </c>
      <c r="Q179" s="9" t="s">
        <v>42</v>
      </c>
      <c r="R179" s="7" t="s">
        <v>2110</v>
      </c>
      <c r="S179" s="7" t="s">
        <v>42</v>
      </c>
    </row>
    <row r="180" spans="1:19">
      <c r="A180" s="8">
        <v>173</v>
      </c>
      <c r="B180" s="8" t="s">
        <v>359</v>
      </c>
      <c r="C180" s="8" t="s">
        <v>349</v>
      </c>
      <c r="D180" s="8" t="s">
        <v>198</v>
      </c>
      <c r="E180" s="8" t="s">
        <v>68</v>
      </c>
      <c r="F180" s="6" t="s">
        <v>39</v>
      </c>
      <c r="G180" s="10">
        <v>1</v>
      </c>
      <c r="H180" s="10">
        <v>1</v>
      </c>
      <c r="I180" s="13">
        <v>10000.0</v>
      </c>
      <c r="J180" s="13"/>
      <c r="K180" s="15">
        <f>IF(I180&gt;0, J180/I180, 0)</f>
        <v>0</v>
      </c>
      <c r="L180" s="13">
        <v>10000.0</v>
      </c>
      <c r="M180" s="13"/>
      <c r="N180" s="13">
        <f>L180-M180</f>
        <v>10000</v>
      </c>
      <c r="O180" s="8" t="s">
        <v>40</v>
      </c>
      <c r="P180" s="8" t="s">
        <v>71</v>
      </c>
      <c r="Q180" s="8" t="s">
        <v>42</v>
      </c>
      <c r="R180" s="6" t="s">
        <v>2112</v>
      </c>
      <c r="S180" s="6" t="s">
        <v>42</v>
      </c>
    </row>
    <row r="181" spans="1:19">
      <c r="A181" s="9">
        <v>174</v>
      </c>
      <c r="B181" s="9" t="s">
        <v>360</v>
      </c>
      <c r="C181" s="9" t="s">
        <v>349</v>
      </c>
      <c r="D181" s="9" t="s">
        <v>198</v>
      </c>
      <c r="E181" s="9" t="s">
        <v>33</v>
      </c>
      <c r="F181" s="7" t="s">
        <v>39</v>
      </c>
      <c r="G181" s="11">
        <v>1</v>
      </c>
      <c r="H181" s="11">
        <v>1</v>
      </c>
      <c r="I181" s="14">
        <v>8000.0</v>
      </c>
      <c r="J181" s="14"/>
      <c r="K181" s="16">
        <f>IF(I181&gt;0, J181/I181, 0)</f>
        <v>0</v>
      </c>
      <c r="L181" s="14">
        <v>8000.0</v>
      </c>
      <c r="M181" s="14"/>
      <c r="N181" s="14">
        <f>L181-M181</f>
        <v>8000</v>
      </c>
      <c r="O181" s="9" t="s">
        <v>40</v>
      </c>
      <c r="P181" s="9" t="s">
        <v>41</v>
      </c>
      <c r="Q181" s="9" t="s">
        <v>42</v>
      </c>
      <c r="R181" s="7" t="s">
        <v>2163</v>
      </c>
      <c r="S181" s="7" t="s">
        <v>42</v>
      </c>
    </row>
    <row r="182" spans="1:19">
      <c r="A182" s="8">
        <v>175</v>
      </c>
      <c r="B182" s="8" t="s">
        <v>361</v>
      </c>
      <c r="C182" s="8" t="s">
        <v>349</v>
      </c>
      <c r="D182" s="8" t="s">
        <v>198</v>
      </c>
      <c r="E182" s="8" t="s">
        <v>33</v>
      </c>
      <c r="F182" s="6" t="s">
        <v>39</v>
      </c>
      <c r="G182" s="10">
        <v>1</v>
      </c>
      <c r="H182" s="10">
        <v>1</v>
      </c>
      <c r="I182" s="13">
        <v>7000.0</v>
      </c>
      <c r="J182" s="13"/>
      <c r="K182" s="15">
        <f>IF(I182&gt;0, J182/I182, 0)</f>
        <v>0</v>
      </c>
      <c r="L182" s="13">
        <v>7000.0</v>
      </c>
      <c r="M182" s="13"/>
      <c r="N182" s="13">
        <f>L182-M182</f>
        <v>7000</v>
      </c>
      <c r="O182" s="8" t="s">
        <v>40</v>
      </c>
      <c r="P182" s="8" t="s">
        <v>41</v>
      </c>
      <c r="Q182" s="8" t="s">
        <v>42</v>
      </c>
      <c r="R182" s="6" t="s">
        <v>2131</v>
      </c>
      <c r="S182" s="6" t="s">
        <v>42</v>
      </c>
    </row>
    <row r="183" spans="1:19">
      <c r="A183" s="9">
        <v>176</v>
      </c>
      <c r="B183" s="9" t="s">
        <v>362</v>
      </c>
      <c r="C183" s="9" t="s">
        <v>349</v>
      </c>
      <c r="D183" s="9" t="s">
        <v>198</v>
      </c>
      <c r="E183" s="9" t="s">
        <v>33</v>
      </c>
      <c r="F183" s="7" t="s">
        <v>39</v>
      </c>
      <c r="G183" s="11">
        <v>1</v>
      </c>
      <c r="H183" s="11">
        <v>1</v>
      </c>
      <c r="I183" s="14">
        <v>8500.0</v>
      </c>
      <c r="J183" s="14"/>
      <c r="K183" s="16">
        <f>IF(I183&gt;0, J183/I183, 0)</f>
        <v>0</v>
      </c>
      <c r="L183" s="14">
        <v>8500.0</v>
      </c>
      <c r="M183" s="14"/>
      <c r="N183" s="14">
        <f>L183-M183</f>
        <v>8500</v>
      </c>
      <c r="O183" s="9" t="s">
        <v>40</v>
      </c>
      <c r="P183" s="9" t="s">
        <v>41</v>
      </c>
      <c r="Q183" s="9" t="s">
        <v>42</v>
      </c>
      <c r="R183" s="7" t="s">
        <v>2078</v>
      </c>
      <c r="S183" s="7" t="s">
        <v>42</v>
      </c>
    </row>
    <row r="184" spans="1:19">
      <c r="A184" s="8">
        <v>177</v>
      </c>
      <c r="B184" s="8" t="s">
        <v>363</v>
      </c>
      <c r="C184" s="8" t="s">
        <v>349</v>
      </c>
      <c r="D184" s="8" t="s">
        <v>198</v>
      </c>
      <c r="E184" s="8" t="s">
        <v>33</v>
      </c>
      <c r="F184" s="6" t="s">
        <v>39</v>
      </c>
      <c r="G184" s="10">
        <v>1</v>
      </c>
      <c r="H184" s="10">
        <v>1</v>
      </c>
      <c r="I184" s="13">
        <v>7500.0</v>
      </c>
      <c r="J184" s="13"/>
      <c r="K184" s="15">
        <f>IF(I184&gt;0, J184/I184, 0)</f>
        <v>0</v>
      </c>
      <c r="L184" s="13">
        <v>7500.0</v>
      </c>
      <c r="M184" s="13"/>
      <c r="N184" s="13">
        <f>L184-M184</f>
        <v>7500</v>
      </c>
      <c r="O184" s="8" t="s">
        <v>40</v>
      </c>
      <c r="P184" s="8" t="s">
        <v>41</v>
      </c>
      <c r="Q184" s="8" t="s">
        <v>42</v>
      </c>
      <c r="R184" s="6" t="s">
        <v>2077</v>
      </c>
      <c r="S184" s="6" t="s">
        <v>42</v>
      </c>
    </row>
    <row r="185" spans="1:19">
      <c r="A185" s="9">
        <v>178</v>
      </c>
      <c r="B185" s="9" t="s">
        <v>364</v>
      </c>
      <c r="C185" s="9" t="s">
        <v>349</v>
      </c>
      <c r="D185" s="9" t="s">
        <v>198</v>
      </c>
      <c r="E185" s="9" t="s">
        <v>68</v>
      </c>
      <c r="F185" s="7" t="s">
        <v>39</v>
      </c>
      <c r="G185" s="11">
        <v>1</v>
      </c>
      <c r="H185" s="11">
        <v>1</v>
      </c>
      <c r="I185" s="14">
        <v>12000.0</v>
      </c>
      <c r="J185" s="14"/>
      <c r="K185" s="16">
        <f>IF(I185&gt;0, J185/I185, 0)</f>
        <v>0</v>
      </c>
      <c r="L185" s="14">
        <v>12000.0</v>
      </c>
      <c r="M185" s="14"/>
      <c r="N185" s="14">
        <f>L185-M185</f>
        <v>12000</v>
      </c>
      <c r="O185" s="9" t="s">
        <v>40</v>
      </c>
      <c r="P185" s="9" t="s">
        <v>71</v>
      </c>
      <c r="Q185" s="9" t="s">
        <v>42</v>
      </c>
      <c r="R185" s="7" t="s">
        <v>2129</v>
      </c>
      <c r="S185" s="7" t="s">
        <v>42</v>
      </c>
    </row>
    <row r="186" spans="1:19">
      <c r="A186" s="8">
        <v>179</v>
      </c>
      <c r="B186" s="8" t="s">
        <v>366</v>
      </c>
      <c r="C186" s="8" t="s">
        <v>349</v>
      </c>
      <c r="D186" s="8" t="s">
        <v>198</v>
      </c>
      <c r="E186" s="8" t="s">
        <v>68</v>
      </c>
      <c r="F186" s="6" t="s">
        <v>39</v>
      </c>
      <c r="G186" s="10">
        <v>1</v>
      </c>
      <c r="H186" s="10">
        <v>1</v>
      </c>
      <c r="I186" s="13">
        <v>10000.0</v>
      </c>
      <c r="J186" s="13"/>
      <c r="K186" s="15">
        <f>IF(I186&gt;0, J186/I186, 0)</f>
        <v>0</v>
      </c>
      <c r="L186" s="13">
        <v>10000.0</v>
      </c>
      <c r="M186" s="13"/>
      <c r="N186" s="13">
        <f>L186-M186</f>
        <v>10000</v>
      </c>
      <c r="O186" s="8" t="s">
        <v>40</v>
      </c>
      <c r="P186" s="8" t="s">
        <v>71</v>
      </c>
      <c r="Q186" s="8" t="s">
        <v>42</v>
      </c>
      <c r="R186" s="6" t="s">
        <v>2099</v>
      </c>
      <c r="S186" s="6" t="s">
        <v>42</v>
      </c>
    </row>
    <row r="187" spans="1:19">
      <c r="A187" s="9">
        <v>180</v>
      </c>
      <c r="B187" s="9" t="s">
        <v>367</v>
      </c>
      <c r="C187" s="9" t="s">
        <v>349</v>
      </c>
      <c r="D187" s="9" t="s">
        <v>198</v>
      </c>
      <c r="E187" s="9" t="s">
        <v>33</v>
      </c>
      <c r="F187" s="7" t="s">
        <v>39</v>
      </c>
      <c r="G187" s="11">
        <v>1</v>
      </c>
      <c r="H187" s="11">
        <v>1</v>
      </c>
      <c r="I187" s="14">
        <v>11000.0</v>
      </c>
      <c r="J187" s="14"/>
      <c r="K187" s="16">
        <f>IF(I187&gt;0, J187/I187, 0)</f>
        <v>0</v>
      </c>
      <c r="L187" s="14">
        <v>11000.0</v>
      </c>
      <c r="M187" s="14"/>
      <c r="N187" s="14">
        <f>L187-M187</f>
        <v>11000</v>
      </c>
      <c r="O187" s="9" t="s">
        <v>40</v>
      </c>
      <c r="P187" s="9" t="s">
        <v>41</v>
      </c>
      <c r="Q187" s="9" t="s">
        <v>42</v>
      </c>
      <c r="R187" s="7" t="s">
        <v>2164</v>
      </c>
      <c r="S187" s="7" t="s">
        <v>42</v>
      </c>
    </row>
    <row r="188" spans="1:19">
      <c r="A188" s="8">
        <v>181</v>
      </c>
      <c r="B188" s="8" t="s">
        <v>369</v>
      </c>
      <c r="C188" s="8" t="s">
        <v>349</v>
      </c>
      <c r="D188" s="8" t="s">
        <v>198</v>
      </c>
      <c r="E188" s="8" t="s">
        <v>33</v>
      </c>
      <c r="F188" s="6" t="s">
        <v>39</v>
      </c>
      <c r="G188" s="10">
        <v>1</v>
      </c>
      <c r="H188" s="10">
        <v>1</v>
      </c>
      <c r="I188" s="13">
        <v>7500.0</v>
      </c>
      <c r="J188" s="13"/>
      <c r="K188" s="15">
        <f>IF(I188&gt;0, J188/I188, 0)</f>
        <v>0</v>
      </c>
      <c r="L188" s="13">
        <v>7500.0</v>
      </c>
      <c r="M188" s="13"/>
      <c r="N188" s="13">
        <f>L188-M188</f>
        <v>7500</v>
      </c>
      <c r="O188" s="8" t="s">
        <v>40</v>
      </c>
      <c r="P188" s="8" t="s">
        <v>41</v>
      </c>
      <c r="Q188" s="8" t="s">
        <v>42</v>
      </c>
      <c r="R188" s="6" t="s">
        <v>2100</v>
      </c>
      <c r="S188" s="6" t="s">
        <v>42</v>
      </c>
    </row>
    <row r="189" spans="1:19">
      <c r="A189" s="9">
        <v>182</v>
      </c>
      <c r="B189" s="9" t="s">
        <v>370</v>
      </c>
      <c r="C189" s="9" t="s">
        <v>349</v>
      </c>
      <c r="D189" s="9" t="s">
        <v>198</v>
      </c>
      <c r="E189" s="9" t="s">
        <v>33</v>
      </c>
      <c r="F189" s="7" t="s">
        <v>39</v>
      </c>
      <c r="G189" s="11">
        <v>1</v>
      </c>
      <c r="H189" s="11">
        <v>2</v>
      </c>
      <c r="I189" s="14">
        <v>36000.0</v>
      </c>
      <c r="J189" s="14"/>
      <c r="K189" s="16">
        <f>IF(I189&gt;0, J189/I189, 0)</f>
        <v>0</v>
      </c>
      <c r="L189" s="14">
        <v>36000.0</v>
      </c>
      <c r="M189" s="14"/>
      <c r="N189" s="14">
        <f>L189-M189</f>
        <v>36000</v>
      </c>
      <c r="O189" s="9" t="s">
        <v>40</v>
      </c>
      <c r="P189" s="9" t="s">
        <v>41</v>
      </c>
      <c r="Q189" s="9" t="s">
        <v>42</v>
      </c>
      <c r="R189" s="7" t="s">
        <v>2165</v>
      </c>
      <c r="S189" s="7" t="s">
        <v>42</v>
      </c>
    </row>
    <row r="190" spans="1:19">
      <c r="A190" s="8">
        <v>183</v>
      </c>
      <c r="B190" s="8" t="s">
        <v>371</v>
      </c>
      <c r="C190" s="8" t="s">
        <v>372</v>
      </c>
      <c r="D190" s="8" t="s">
        <v>198</v>
      </c>
      <c r="E190" s="8" t="s">
        <v>33</v>
      </c>
      <c r="F190" s="6" t="s">
        <v>39</v>
      </c>
      <c r="G190" s="10">
        <v>1</v>
      </c>
      <c r="H190" s="10">
        <v>1</v>
      </c>
      <c r="I190" s="13">
        <v>8000.0</v>
      </c>
      <c r="J190" s="13"/>
      <c r="K190" s="15">
        <f>IF(I190&gt;0, J190/I190, 0)</f>
        <v>0</v>
      </c>
      <c r="L190" s="13">
        <v>8000.0</v>
      </c>
      <c r="M190" s="13"/>
      <c r="N190" s="13">
        <f>L190-M190</f>
        <v>8000</v>
      </c>
      <c r="O190" s="8" t="s">
        <v>40</v>
      </c>
      <c r="P190" s="8" t="s">
        <v>41</v>
      </c>
      <c r="Q190" s="8" t="s">
        <v>42</v>
      </c>
      <c r="R190" s="6" t="s">
        <v>2121</v>
      </c>
      <c r="S190" s="6" t="s">
        <v>42</v>
      </c>
    </row>
    <row r="191" spans="1:19">
      <c r="A191" s="9">
        <v>184</v>
      </c>
      <c r="B191" s="9" t="s">
        <v>373</v>
      </c>
      <c r="C191" s="9" t="s">
        <v>372</v>
      </c>
      <c r="D191" s="9" t="s">
        <v>198</v>
      </c>
      <c r="E191" s="9" t="s">
        <v>33</v>
      </c>
      <c r="F191" s="7" t="s">
        <v>39</v>
      </c>
      <c r="G191" s="11">
        <v>1</v>
      </c>
      <c r="H191" s="11">
        <v>1</v>
      </c>
      <c r="I191" s="14">
        <v>7000.0</v>
      </c>
      <c r="J191" s="14"/>
      <c r="K191" s="16">
        <f>IF(I191&gt;0, J191/I191, 0)</f>
        <v>0</v>
      </c>
      <c r="L191" s="14">
        <v>7000.0</v>
      </c>
      <c r="M191" s="14"/>
      <c r="N191" s="14">
        <f>L191-M191</f>
        <v>7000</v>
      </c>
      <c r="O191" s="9" t="s">
        <v>40</v>
      </c>
      <c r="P191" s="9" t="s">
        <v>41</v>
      </c>
      <c r="Q191" s="9" t="s">
        <v>42</v>
      </c>
      <c r="R191" s="7" t="s">
        <v>2155</v>
      </c>
      <c r="S191" s="7" t="s">
        <v>42</v>
      </c>
    </row>
    <row r="192" spans="1:19">
      <c r="A192" s="8">
        <v>185</v>
      </c>
      <c r="B192" s="8" t="s">
        <v>374</v>
      </c>
      <c r="C192" s="8" t="s">
        <v>372</v>
      </c>
      <c r="D192" s="8" t="s">
        <v>198</v>
      </c>
      <c r="E192" s="8" t="s">
        <v>33</v>
      </c>
      <c r="F192" s="6" t="s">
        <v>39</v>
      </c>
      <c r="G192" s="10">
        <v>1</v>
      </c>
      <c r="H192" s="10">
        <v>1</v>
      </c>
      <c r="I192" s="13">
        <v>8000.0</v>
      </c>
      <c r="J192" s="13"/>
      <c r="K192" s="15">
        <f>IF(I192&gt;0, J192/I192, 0)</f>
        <v>0</v>
      </c>
      <c r="L192" s="13">
        <v>8000.0</v>
      </c>
      <c r="M192" s="13"/>
      <c r="N192" s="13">
        <f>L192-M192</f>
        <v>8000</v>
      </c>
      <c r="O192" s="8" t="s">
        <v>40</v>
      </c>
      <c r="P192" s="8" t="s">
        <v>41</v>
      </c>
      <c r="Q192" s="8" t="s">
        <v>42</v>
      </c>
      <c r="R192" s="6" t="s">
        <v>2122</v>
      </c>
      <c r="S192" s="6" t="s">
        <v>42</v>
      </c>
    </row>
    <row r="193" spans="1:19">
      <c r="A193" s="9">
        <v>186</v>
      </c>
      <c r="B193" s="9" t="s">
        <v>375</v>
      </c>
      <c r="C193" s="9" t="s">
        <v>372</v>
      </c>
      <c r="D193" s="9" t="s">
        <v>198</v>
      </c>
      <c r="E193" s="9" t="s">
        <v>33</v>
      </c>
      <c r="F193" s="7" t="s">
        <v>39</v>
      </c>
      <c r="G193" s="11">
        <v>1</v>
      </c>
      <c r="H193" s="11">
        <v>1</v>
      </c>
      <c r="I193" s="14">
        <v>18000.0</v>
      </c>
      <c r="J193" s="14"/>
      <c r="K193" s="16">
        <f>IF(I193&gt;0, J193/I193, 0)</f>
        <v>0</v>
      </c>
      <c r="L193" s="14">
        <v>18000.0</v>
      </c>
      <c r="M193" s="14"/>
      <c r="N193" s="14">
        <f>L193-M193</f>
        <v>18000</v>
      </c>
      <c r="O193" s="9" t="s">
        <v>40</v>
      </c>
      <c r="P193" s="9" t="s">
        <v>41</v>
      </c>
      <c r="Q193" s="9" t="s">
        <v>42</v>
      </c>
      <c r="R193" s="7" t="s">
        <v>2166</v>
      </c>
      <c r="S193" s="7" t="s">
        <v>42</v>
      </c>
    </row>
    <row r="194" spans="1:19">
      <c r="A194" s="8">
        <v>187</v>
      </c>
      <c r="B194" s="8" t="s">
        <v>377</v>
      </c>
      <c r="C194" s="8" t="s">
        <v>372</v>
      </c>
      <c r="D194" s="8" t="s">
        <v>198</v>
      </c>
      <c r="E194" s="8" t="s">
        <v>33</v>
      </c>
      <c r="F194" s="6" t="s">
        <v>39</v>
      </c>
      <c r="G194" s="10">
        <v>1</v>
      </c>
      <c r="H194" s="10">
        <v>2</v>
      </c>
      <c r="I194" s="13">
        <v>14000.0</v>
      </c>
      <c r="J194" s="13"/>
      <c r="K194" s="15">
        <f>IF(I194&gt;0, J194/I194, 0)</f>
        <v>0</v>
      </c>
      <c r="L194" s="13">
        <v>14000.0</v>
      </c>
      <c r="M194" s="13"/>
      <c r="N194" s="13">
        <f>L194-M194</f>
        <v>14000</v>
      </c>
      <c r="O194" s="8" t="s">
        <v>40</v>
      </c>
      <c r="P194" s="8" t="s">
        <v>41</v>
      </c>
      <c r="Q194" s="8" t="s">
        <v>42</v>
      </c>
      <c r="R194" s="6" t="s">
        <v>2117</v>
      </c>
      <c r="S194" s="6" t="s">
        <v>42</v>
      </c>
    </row>
    <row r="195" spans="1:19">
      <c r="A195" s="9">
        <v>188</v>
      </c>
      <c r="B195" s="9" t="s">
        <v>378</v>
      </c>
      <c r="C195" s="9" t="s">
        <v>372</v>
      </c>
      <c r="D195" s="9" t="s">
        <v>198</v>
      </c>
      <c r="E195" s="9" t="s">
        <v>68</v>
      </c>
      <c r="F195" s="7" t="s">
        <v>39</v>
      </c>
      <c r="G195" s="11">
        <v>1</v>
      </c>
      <c r="H195" s="11">
        <v>1</v>
      </c>
      <c r="I195" s="14">
        <v>10000.0</v>
      </c>
      <c r="J195" s="14"/>
      <c r="K195" s="16">
        <f>IF(I195&gt;0, J195/I195, 0)</f>
        <v>0</v>
      </c>
      <c r="L195" s="14">
        <v>10000.0</v>
      </c>
      <c r="M195" s="14"/>
      <c r="N195" s="14">
        <f>L195-M195</f>
        <v>10000</v>
      </c>
      <c r="O195" s="9" t="s">
        <v>40</v>
      </c>
      <c r="P195" s="9" t="s">
        <v>71</v>
      </c>
      <c r="Q195" s="9" t="s">
        <v>42</v>
      </c>
      <c r="R195" s="7" t="s">
        <v>2113</v>
      </c>
      <c r="S195" s="7" t="s">
        <v>42</v>
      </c>
    </row>
    <row r="196" spans="1:19">
      <c r="A196" s="8">
        <v>189</v>
      </c>
      <c r="B196" s="8" t="s">
        <v>379</v>
      </c>
      <c r="C196" s="8" t="s">
        <v>372</v>
      </c>
      <c r="D196" s="8" t="s">
        <v>198</v>
      </c>
      <c r="E196" s="8" t="s">
        <v>33</v>
      </c>
      <c r="F196" s="6" t="s">
        <v>39</v>
      </c>
      <c r="G196" s="10">
        <v>1</v>
      </c>
      <c r="H196" s="10">
        <v>1</v>
      </c>
      <c r="I196" s="13">
        <v>18000.0</v>
      </c>
      <c r="J196" s="13"/>
      <c r="K196" s="15">
        <f>IF(I196&gt;0, J196/I196, 0)</f>
        <v>0</v>
      </c>
      <c r="L196" s="13">
        <v>18000.0</v>
      </c>
      <c r="M196" s="13"/>
      <c r="N196" s="13">
        <f>L196-M196</f>
        <v>18000</v>
      </c>
      <c r="O196" s="8" t="s">
        <v>40</v>
      </c>
      <c r="P196" s="8" t="s">
        <v>41</v>
      </c>
      <c r="Q196" s="8" t="s">
        <v>42</v>
      </c>
      <c r="R196" s="6" t="s">
        <v>2103</v>
      </c>
      <c r="S196" s="6" t="s">
        <v>42</v>
      </c>
    </row>
    <row r="197" spans="1:19">
      <c r="A197" s="9">
        <v>190</v>
      </c>
      <c r="B197" s="9" t="s">
        <v>380</v>
      </c>
      <c r="C197" s="9" t="s">
        <v>381</v>
      </c>
      <c r="D197" s="9" t="s">
        <v>198</v>
      </c>
      <c r="E197" s="9" t="s">
        <v>33</v>
      </c>
      <c r="F197" s="7" t="s">
        <v>39</v>
      </c>
      <c r="G197" s="11">
        <v>1</v>
      </c>
      <c r="H197" s="11">
        <v>1</v>
      </c>
      <c r="I197" s="14">
        <v>16500.0</v>
      </c>
      <c r="J197" s="14"/>
      <c r="K197" s="16">
        <f>IF(I197&gt;0, J197/I197, 0)</f>
        <v>0</v>
      </c>
      <c r="L197" s="14">
        <v>16500.0</v>
      </c>
      <c r="M197" s="14"/>
      <c r="N197" s="14">
        <f>L197-M197</f>
        <v>16500</v>
      </c>
      <c r="O197" s="9" t="s">
        <v>40</v>
      </c>
      <c r="P197" s="9" t="s">
        <v>41</v>
      </c>
      <c r="Q197" s="9" t="s">
        <v>42</v>
      </c>
      <c r="R197" s="7" t="s">
        <v>2144</v>
      </c>
      <c r="S197" s="7" t="s">
        <v>42</v>
      </c>
    </row>
    <row r="198" spans="1:19">
      <c r="A198" s="8">
        <v>191</v>
      </c>
      <c r="B198" s="8" t="s">
        <v>383</v>
      </c>
      <c r="C198" s="8" t="s">
        <v>381</v>
      </c>
      <c r="D198" s="8" t="s">
        <v>198</v>
      </c>
      <c r="E198" s="8" t="s">
        <v>68</v>
      </c>
      <c r="F198" s="6" t="s">
        <v>39</v>
      </c>
      <c r="G198" s="10">
        <v>1</v>
      </c>
      <c r="H198" s="10">
        <v>1</v>
      </c>
      <c r="I198" s="13">
        <v>12000.0</v>
      </c>
      <c r="J198" s="13"/>
      <c r="K198" s="15">
        <f>IF(I198&gt;0, J198/I198, 0)</f>
        <v>0</v>
      </c>
      <c r="L198" s="13">
        <v>12000.0</v>
      </c>
      <c r="M198" s="13"/>
      <c r="N198" s="13">
        <f>L198-M198</f>
        <v>12000</v>
      </c>
      <c r="O198" s="8" t="s">
        <v>40</v>
      </c>
      <c r="P198" s="8" t="s">
        <v>71</v>
      </c>
      <c r="Q198" s="8" t="s">
        <v>42</v>
      </c>
      <c r="R198" s="6" t="s">
        <v>2129</v>
      </c>
      <c r="S198" s="6" t="s">
        <v>42</v>
      </c>
    </row>
    <row r="199" spans="1:19">
      <c r="A199" s="9">
        <v>192</v>
      </c>
      <c r="B199" s="9" t="s">
        <v>384</v>
      </c>
      <c r="C199" s="9" t="s">
        <v>381</v>
      </c>
      <c r="D199" s="9" t="s">
        <v>198</v>
      </c>
      <c r="E199" s="9" t="s">
        <v>68</v>
      </c>
      <c r="F199" s="7" t="s">
        <v>39</v>
      </c>
      <c r="G199" s="11">
        <v>1</v>
      </c>
      <c r="H199" s="11">
        <v>1</v>
      </c>
      <c r="I199" s="14">
        <v>10000.0</v>
      </c>
      <c r="J199" s="14"/>
      <c r="K199" s="16">
        <f>IF(I199&gt;0, J199/I199, 0)</f>
        <v>0</v>
      </c>
      <c r="L199" s="14">
        <v>10000.0</v>
      </c>
      <c r="M199" s="14"/>
      <c r="N199" s="14">
        <f>L199-M199</f>
        <v>10000</v>
      </c>
      <c r="O199" s="9" t="s">
        <v>40</v>
      </c>
      <c r="P199" s="9" t="s">
        <v>71</v>
      </c>
      <c r="Q199" s="9" t="s">
        <v>42</v>
      </c>
      <c r="R199" s="7" t="s">
        <v>2099</v>
      </c>
      <c r="S199" s="7" t="s">
        <v>42</v>
      </c>
    </row>
    <row r="200" spans="1:19">
      <c r="A200" s="8">
        <v>193</v>
      </c>
      <c r="B200" s="8" t="s">
        <v>385</v>
      </c>
      <c r="C200" s="8" t="s">
        <v>381</v>
      </c>
      <c r="D200" s="8" t="s">
        <v>198</v>
      </c>
      <c r="E200" s="8" t="s">
        <v>68</v>
      </c>
      <c r="F200" s="6" t="s">
        <v>39</v>
      </c>
      <c r="G200" s="10">
        <v>1</v>
      </c>
      <c r="H200" s="10">
        <v>1</v>
      </c>
      <c r="I200" s="13">
        <v>5000.0</v>
      </c>
      <c r="J200" s="13"/>
      <c r="K200" s="15">
        <f>IF(I200&gt;0, J200/I200, 0)</f>
        <v>0</v>
      </c>
      <c r="L200" s="13">
        <v>5000.0</v>
      </c>
      <c r="M200" s="13"/>
      <c r="N200" s="13">
        <f>L200-M200</f>
        <v>5000</v>
      </c>
      <c r="O200" s="8" t="s">
        <v>40</v>
      </c>
      <c r="P200" s="8" t="s">
        <v>71</v>
      </c>
      <c r="Q200" s="8" t="s">
        <v>42</v>
      </c>
      <c r="R200" s="6" t="s">
        <v>2110</v>
      </c>
      <c r="S200" s="6" t="s">
        <v>42</v>
      </c>
    </row>
    <row r="201" spans="1:19">
      <c r="A201" s="9">
        <v>194</v>
      </c>
      <c r="B201" s="9" t="s">
        <v>387</v>
      </c>
      <c r="C201" s="9" t="s">
        <v>381</v>
      </c>
      <c r="D201" s="9" t="s">
        <v>198</v>
      </c>
      <c r="E201" s="9" t="s">
        <v>68</v>
      </c>
      <c r="F201" s="7" t="s">
        <v>39</v>
      </c>
      <c r="G201" s="11">
        <v>1</v>
      </c>
      <c r="H201" s="11">
        <v>1</v>
      </c>
      <c r="I201" s="14">
        <v>10000.0</v>
      </c>
      <c r="J201" s="14"/>
      <c r="K201" s="16">
        <f>IF(I201&gt;0, J201/I201, 0)</f>
        <v>0</v>
      </c>
      <c r="L201" s="14">
        <v>10000.0</v>
      </c>
      <c r="M201" s="14"/>
      <c r="N201" s="14">
        <f>L201-M201</f>
        <v>10000</v>
      </c>
      <c r="O201" s="9" t="s">
        <v>40</v>
      </c>
      <c r="P201" s="9" t="s">
        <v>71</v>
      </c>
      <c r="Q201" s="9" t="s">
        <v>42</v>
      </c>
      <c r="R201" s="7" t="s">
        <v>2112</v>
      </c>
      <c r="S201" s="7" t="s">
        <v>42</v>
      </c>
    </row>
    <row r="202" spans="1:19">
      <c r="A202" s="8">
        <v>195</v>
      </c>
      <c r="B202" s="8" t="s">
        <v>388</v>
      </c>
      <c r="C202" s="8" t="s">
        <v>381</v>
      </c>
      <c r="D202" s="8" t="s">
        <v>198</v>
      </c>
      <c r="E202" s="8" t="s">
        <v>68</v>
      </c>
      <c r="F202" s="6" t="s">
        <v>39</v>
      </c>
      <c r="G202" s="10">
        <v>1</v>
      </c>
      <c r="H202" s="10">
        <v>1</v>
      </c>
      <c r="I202" s="13">
        <v>9000.0</v>
      </c>
      <c r="J202" s="13"/>
      <c r="K202" s="15">
        <f>IF(I202&gt;0, J202/I202, 0)</f>
        <v>0</v>
      </c>
      <c r="L202" s="13">
        <v>9000.0</v>
      </c>
      <c r="M202" s="13"/>
      <c r="N202" s="13">
        <f>L202-M202</f>
        <v>9000</v>
      </c>
      <c r="O202" s="8" t="s">
        <v>40</v>
      </c>
      <c r="P202" s="8" t="s">
        <v>71</v>
      </c>
      <c r="Q202" s="8" t="s">
        <v>42</v>
      </c>
      <c r="R202" s="6" t="s">
        <v>2163</v>
      </c>
      <c r="S202" s="6" t="s">
        <v>42</v>
      </c>
    </row>
    <row r="203" spans="1:19">
      <c r="A203" s="9">
        <v>196</v>
      </c>
      <c r="B203" s="9" t="s">
        <v>389</v>
      </c>
      <c r="C203" s="9" t="s">
        <v>381</v>
      </c>
      <c r="D203" s="9" t="s">
        <v>198</v>
      </c>
      <c r="E203" s="9" t="s">
        <v>33</v>
      </c>
      <c r="F203" s="7" t="s">
        <v>39</v>
      </c>
      <c r="G203" s="11">
        <v>1</v>
      </c>
      <c r="H203" s="11">
        <v>1</v>
      </c>
      <c r="I203" s="14">
        <v>8000.0</v>
      </c>
      <c r="J203" s="14"/>
      <c r="K203" s="16">
        <f>IF(I203&gt;0, J203/I203, 0)</f>
        <v>0</v>
      </c>
      <c r="L203" s="14">
        <v>8000.0</v>
      </c>
      <c r="M203" s="14"/>
      <c r="N203" s="14">
        <f>L203-M203</f>
        <v>8000</v>
      </c>
      <c r="O203" s="9" t="s">
        <v>40</v>
      </c>
      <c r="P203" s="9" t="s">
        <v>41</v>
      </c>
      <c r="Q203" s="9" t="s">
        <v>42</v>
      </c>
      <c r="R203" s="7" t="s">
        <v>2167</v>
      </c>
      <c r="S203" s="7" t="s">
        <v>42</v>
      </c>
    </row>
    <row r="204" spans="1:19">
      <c r="A204" s="8">
        <v>197</v>
      </c>
      <c r="B204" s="8" t="s">
        <v>391</v>
      </c>
      <c r="C204" s="8" t="s">
        <v>381</v>
      </c>
      <c r="D204" s="8" t="s">
        <v>198</v>
      </c>
      <c r="E204" s="8" t="s">
        <v>33</v>
      </c>
      <c r="F204" s="6" t="s">
        <v>39</v>
      </c>
      <c r="G204" s="10">
        <v>1</v>
      </c>
      <c r="H204" s="10">
        <v>1</v>
      </c>
      <c r="I204" s="13">
        <v>16000.0</v>
      </c>
      <c r="J204" s="13"/>
      <c r="K204" s="15">
        <f>IF(I204&gt;0, J204/I204, 0)</f>
        <v>0</v>
      </c>
      <c r="L204" s="13">
        <v>16000.0</v>
      </c>
      <c r="M204" s="13"/>
      <c r="N204" s="13">
        <f>L204-M204</f>
        <v>16000</v>
      </c>
      <c r="O204" s="8" t="s">
        <v>40</v>
      </c>
      <c r="P204" s="8" t="s">
        <v>41</v>
      </c>
      <c r="Q204" s="8" t="s">
        <v>42</v>
      </c>
      <c r="R204" s="6" t="s">
        <v>2132</v>
      </c>
      <c r="S204" s="6" t="s">
        <v>42</v>
      </c>
    </row>
    <row r="205" spans="1:19">
      <c r="A205" s="9">
        <v>198</v>
      </c>
      <c r="B205" s="9" t="s">
        <v>392</v>
      </c>
      <c r="C205" s="9" t="s">
        <v>381</v>
      </c>
      <c r="D205" s="9" t="s">
        <v>198</v>
      </c>
      <c r="E205" s="9" t="s">
        <v>33</v>
      </c>
      <c r="F205" s="7" t="s">
        <v>39</v>
      </c>
      <c r="G205" s="11">
        <v>1</v>
      </c>
      <c r="H205" s="11">
        <v>1</v>
      </c>
      <c r="I205" s="14">
        <v>7000.0</v>
      </c>
      <c r="J205" s="14"/>
      <c r="K205" s="16">
        <f>IF(I205&gt;0, J205/I205, 0)</f>
        <v>0</v>
      </c>
      <c r="L205" s="14">
        <v>7000.0</v>
      </c>
      <c r="M205" s="14"/>
      <c r="N205" s="14">
        <f>L205-M205</f>
        <v>7000</v>
      </c>
      <c r="O205" s="9" t="s">
        <v>40</v>
      </c>
      <c r="P205" s="9" t="s">
        <v>41</v>
      </c>
      <c r="Q205" s="9" t="s">
        <v>42</v>
      </c>
      <c r="R205" s="7" t="s">
        <v>2131</v>
      </c>
      <c r="S205" s="7" t="s">
        <v>42</v>
      </c>
    </row>
    <row r="206" spans="1:19">
      <c r="A206" s="8">
        <v>199</v>
      </c>
      <c r="B206" s="8" t="s">
        <v>393</v>
      </c>
      <c r="C206" s="8" t="s">
        <v>381</v>
      </c>
      <c r="D206" s="8" t="s">
        <v>198</v>
      </c>
      <c r="E206" s="8" t="s">
        <v>33</v>
      </c>
      <c r="F206" s="6" t="s">
        <v>39</v>
      </c>
      <c r="G206" s="10">
        <v>1</v>
      </c>
      <c r="H206" s="10">
        <v>1</v>
      </c>
      <c r="I206" s="13">
        <v>7000.0</v>
      </c>
      <c r="J206" s="13"/>
      <c r="K206" s="15">
        <f>IF(I206&gt;0, J206/I206, 0)</f>
        <v>0</v>
      </c>
      <c r="L206" s="13">
        <v>7000.0</v>
      </c>
      <c r="M206" s="13"/>
      <c r="N206" s="13">
        <f>L206-M206</f>
        <v>7000</v>
      </c>
      <c r="O206" s="8" t="s">
        <v>40</v>
      </c>
      <c r="P206" s="8" t="s">
        <v>41</v>
      </c>
      <c r="Q206" s="8" t="s">
        <v>42</v>
      </c>
      <c r="R206" s="6" t="s">
        <v>2155</v>
      </c>
      <c r="S206" s="6" t="s">
        <v>42</v>
      </c>
    </row>
    <row r="207" spans="1:19">
      <c r="A207" s="9">
        <v>200</v>
      </c>
      <c r="B207" s="9" t="s">
        <v>394</v>
      </c>
      <c r="C207" s="9" t="s">
        <v>381</v>
      </c>
      <c r="D207" s="9" t="s">
        <v>198</v>
      </c>
      <c r="E207" s="9" t="s">
        <v>33</v>
      </c>
      <c r="F207" s="7" t="s">
        <v>39</v>
      </c>
      <c r="G207" s="11">
        <v>1</v>
      </c>
      <c r="H207" s="11">
        <v>1</v>
      </c>
      <c r="I207" s="14">
        <v>18000.0</v>
      </c>
      <c r="J207" s="14"/>
      <c r="K207" s="16">
        <f>IF(I207&gt;0, J207/I207, 0)</f>
        <v>0</v>
      </c>
      <c r="L207" s="14">
        <v>18000.0</v>
      </c>
      <c r="M207" s="14"/>
      <c r="N207" s="14">
        <f>L207-M207</f>
        <v>18000</v>
      </c>
      <c r="O207" s="9" t="s">
        <v>40</v>
      </c>
      <c r="P207" s="9" t="s">
        <v>41</v>
      </c>
      <c r="Q207" s="9" t="s">
        <v>42</v>
      </c>
      <c r="R207" s="7" t="s">
        <v>2160</v>
      </c>
      <c r="S207" s="7" t="s">
        <v>42</v>
      </c>
    </row>
    <row r="208" spans="1:19">
      <c r="A208" s="8">
        <v>201</v>
      </c>
      <c r="B208" s="8" t="s">
        <v>395</v>
      </c>
      <c r="C208" s="8" t="s">
        <v>381</v>
      </c>
      <c r="D208" s="8" t="s">
        <v>198</v>
      </c>
      <c r="E208" s="8" t="s">
        <v>33</v>
      </c>
      <c r="F208" s="6" t="s">
        <v>39</v>
      </c>
      <c r="G208" s="10">
        <v>1</v>
      </c>
      <c r="H208" s="10">
        <v>1</v>
      </c>
      <c r="I208" s="13">
        <v>16500.0</v>
      </c>
      <c r="J208" s="13"/>
      <c r="K208" s="15">
        <f>IF(I208&gt;0, J208/I208, 0)</f>
        <v>0</v>
      </c>
      <c r="L208" s="13">
        <v>16500.0</v>
      </c>
      <c r="M208" s="13"/>
      <c r="N208" s="13">
        <f>L208-M208</f>
        <v>16500</v>
      </c>
      <c r="O208" s="8" t="s">
        <v>40</v>
      </c>
      <c r="P208" s="8" t="s">
        <v>41</v>
      </c>
      <c r="Q208" s="8" t="s">
        <v>42</v>
      </c>
      <c r="R208" s="6" t="s">
        <v>2126</v>
      </c>
      <c r="S208" s="6" t="s">
        <v>42</v>
      </c>
    </row>
    <row r="209" spans="1:19">
      <c r="A209" s="9">
        <v>202</v>
      </c>
      <c r="B209" s="9" t="s">
        <v>396</v>
      </c>
      <c r="C209" s="9" t="s">
        <v>381</v>
      </c>
      <c r="D209" s="9" t="s">
        <v>198</v>
      </c>
      <c r="E209" s="9" t="s">
        <v>33</v>
      </c>
      <c r="F209" s="7" t="s">
        <v>39</v>
      </c>
      <c r="G209" s="11">
        <v>1</v>
      </c>
      <c r="H209" s="11">
        <v>1</v>
      </c>
      <c r="I209" s="14">
        <v>7000.0</v>
      </c>
      <c r="J209" s="14"/>
      <c r="K209" s="16">
        <f>IF(I209&gt;0, J209/I209, 0)</f>
        <v>0</v>
      </c>
      <c r="L209" s="14">
        <v>7000.0</v>
      </c>
      <c r="M209" s="14"/>
      <c r="N209" s="14">
        <f>L209-M209</f>
        <v>7000</v>
      </c>
      <c r="O209" s="9" t="s">
        <v>40</v>
      </c>
      <c r="P209" s="9" t="s">
        <v>41</v>
      </c>
      <c r="Q209" s="9" t="s">
        <v>42</v>
      </c>
      <c r="R209" s="7" t="s">
        <v>2107</v>
      </c>
      <c r="S209" s="7" t="s">
        <v>42</v>
      </c>
    </row>
    <row r="210" spans="1:19">
      <c r="A210" s="8">
        <v>203</v>
      </c>
      <c r="B210" s="8" t="s">
        <v>397</v>
      </c>
      <c r="C210" s="8" t="s">
        <v>398</v>
      </c>
      <c r="D210" s="8" t="s">
        <v>198</v>
      </c>
      <c r="E210" s="8" t="s">
        <v>33</v>
      </c>
      <c r="F210" s="6" t="s">
        <v>39</v>
      </c>
      <c r="G210" s="10">
        <v>1</v>
      </c>
      <c r="H210" s="10">
        <v>1</v>
      </c>
      <c r="I210" s="13">
        <v>7500.0</v>
      </c>
      <c r="J210" s="13"/>
      <c r="K210" s="15">
        <f>IF(I210&gt;0, J210/I210, 0)</f>
        <v>0</v>
      </c>
      <c r="L210" s="13">
        <v>7500.0</v>
      </c>
      <c r="M210" s="13"/>
      <c r="N210" s="13">
        <f>L210-M210</f>
        <v>7500</v>
      </c>
      <c r="O210" s="8" t="s">
        <v>40</v>
      </c>
      <c r="P210" s="8" t="s">
        <v>41</v>
      </c>
      <c r="Q210" s="8" t="s">
        <v>42</v>
      </c>
      <c r="R210" s="6" t="s">
        <v>2100</v>
      </c>
      <c r="S210" s="6" t="s">
        <v>42</v>
      </c>
    </row>
    <row r="211" spans="1:19">
      <c r="A211" s="9">
        <v>204</v>
      </c>
      <c r="B211" s="9" t="s">
        <v>399</v>
      </c>
      <c r="C211" s="9" t="s">
        <v>398</v>
      </c>
      <c r="D211" s="9" t="s">
        <v>198</v>
      </c>
      <c r="E211" s="9" t="s">
        <v>33</v>
      </c>
      <c r="F211" s="7" t="s">
        <v>39</v>
      </c>
      <c r="G211" s="11">
        <v>1</v>
      </c>
      <c r="H211" s="11">
        <v>1</v>
      </c>
      <c r="I211" s="14">
        <v>16000.0</v>
      </c>
      <c r="J211" s="14"/>
      <c r="K211" s="16">
        <f>IF(I211&gt;0, J211/I211, 0)</f>
        <v>0</v>
      </c>
      <c r="L211" s="14">
        <v>16000.0</v>
      </c>
      <c r="M211" s="14"/>
      <c r="N211" s="14">
        <f>L211-M211</f>
        <v>16000</v>
      </c>
      <c r="O211" s="9" t="s">
        <v>40</v>
      </c>
      <c r="P211" s="9" t="s">
        <v>41</v>
      </c>
      <c r="Q211" s="9" t="s">
        <v>42</v>
      </c>
      <c r="R211" s="7" t="s">
        <v>2144</v>
      </c>
      <c r="S211" s="7" t="s">
        <v>42</v>
      </c>
    </row>
    <row r="212" spans="1:19">
      <c r="A212" s="8">
        <v>205</v>
      </c>
      <c r="B212" s="8" t="s">
        <v>400</v>
      </c>
      <c r="C212" s="8" t="s">
        <v>398</v>
      </c>
      <c r="D212" s="8" t="s">
        <v>198</v>
      </c>
      <c r="E212" s="8" t="s">
        <v>68</v>
      </c>
      <c r="F212" s="6" t="s">
        <v>39</v>
      </c>
      <c r="G212" s="10">
        <v>1</v>
      </c>
      <c r="H212" s="10">
        <v>1</v>
      </c>
      <c r="I212" s="13">
        <v>10000.0</v>
      </c>
      <c r="J212" s="13"/>
      <c r="K212" s="15">
        <f>IF(I212&gt;0, J212/I212, 0)</f>
        <v>0</v>
      </c>
      <c r="L212" s="13">
        <v>10000.0</v>
      </c>
      <c r="M212" s="13"/>
      <c r="N212" s="13">
        <f>L212-M212</f>
        <v>10000</v>
      </c>
      <c r="O212" s="8" t="s">
        <v>40</v>
      </c>
      <c r="P212" s="8" t="s">
        <v>71</v>
      </c>
      <c r="Q212" s="8" t="s">
        <v>42</v>
      </c>
      <c r="R212" s="6" t="s">
        <v>2113</v>
      </c>
      <c r="S212" s="6" t="s">
        <v>42</v>
      </c>
    </row>
    <row r="213" spans="1:19">
      <c r="A213" s="9">
        <v>206</v>
      </c>
      <c r="B213" s="9" t="s">
        <v>401</v>
      </c>
      <c r="C213" s="9" t="s">
        <v>398</v>
      </c>
      <c r="D213" s="9" t="s">
        <v>198</v>
      </c>
      <c r="E213" s="9" t="s">
        <v>33</v>
      </c>
      <c r="F213" s="7" t="s">
        <v>39</v>
      </c>
      <c r="G213" s="11">
        <v>1</v>
      </c>
      <c r="H213" s="11">
        <v>1</v>
      </c>
      <c r="I213" s="14">
        <v>8000.0</v>
      </c>
      <c r="J213" s="14"/>
      <c r="K213" s="16">
        <f>IF(I213&gt;0, J213/I213, 0)</f>
        <v>0</v>
      </c>
      <c r="L213" s="14">
        <v>8000.0</v>
      </c>
      <c r="M213" s="14"/>
      <c r="N213" s="14">
        <f>L213-M213</f>
        <v>8000</v>
      </c>
      <c r="O213" s="9" t="s">
        <v>40</v>
      </c>
      <c r="P213" s="9" t="s">
        <v>41</v>
      </c>
      <c r="Q213" s="9" t="s">
        <v>42</v>
      </c>
      <c r="R213" s="7" t="s">
        <v>2152</v>
      </c>
      <c r="S213" s="7" t="s">
        <v>42</v>
      </c>
    </row>
    <row r="214" spans="1:19">
      <c r="A214" s="8">
        <v>207</v>
      </c>
      <c r="B214" s="8" t="s">
        <v>403</v>
      </c>
      <c r="C214" s="8" t="s">
        <v>398</v>
      </c>
      <c r="D214" s="8" t="s">
        <v>198</v>
      </c>
      <c r="E214" s="8" t="s">
        <v>33</v>
      </c>
      <c r="F214" s="6" t="s">
        <v>39</v>
      </c>
      <c r="G214" s="10">
        <v>1</v>
      </c>
      <c r="H214" s="10">
        <v>1</v>
      </c>
      <c r="I214" s="13">
        <v>8000.0</v>
      </c>
      <c r="J214" s="13"/>
      <c r="K214" s="15">
        <f>IF(I214&gt;0, J214/I214, 0)</f>
        <v>0</v>
      </c>
      <c r="L214" s="13">
        <v>8000.0</v>
      </c>
      <c r="M214" s="13"/>
      <c r="N214" s="13">
        <f>L214-M214</f>
        <v>8000</v>
      </c>
      <c r="O214" s="8" t="s">
        <v>40</v>
      </c>
      <c r="P214" s="8" t="s">
        <v>41</v>
      </c>
      <c r="Q214" s="8" t="s">
        <v>42</v>
      </c>
      <c r="R214" s="6" t="s">
        <v>2078</v>
      </c>
      <c r="S214" s="6" t="s">
        <v>42</v>
      </c>
    </row>
    <row r="215" spans="1:19">
      <c r="A215" s="9">
        <v>208</v>
      </c>
      <c r="B215" s="9" t="s">
        <v>405</v>
      </c>
      <c r="C215" s="9" t="s">
        <v>398</v>
      </c>
      <c r="D215" s="9" t="s">
        <v>198</v>
      </c>
      <c r="E215" s="9" t="s">
        <v>33</v>
      </c>
      <c r="F215" s="7" t="s">
        <v>39</v>
      </c>
      <c r="G215" s="11">
        <v>1</v>
      </c>
      <c r="H215" s="11">
        <v>2</v>
      </c>
      <c r="I215" s="14">
        <v>14000.0</v>
      </c>
      <c r="J215" s="14"/>
      <c r="K215" s="16">
        <f>IF(I215&gt;0, J215/I215, 0)</f>
        <v>0</v>
      </c>
      <c r="L215" s="14">
        <v>14000.0</v>
      </c>
      <c r="M215" s="14"/>
      <c r="N215" s="14">
        <f>L215-M215</f>
        <v>14000</v>
      </c>
      <c r="O215" s="9" t="s">
        <v>40</v>
      </c>
      <c r="P215" s="9" t="s">
        <v>41</v>
      </c>
      <c r="Q215" s="9" t="s">
        <v>42</v>
      </c>
      <c r="R215" s="7" t="s">
        <v>2168</v>
      </c>
      <c r="S215" s="7" t="s">
        <v>42</v>
      </c>
    </row>
    <row r="216" spans="1:19">
      <c r="A216" s="8">
        <v>209</v>
      </c>
      <c r="B216" s="8" t="s">
        <v>406</v>
      </c>
      <c r="C216" s="8" t="s">
        <v>398</v>
      </c>
      <c r="D216" s="8" t="s">
        <v>198</v>
      </c>
      <c r="E216" s="8" t="s">
        <v>33</v>
      </c>
      <c r="F216" s="6" t="s">
        <v>39</v>
      </c>
      <c r="G216" s="10">
        <v>1</v>
      </c>
      <c r="H216" s="10">
        <v>2</v>
      </c>
      <c r="I216" s="13">
        <v>14000.0</v>
      </c>
      <c r="J216" s="13"/>
      <c r="K216" s="15">
        <f>IF(I216&gt;0, J216/I216, 0)</f>
        <v>0</v>
      </c>
      <c r="L216" s="13">
        <v>14000.0</v>
      </c>
      <c r="M216" s="13"/>
      <c r="N216" s="13">
        <f>L216-M216</f>
        <v>14000</v>
      </c>
      <c r="O216" s="8" t="s">
        <v>40</v>
      </c>
      <c r="P216" s="8" t="s">
        <v>41</v>
      </c>
      <c r="Q216" s="8" t="s">
        <v>42</v>
      </c>
      <c r="R216" s="6" t="s">
        <v>2145</v>
      </c>
      <c r="S216" s="6" t="s">
        <v>42</v>
      </c>
    </row>
    <row r="217" spans="1:19">
      <c r="A217" s="9">
        <v>210</v>
      </c>
      <c r="B217" s="9" t="s">
        <v>408</v>
      </c>
      <c r="C217" s="9" t="s">
        <v>398</v>
      </c>
      <c r="D217" s="9" t="s">
        <v>198</v>
      </c>
      <c r="E217" s="9" t="s">
        <v>33</v>
      </c>
      <c r="F217" s="7" t="s">
        <v>39</v>
      </c>
      <c r="G217" s="11">
        <v>1</v>
      </c>
      <c r="H217" s="11">
        <v>1</v>
      </c>
      <c r="I217" s="14">
        <v>7000.0</v>
      </c>
      <c r="J217" s="14"/>
      <c r="K217" s="16">
        <f>IF(I217&gt;0, J217/I217, 0)</f>
        <v>0</v>
      </c>
      <c r="L217" s="14">
        <v>7000.0</v>
      </c>
      <c r="M217" s="14"/>
      <c r="N217" s="14">
        <f>L217-M217</f>
        <v>7000</v>
      </c>
      <c r="O217" s="9" t="s">
        <v>40</v>
      </c>
      <c r="P217" s="9" t="s">
        <v>41</v>
      </c>
      <c r="Q217" s="9" t="s">
        <v>42</v>
      </c>
      <c r="R217" s="7" t="s">
        <v>2077</v>
      </c>
      <c r="S217" s="7" t="s">
        <v>42</v>
      </c>
    </row>
    <row r="218" spans="1:19">
      <c r="A218" s="8">
        <v>211</v>
      </c>
      <c r="B218" s="8" t="s">
        <v>410</v>
      </c>
      <c r="C218" s="8" t="s">
        <v>398</v>
      </c>
      <c r="D218" s="8" t="s">
        <v>198</v>
      </c>
      <c r="E218" s="8" t="s">
        <v>33</v>
      </c>
      <c r="F218" s="6" t="s">
        <v>39</v>
      </c>
      <c r="G218" s="10">
        <v>1</v>
      </c>
      <c r="H218" s="10">
        <v>1</v>
      </c>
      <c r="I218" s="13">
        <v>18000.0</v>
      </c>
      <c r="J218" s="13"/>
      <c r="K218" s="15">
        <f>IF(I218&gt;0, J218/I218, 0)</f>
        <v>0</v>
      </c>
      <c r="L218" s="13">
        <v>18000.0</v>
      </c>
      <c r="M218" s="13"/>
      <c r="N218" s="13">
        <f>L218-M218</f>
        <v>18000</v>
      </c>
      <c r="O218" s="8" t="s">
        <v>40</v>
      </c>
      <c r="P218" s="8" t="s">
        <v>41</v>
      </c>
      <c r="Q218" s="8" t="s">
        <v>42</v>
      </c>
      <c r="R218" s="6" t="s">
        <v>2160</v>
      </c>
      <c r="S218" s="6" t="s">
        <v>42</v>
      </c>
    </row>
    <row r="219" spans="1:19">
      <c r="A219" s="9">
        <v>212</v>
      </c>
      <c r="B219" s="9" t="s">
        <v>412</v>
      </c>
      <c r="C219" s="9" t="s">
        <v>398</v>
      </c>
      <c r="D219" s="9" t="s">
        <v>198</v>
      </c>
      <c r="E219" s="9" t="s">
        <v>33</v>
      </c>
      <c r="F219" s="7" t="s">
        <v>39</v>
      </c>
      <c r="G219" s="11">
        <v>1</v>
      </c>
      <c r="H219" s="11">
        <v>1</v>
      </c>
      <c r="I219" s="14">
        <v>18000.0</v>
      </c>
      <c r="J219" s="14"/>
      <c r="K219" s="16">
        <f>IF(I219&gt;0, J219/I219, 0)</f>
        <v>0</v>
      </c>
      <c r="L219" s="14">
        <v>18000.0</v>
      </c>
      <c r="M219" s="14"/>
      <c r="N219" s="14">
        <f>L219-M219</f>
        <v>18000</v>
      </c>
      <c r="O219" s="9" t="s">
        <v>40</v>
      </c>
      <c r="P219" s="9" t="s">
        <v>41</v>
      </c>
      <c r="Q219" s="9" t="s">
        <v>42</v>
      </c>
      <c r="R219" s="7" t="s">
        <v>2169</v>
      </c>
      <c r="S219" s="7" t="s">
        <v>42</v>
      </c>
    </row>
    <row r="220" spans="1:19">
      <c r="A220" s="8">
        <v>213</v>
      </c>
      <c r="B220" s="8" t="s">
        <v>413</v>
      </c>
      <c r="C220" s="8" t="s">
        <v>398</v>
      </c>
      <c r="D220" s="8" t="s">
        <v>198</v>
      </c>
      <c r="E220" s="8" t="s">
        <v>33</v>
      </c>
      <c r="F220" s="6" t="s">
        <v>39</v>
      </c>
      <c r="G220" s="10">
        <v>1</v>
      </c>
      <c r="H220" s="10">
        <v>1</v>
      </c>
      <c r="I220" s="13">
        <v>18000.0</v>
      </c>
      <c r="J220" s="13"/>
      <c r="K220" s="15">
        <f>IF(I220&gt;0, J220/I220, 0)</f>
        <v>0</v>
      </c>
      <c r="L220" s="13">
        <v>18000.0</v>
      </c>
      <c r="M220" s="13"/>
      <c r="N220" s="13">
        <f>L220-M220</f>
        <v>18000</v>
      </c>
      <c r="O220" s="8" t="s">
        <v>40</v>
      </c>
      <c r="P220" s="8" t="s">
        <v>41</v>
      </c>
      <c r="Q220" s="8" t="s">
        <v>42</v>
      </c>
      <c r="R220" s="6" t="s">
        <v>2170</v>
      </c>
      <c r="S220" s="6" t="s">
        <v>42</v>
      </c>
    </row>
    <row r="221" spans="1:19">
      <c r="A221" s="9">
        <v>214</v>
      </c>
      <c r="B221" s="9" t="s">
        <v>415</v>
      </c>
      <c r="C221" s="9" t="s">
        <v>398</v>
      </c>
      <c r="D221" s="9" t="s">
        <v>198</v>
      </c>
      <c r="E221" s="9" t="s">
        <v>33</v>
      </c>
      <c r="F221" s="7" t="s">
        <v>39</v>
      </c>
      <c r="G221" s="11">
        <v>1</v>
      </c>
      <c r="H221" s="11">
        <v>1</v>
      </c>
      <c r="I221" s="14">
        <v>8000.0</v>
      </c>
      <c r="J221" s="14"/>
      <c r="K221" s="16">
        <f>IF(I221&gt;0, J221/I221, 0)</f>
        <v>0</v>
      </c>
      <c r="L221" s="14">
        <v>8000.0</v>
      </c>
      <c r="M221" s="14"/>
      <c r="N221" s="14">
        <f>L221-M221</f>
        <v>8000</v>
      </c>
      <c r="O221" s="9" t="s">
        <v>40</v>
      </c>
      <c r="P221" s="9" t="s">
        <v>41</v>
      </c>
      <c r="Q221" s="9" t="s">
        <v>42</v>
      </c>
      <c r="R221" s="7" t="s">
        <v>2116</v>
      </c>
      <c r="S221" s="7" t="s">
        <v>42</v>
      </c>
    </row>
    <row r="222" spans="1:19">
      <c r="A222" s="8">
        <v>215</v>
      </c>
      <c r="B222" s="8" t="s">
        <v>416</v>
      </c>
      <c r="C222" s="8" t="s">
        <v>398</v>
      </c>
      <c r="D222" s="8" t="s">
        <v>198</v>
      </c>
      <c r="E222" s="8" t="s">
        <v>33</v>
      </c>
      <c r="F222" s="6" t="s">
        <v>39</v>
      </c>
      <c r="G222" s="10">
        <v>1</v>
      </c>
      <c r="H222" s="10">
        <v>1</v>
      </c>
      <c r="I222" s="13">
        <v>7000.0</v>
      </c>
      <c r="J222" s="13"/>
      <c r="K222" s="15">
        <f>IF(I222&gt;0, J222/I222, 0)</f>
        <v>0</v>
      </c>
      <c r="L222" s="13">
        <v>7000.0</v>
      </c>
      <c r="M222" s="13"/>
      <c r="N222" s="13">
        <f>L222-M222</f>
        <v>7000</v>
      </c>
      <c r="O222" s="8" t="s">
        <v>40</v>
      </c>
      <c r="P222" s="8" t="s">
        <v>41</v>
      </c>
      <c r="Q222" s="8" t="s">
        <v>42</v>
      </c>
      <c r="R222" s="6" t="s">
        <v>2131</v>
      </c>
      <c r="S222" s="6" t="s">
        <v>42</v>
      </c>
    </row>
    <row r="223" spans="1:19">
      <c r="A223" s="9">
        <v>216</v>
      </c>
      <c r="B223" s="9" t="s">
        <v>417</v>
      </c>
      <c r="C223" s="9" t="s">
        <v>398</v>
      </c>
      <c r="D223" s="9" t="s">
        <v>198</v>
      </c>
      <c r="E223" s="9" t="s">
        <v>33</v>
      </c>
      <c r="F223" s="7" t="s">
        <v>39</v>
      </c>
      <c r="G223" s="11">
        <v>1</v>
      </c>
      <c r="H223" s="11">
        <v>1</v>
      </c>
      <c r="I223" s="14">
        <v>8500.0</v>
      </c>
      <c r="J223" s="14"/>
      <c r="K223" s="16">
        <f>IF(I223&gt;0, J223/I223, 0)</f>
        <v>0</v>
      </c>
      <c r="L223" s="14">
        <v>8500.0</v>
      </c>
      <c r="M223" s="14"/>
      <c r="N223" s="14">
        <f>L223-M223</f>
        <v>8500</v>
      </c>
      <c r="O223" s="9" t="s">
        <v>40</v>
      </c>
      <c r="P223" s="9" t="s">
        <v>41</v>
      </c>
      <c r="Q223" s="9" t="s">
        <v>42</v>
      </c>
      <c r="R223" s="7" t="s">
        <v>2171</v>
      </c>
      <c r="S223" s="7" t="s">
        <v>42</v>
      </c>
    </row>
    <row r="224" spans="1:19">
      <c r="A224" s="8">
        <v>217</v>
      </c>
      <c r="B224" s="8" t="s">
        <v>419</v>
      </c>
      <c r="C224" s="8" t="s">
        <v>398</v>
      </c>
      <c r="D224" s="8" t="s">
        <v>198</v>
      </c>
      <c r="E224" s="8" t="s">
        <v>33</v>
      </c>
      <c r="F224" s="6" t="s">
        <v>39</v>
      </c>
      <c r="G224" s="10">
        <v>1</v>
      </c>
      <c r="H224" s="10">
        <v>1</v>
      </c>
      <c r="I224" s="13">
        <v>9000.0</v>
      </c>
      <c r="J224" s="13"/>
      <c r="K224" s="15">
        <f>IF(I224&gt;0, J224/I224, 0)</f>
        <v>0</v>
      </c>
      <c r="L224" s="13">
        <v>9000.0</v>
      </c>
      <c r="M224" s="13"/>
      <c r="N224" s="13">
        <f>L224-M224</f>
        <v>9000</v>
      </c>
      <c r="O224" s="8" t="s">
        <v>40</v>
      </c>
      <c r="P224" s="8" t="s">
        <v>41</v>
      </c>
      <c r="Q224" s="8" t="s">
        <v>42</v>
      </c>
      <c r="R224" s="6" t="s">
        <v>2172</v>
      </c>
      <c r="S224" s="6" t="s">
        <v>42</v>
      </c>
    </row>
    <row r="225" spans="1:19">
      <c r="A225" s="9">
        <v>218</v>
      </c>
      <c r="B225" s="9" t="s">
        <v>421</v>
      </c>
      <c r="C225" s="9" t="s">
        <v>398</v>
      </c>
      <c r="D225" s="9" t="s">
        <v>198</v>
      </c>
      <c r="E225" s="9" t="s">
        <v>33</v>
      </c>
      <c r="F225" s="7" t="s">
        <v>39</v>
      </c>
      <c r="G225" s="11">
        <v>1</v>
      </c>
      <c r="H225" s="11">
        <v>1</v>
      </c>
      <c r="I225" s="14">
        <v>16500.0</v>
      </c>
      <c r="J225" s="14"/>
      <c r="K225" s="16">
        <f>IF(I225&gt;0, J225/I225, 0)</f>
        <v>0</v>
      </c>
      <c r="L225" s="14">
        <v>16500.0</v>
      </c>
      <c r="M225" s="14"/>
      <c r="N225" s="14">
        <f>L225-M225</f>
        <v>16500</v>
      </c>
      <c r="O225" s="9" t="s">
        <v>40</v>
      </c>
      <c r="P225" s="9" t="s">
        <v>41</v>
      </c>
      <c r="Q225" s="9" t="s">
        <v>42</v>
      </c>
      <c r="R225" s="7" t="s">
        <v>2173</v>
      </c>
      <c r="S225" s="7" t="s">
        <v>42</v>
      </c>
    </row>
    <row r="226" spans="1:19">
      <c r="A226" s="8">
        <v>219</v>
      </c>
      <c r="B226" s="8" t="s">
        <v>423</v>
      </c>
      <c r="C226" s="8" t="s">
        <v>398</v>
      </c>
      <c r="D226" s="8" t="s">
        <v>198</v>
      </c>
      <c r="E226" s="8" t="s">
        <v>33</v>
      </c>
      <c r="F226" s="6" t="s">
        <v>39</v>
      </c>
      <c r="G226" s="10">
        <v>1</v>
      </c>
      <c r="H226" s="10">
        <v>1</v>
      </c>
      <c r="I226" s="13">
        <v>18000.0</v>
      </c>
      <c r="J226" s="13"/>
      <c r="K226" s="15">
        <f>IF(I226&gt;0, J226/I226, 0)</f>
        <v>0</v>
      </c>
      <c r="L226" s="13">
        <v>18000.0</v>
      </c>
      <c r="M226" s="13"/>
      <c r="N226" s="13">
        <f>L226-M226</f>
        <v>18000</v>
      </c>
      <c r="O226" s="8" t="s">
        <v>40</v>
      </c>
      <c r="P226" s="8" t="s">
        <v>41</v>
      </c>
      <c r="Q226" s="8" t="s">
        <v>42</v>
      </c>
      <c r="R226" s="6" t="s">
        <v>2174</v>
      </c>
      <c r="S226" s="6" t="s">
        <v>42</v>
      </c>
    </row>
    <row r="227" spans="1:19">
      <c r="A227" s="9">
        <v>220</v>
      </c>
      <c r="B227" s="9" t="s">
        <v>425</v>
      </c>
      <c r="C227" s="9" t="s">
        <v>426</v>
      </c>
      <c r="D227" s="9" t="s">
        <v>198</v>
      </c>
      <c r="E227" s="9" t="s">
        <v>33</v>
      </c>
      <c r="F227" s="7" t="s">
        <v>39</v>
      </c>
      <c r="G227" s="11">
        <v>1</v>
      </c>
      <c r="H227" s="11">
        <v>1</v>
      </c>
      <c r="I227" s="14">
        <v>7000.0</v>
      </c>
      <c r="J227" s="14"/>
      <c r="K227" s="16">
        <f>IF(I227&gt;0, J227/I227, 0)</f>
        <v>0</v>
      </c>
      <c r="L227" s="14">
        <v>7000.0</v>
      </c>
      <c r="M227" s="14"/>
      <c r="N227" s="14">
        <f>L227-M227</f>
        <v>7000</v>
      </c>
      <c r="O227" s="9" t="s">
        <v>40</v>
      </c>
      <c r="P227" s="9" t="s">
        <v>41</v>
      </c>
      <c r="Q227" s="9" t="s">
        <v>42</v>
      </c>
      <c r="R227" s="7" t="s">
        <v>2131</v>
      </c>
      <c r="S227" s="7" t="s">
        <v>42</v>
      </c>
    </row>
    <row r="228" spans="1:19">
      <c r="A228" s="8">
        <v>221</v>
      </c>
      <c r="B228" s="8" t="s">
        <v>427</v>
      </c>
      <c r="C228" s="8" t="s">
        <v>428</v>
      </c>
      <c r="D228" s="8" t="s">
        <v>198</v>
      </c>
      <c r="E228" s="8" t="s">
        <v>68</v>
      </c>
      <c r="F228" s="6" t="s">
        <v>39</v>
      </c>
      <c r="G228" s="10">
        <v>1</v>
      </c>
      <c r="H228" s="10">
        <v>1</v>
      </c>
      <c r="I228" s="13">
        <v>10000.0</v>
      </c>
      <c r="J228" s="13"/>
      <c r="K228" s="15">
        <f>IF(I228&gt;0, J228/I228, 0)</f>
        <v>0</v>
      </c>
      <c r="L228" s="13">
        <v>10000.0</v>
      </c>
      <c r="M228" s="13"/>
      <c r="N228" s="13">
        <f>L228-M228</f>
        <v>10000</v>
      </c>
      <c r="O228" s="8" t="s">
        <v>40</v>
      </c>
      <c r="P228" s="8" t="s">
        <v>71</v>
      </c>
      <c r="Q228" s="8" t="s">
        <v>42</v>
      </c>
      <c r="R228" s="6" t="s">
        <v>2125</v>
      </c>
      <c r="S228" s="6" t="s">
        <v>42</v>
      </c>
    </row>
    <row r="229" spans="1:19">
      <c r="A229" s="9">
        <v>222</v>
      </c>
      <c r="B229" s="9" t="s">
        <v>429</v>
      </c>
      <c r="C229" s="9" t="s">
        <v>428</v>
      </c>
      <c r="D229" s="9" t="s">
        <v>198</v>
      </c>
      <c r="E229" s="9" t="s">
        <v>68</v>
      </c>
      <c r="F229" s="7" t="s">
        <v>39</v>
      </c>
      <c r="G229" s="11">
        <v>1</v>
      </c>
      <c r="H229" s="11">
        <v>1</v>
      </c>
      <c r="I229" s="14">
        <v>5000.0</v>
      </c>
      <c r="J229" s="14"/>
      <c r="K229" s="16">
        <f>IF(I229&gt;0, J229/I229, 0)</f>
        <v>0</v>
      </c>
      <c r="L229" s="14">
        <v>5000.0</v>
      </c>
      <c r="M229" s="14"/>
      <c r="N229" s="14">
        <f>L229-M229</f>
        <v>5000</v>
      </c>
      <c r="O229" s="9" t="s">
        <v>40</v>
      </c>
      <c r="P229" s="9" t="s">
        <v>71</v>
      </c>
      <c r="Q229" s="9" t="s">
        <v>42</v>
      </c>
      <c r="R229" s="7" t="s">
        <v>2110</v>
      </c>
      <c r="S229" s="7" t="s">
        <v>42</v>
      </c>
    </row>
    <row r="230" spans="1:19">
      <c r="A230" s="8">
        <v>223</v>
      </c>
      <c r="B230" s="8" t="s">
        <v>430</v>
      </c>
      <c r="C230" s="8" t="s">
        <v>428</v>
      </c>
      <c r="D230" s="8" t="s">
        <v>198</v>
      </c>
      <c r="E230" s="8" t="s">
        <v>68</v>
      </c>
      <c r="F230" s="6" t="s">
        <v>39</v>
      </c>
      <c r="G230" s="10">
        <v>1</v>
      </c>
      <c r="H230" s="10">
        <v>1</v>
      </c>
      <c r="I230" s="13">
        <v>15000.0</v>
      </c>
      <c r="J230" s="13"/>
      <c r="K230" s="15">
        <f>IF(I230&gt;0, J230/I230, 0)</f>
        <v>0</v>
      </c>
      <c r="L230" s="13">
        <v>15000.0</v>
      </c>
      <c r="M230" s="13"/>
      <c r="N230" s="13">
        <f>L230-M230</f>
        <v>15000</v>
      </c>
      <c r="O230" s="8" t="s">
        <v>40</v>
      </c>
      <c r="P230" s="8" t="s">
        <v>71</v>
      </c>
      <c r="Q230" s="8" t="s">
        <v>42</v>
      </c>
      <c r="R230" s="6" t="s">
        <v>2175</v>
      </c>
      <c r="S230" s="6" t="s">
        <v>42</v>
      </c>
    </row>
    <row r="231" spans="1:19">
      <c r="A231" s="9">
        <v>224</v>
      </c>
      <c r="B231" s="9" t="s">
        <v>433</v>
      </c>
      <c r="C231" s="9" t="s">
        <v>428</v>
      </c>
      <c r="D231" s="9" t="s">
        <v>198</v>
      </c>
      <c r="E231" s="9" t="s">
        <v>68</v>
      </c>
      <c r="F231" s="7" t="s">
        <v>39</v>
      </c>
      <c r="G231" s="11">
        <v>1</v>
      </c>
      <c r="H231" s="11">
        <v>2</v>
      </c>
      <c r="I231" s="14">
        <v>20000.0</v>
      </c>
      <c r="J231" s="14"/>
      <c r="K231" s="16">
        <f>IF(I231&gt;0, J231/I231, 0)</f>
        <v>0</v>
      </c>
      <c r="L231" s="14">
        <v>20000.0</v>
      </c>
      <c r="M231" s="14"/>
      <c r="N231" s="14">
        <f>L231-M231</f>
        <v>20000</v>
      </c>
      <c r="O231" s="9" t="s">
        <v>40</v>
      </c>
      <c r="P231" s="9" t="s">
        <v>71</v>
      </c>
      <c r="Q231" s="9" t="s">
        <v>42</v>
      </c>
      <c r="R231" s="7" t="s">
        <v>2176</v>
      </c>
      <c r="S231" s="7" t="s">
        <v>42</v>
      </c>
    </row>
    <row r="232" spans="1:19">
      <c r="A232" s="8">
        <v>225</v>
      </c>
      <c r="B232" s="8" t="s">
        <v>435</v>
      </c>
      <c r="C232" s="8" t="s">
        <v>428</v>
      </c>
      <c r="D232" s="8" t="s">
        <v>198</v>
      </c>
      <c r="E232" s="8" t="s">
        <v>68</v>
      </c>
      <c r="F232" s="6" t="s">
        <v>39</v>
      </c>
      <c r="G232" s="10">
        <v>1</v>
      </c>
      <c r="H232" s="10">
        <v>1</v>
      </c>
      <c r="I232" s="13">
        <v>10000.0</v>
      </c>
      <c r="J232" s="13"/>
      <c r="K232" s="15">
        <f>IF(I232&gt;0, J232/I232, 0)</f>
        <v>0</v>
      </c>
      <c r="L232" s="13">
        <v>10000.0</v>
      </c>
      <c r="M232" s="13"/>
      <c r="N232" s="13">
        <f>L232-M232</f>
        <v>10000</v>
      </c>
      <c r="O232" s="8" t="s">
        <v>40</v>
      </c>
      <c r="P232" s="8" t="s">
        <v>71</v>
      </c>
      <c r="Q232" s="8" t="s">
        <v>42</v>
      </c>
      <c r="R232" s="6" t="s">
        <v>2113</v>
      </c>
      <c r="S232" s="6" t="s">
        <v>42</v>
      </c>
    </row>
    <row r="233" spans="1:19">
      <c r="A233" s="9">
        <v>226</v>
      </c>
      <c r="B233" s="9" t="s">
        <v>436</v>
      </c>
      <c r="C233" s="9" t="s">
        <v>428</v>
      </c>
      <c r="D233" s="9" t="s">
        <v>198</v>
      </c>
      <c r="E233" s="9" t="s">
        <v>68</v>
      </c>
      <c r="F233" s="7" t="s">
        <v>39</v>
      </c>
      <c r="G233" s="11">
        <v>1</v>
      </c>
      <c r="H233" s="11">
        <v>2</v>
      </c>
      <c r="I233" s="14">
        <v>20000.0</v>
      </c>
      <c r="J233" s="14"/>
      <c r="K233" s="16">
        <f>IF(I233&gt;0, J233/I233, 0)</f>
        <v>0</v>
      </c>
      <c r="L233" s="14">
        <v>20000.0</v>
      </c>
      <c r="M233" s="14"/>
      <c r="N233" s="14">
        <f>L233-M233</f>
        <v>20000</v>
      </c>
      <c r="O233" s="9" t="s">
        <v>40</v>
      </c>
      <c r="P233" s="9" t="s">
        <v>71</v>
      </c>
      <c r="Q233" s="9" t="s">
        <v>42</v>
      </c>
      <c r="R233" s="7" t="s">
        <v>2153</v>
      </c>
      <c r="S233" s="7" t="s">
        <v>42</v>
      </c>
    </row>
    <row r="234" spans="1:19">
      <c r="A234" s="8">
        <v>227</v>
      </c>
      <c r="B234" s="8" t="s">
        <v>437</v>
      </c>
      <c r="C234" s="8" t="s">
        <v>428</v>
      </c>
      <c r="D234" s="8" t="s">
        <v>198</v>
      </c>
      <c r="E234" s="8" t="s">
        <v>68</v>
      </c>
      <c r="F234" s="6" t="s">
        <v>39</v>
      </c>
      <c r="G234" s="10">
        <v>1</v>
      </c>
      <c r="H234" s="10">
        <v>1</v>
      </c>
      <c r="I234" s="13">
        <v>5000.0</v>
      </c>
      <c r="J234" s="13"/>
      <c r="K234" s="15">
        <f>IF(I234&gt;0, J234/I234, 0)</f>
        <v>0</v>
      </c>
      <c r="L234" s="13">
        <v>5000.0</v>
      </c>
      <c r="M234" s="13"/>
      <c r="N234" s="13">
        <f>L234-M234</f>
        <v>5000</v>
      </c>
      <c r="O234" s="8" t="s">
        <v>40</v>
      </c>
      <c r="P234" s="8" t="s">
        <v>71</v>
      </c>
      <c r="Q234" s="8" t="s">
        <v>42</v>
      </c>
      <c r="R234" s="6" t="s">
        <v>2110</v>
      </c>
      <c r="S234" s="6" t="s">
        <v>42</v>
      </c>
    </row>
    <row r="235" spans="1:19">
      <c r="A235" s="9">
        <v>228</v>
      </c>
      <c r="B235" s="9" t="s">
        <v>438</v>
      </c>
      <c r="C235" s="9" t="s">
        <v>428</v>
      </c>
      <c r="D235" s="9" t="s">
        <v>198</v>
      </c>
      <c r="E235" s="9" t="s">
        <v>33</v>
      </c>
      <c r="F235" s="7" t="s">
        <v>39</v>
      </c>
      <c r="G235" s="11">
        <v>1</v>
      </c>
      <c r="H235" s="11">
        <v>1</v>
      </c>
      <c r="I235" s="14">
        <v>5000.0</v>
      </c>
      <c r="J235" s="14"/>
      <c r="K235" s="16">
        <f>IF(I235&gt;0, J235/I235, 0)</f>
        <v>0</v>
      </c>
      <c r="L235" s="14">
        <v>5000.0</v>
      </c>
      <c r="M235" s="14"/>
      <c r="N235" s="14">
        <f>L235-M235</f>
        <v>5000</v>
      </c>
      <c r="O235" s="9" t="s">
        <v>40</v>
      </c>
      <c r="P235" s="9" t="s">
        <v>41</v>
      </c>
      <c r="Q235" s="9" t="s">
        <v>42</v>
      </c>
      <c r="R235" s="7" t="s">
        <v>2110</v>
      </c>
      <c r="S235" s="7" t="s">
        <v>42</v>
      </c>
    </row>
    <row r="236" spans="1:19">
      <c r="A236" s="8">
        <v>229</v>
      </c>
      <c r="B236" s="8" t="s">
        <v>439</v>
      </c>
      <c r="C236" s="8" t="s">
        <v>440</v>
      </c>
      <c r="D236" s="8" t="s">
        <v>198</v>
      </c>
      <c r="E236" s="8" t="s">
        <v>33</v>
      </c>
      <c r="F236" s="6" t="s">
        <v>39</v>
      </c>
      <c r="G236" s="10">
        <v>1</v>
      </c>
      <c r="H236" s="10">
        <v>1</v>
      </c>
      <c r="I236" s="13">
        <v>18000.0</v>
      </c>
      <c r="J236" s="13"/>
      <c r="K236" s="15">
        <f>IF(I236&gt;0, J236/I236, 0)</f>
        <v>0</v>
      </c>
      <c r="L236" s="13">
        <v>18000.0</v>
      </c>
      <c r="M236" s="13"/>
      <c r="N236" s="13">
        <f>L236-M236</f>
        <v>18000</v>
      </c>
      <c r="O236" s="8" t="s">
        <v>40</v>
      </c>
      <c r="P236" s="8" t="s">
        <v>41</v>
      </c>
      <c r="Q236" s="8" t="s">
        <v>42</v>
      </c>
      <c r="R236" s="6" t="s">
        <v>2075</v>
      </c>
      <c r="S236" s="6" t="s">
        <v>42</v>
      </c>
    </row>
    <row r="237" spans="1:19">
      <c r="A237" s="9">
        <v>230</v>
      </c>
      <c r="B237" s="9" t="s">
        <v>442</v>
      </c>
      <c r="C237" s="9" t="s">
        <v>440</v>
      </c>
      <c r="D237" s="9" t="s">
        <v>198</v>
      </c>
      <c r="E237" s="9" t="s">
        <v>33</v>
      </c>
      <c r="F237" s="7" t="s">
        <v>39</v>
      </c>
      <c r="G237" s="11">
        <v>1</v>
      </c>
      <c r="H237" s="11">
        <v>1</v>
      </c>
      <c r="I237" s="14">
        <v>18000.0</v>
      </c>
      <c r="J237" s="14"/>
      <c r="K237" s="16">
        <f>IF(I237&gt;0, J237/I237, 0)</f>
        <v>0</v>
      </c>
      <c r="L237" s="14">
        <v>18000.0</v>
      </c>
      <c r="M237" s="14"/>
      <c r="N237" s="14">
        <f>L237-M237</f>
        <v>18000</v>
      </c>
      <c r="O237" s="9" t="s">
        <v>40</v>
      </c>
      <c r="P237" s="9" t="s">
        <v>41</v>
      </c>
      <c r="Q237" s="9" t="s">
        <v>42</v>
      </c>
      <c r="R237" s="7" t="s">
        <v>2170</v>
      </c>
      <c r="S237" s="7" t="s">
        <v>42</v>
      </c>
    </row>
    <row r="238" spans="1:19">
      <c r="A238" s="8">
        <v>231</v>
      </c>
      <c r="B238" s="8" t="s">
        <v>443</v>
      </c>
      <c r="C238" s="8" t="s">
        <v>440</v>
      </c>
      <c r="D238" s="8" t="s">
        <v>198</v>
      </c>
      <c r="E238" s="8" t="s">
        <v>33</v>
      </c>
      <c r="F238" s="6" t="s">
        <v>39</v>
      </c>
      <c r="G238" s="10">
        <v>1</v>
      </c>
      <c r="H238" s="10">
        <v>1</v>
      </c>
      <c r="I238" s="13">
        <v>15000.0</v>
      </c>
      <c r="J238" s="13"/>
      <c r="K238" s="15">
        <f>IF(I238&gt;0, J238/I238, 0)</f>
        <v>0</v>
      </c>
      <c r="L238" s="13">
        <v>15000.0</v>
      </c>
      <c r="M238" s="13"/>
      <c r="N238" s="13">
        <f>L238-M238</f>
        <v>15000</v>
      </c>
      <c r="O238" s="8" t="s">
        <v>40</v>
      </c>
      <c r="P238" s="8" t="s">
        <v>41</v>
      </c>
      <c r="Q238" s="8" t="s">
        <v>42</v>
      </c>
      <c r="R238" s="6" t="s">
        <v>2177</v>
      </c>
      <c r="S238" s="6" t="s">
        <v>446</v>
      </c>
    </row>
    <row r="239" spans="1:19">
      <c r="A239" s="9">
        <v>232</v>
      </c>
      <c r="B239" s="9" t="s">
        <v>447</v>
      </c>
      <c r="C239" s="9" t="s">
        <v>440</v>
      </c>
      <c r="D239" s="9" t="s">
        <v>198</v>
      </c>
      <c r="E239" s="9" t="s">
        <v>33</v>
      </c>
      <c r="F239" s="7" t="s">
        <v>39</v>
      </c>
      <c r="G239" s="11">
        <v>1</v>
      </c>
      <c r="H239" s="11">
        <v>1</v>
      </c>
      <c r="I239" s="14">
        <v>18000.0</v>
      </c>
      <c r="J239" s="14"/>
      <c r="K239" s="16">
        <f>IF(I239&gt;0, J239/I239, 0)</f>
        <v>0</v>
      </c>
      <c r="L239" s="14">
        <v>18000.0</v>
      </c>
      <c r="M239" s="14"/>
      <c r="N239" s="14">
        <f>L239-M239</f>
        <v>18000</v>
      </c>
      <c r="O239" s="9" t="s">
        <v>40</v>
      </c>
      <c r="P239" s="9" t="s">
        <v>41</v>
      </c>
      <c r="Q239" s="9" t="s">
        <v>42</v>
      </c>
      <c r="R239" s="7" t="s">
        <v>2144</v>
      </c>
      <c r="S239" s="7" t="s">
        <v>42</v>
      </c>
    </row>
    <row r="240" spans="1:19">
      <c r="A240" s="8">
        <v>233</v>
      </c>
      <c r="B240" s="8" t="s">
        <v>448</v>
      </c>
      <c r="C240" s="8" t="s">
        <v>440</v>
      </c>
      <c r="D240" s="8" t="s">
        <v>198</v>
      </c>
      <c r="E240" s="8" t="s">
        <v>33</v>
      </c>
      <c r="F240" s="6" t="s">
        <v>39</v>
      </c>
      <c r="G240" s="10">
        <v>1</v>
      </c>
      <c r="H240" s="10">
        <v>1</v>
      </c>
      <c r="I240" s="13">
        <v>8000.0</v>
      </c>
      <c r="J240" s="13"/>
      <c r="K240" s="15">
        <f>IF(I240&gt;0, J240/I240, 0)</f>
        <v>0</v>
      </c>
      <c r="L240" s="13">
        <v>8000.0</v>
      </c>
      <c r="M240" s="13"/>
      <c r="N240" s="13">
        <f>L240-M240</f>
        <v>8000</v>
      </c>
      <c r="O240" s="8" t="s">
        <v>40</v>
      </c>
      <c r="P240" s="8" t="s">
        <v>41</v>
      </c>
      <c r="Q240" s="8" t="s">
        <v>42</v>
      </c>
      <c r="R240" s="6" t="s">
        <v>2159</v>
      </c>
      <c r="S240" s="6" t="s">
        <v>42</v>
      </c>
    </row>
    <row r="241" spans="1:19">
      <c r="A241" s="9">
        <v>234</v>
      </c>
      <c r="B241" s="9" t="s">
        <v>449</v>
      </c>
      <c r="C241" s="9" t="s">
        <v>440</v>
      </c>
      <c r="D241" s="9" t="s">
        <v>198</v>
      </c>
      <c r="E241" s="9" t="s">
        <v>33</v>
      </c>
      <c r="F241" s="7" t="s">
        <v>39</v>
      </c>
      <c r="G241" s="11">
        <v>1</v>
      </c>
      <c r="H241" s="11">
        <v>1</v>
      </c>
      <c r="I241" s="14">
        <v>7000.0</v>
      </c>
      <c r="J241" s="14"/>
      <c r="K241" s="16">
        <f>IF(I241&gt;0, J241/I241, 0)</f>
        <v>0</v>
      </c>
      <c r="L241" s="14">
        <v>7000.0</v>
      </c>
      <c r="M241" s="14"/>
      <c r="N241" s="14">
        <f>L241-M241</f>
        <v>7000</v>
      </c>
      <c r="O241" s="9" t="s">
        <v>40</v>
      </c>
      <c r="P241" s="9" t="s">
        <v>41</v>
      </c>
      <c r="Q241" s="9" t="s">
        <v>42</v>
      </c>
      <c r="R241" s="7" t="s">
        <v>2142</v>
      </c>
      <c r="S241" s="7" t="s">
        <v>42</v>
      </c>
    </row>
    <row r="242" spans="1:19">
      <c r="A242" s="8">
        <v>235</v>
      </c>
      <c r="B242" s="8" t="s">
        <v>450</v>
      </c>
      <c r="C242" s="8" t="s">
        <v>440</v>
      </c>
      <c r="D242" s="8" t="s">
        <v>198</v>
      </c>
      <c r="E242" s="8" t="s">
        <v>33</v>
      </c>
      <c r="F242" s="6" t="s">
        <v>39</v>
      </c>
      <c r="G242" s="10">
        <v>1</v>
      </c>
      <c r="H242" s="10">
        <v>1</v>
      </c>
      <c r="I242" s="13">
        <v>7000.0</v>
      </c>
      <c r="J242" s="13"/>
      <c r="K242" s="15">
        <f>IF(I242&gt;0, J242/I242, 0)</f>
        <v>0</v>
      </c>
      <c r="L242" s="13">
        <v>7000.0</v>
      </c>
      <c r="M242" s="13"/>
      <c r="N242" s="13">
        <f>L242-M242</f>
        <v>7000</v>
      </c>
      <c r="O242" s="8" t="s">
        <v>40</v>
      </c>
      <c r="P242" s="8" t="s">
        <v>41</v>
      </c>
      <c r="Q242" s="8" t="s">
        <v>42</v>
      </c>
      <c r="R242" s="6" t="s">
        <v>2155</v>
      </c>
      <c r="S242" s="6" t="s">
        <v>42</v>
      </c>
    </row>
    <row r="243" spans="1:19">
      <c r="A243" s="9">
        <v>236</v>
      </c>
      <c r="B243" s="9" t="s">
        <v>451</v>
      </c>
      <c r="C243" s="9" t="s">
        <v>440</v>
      </c>
      <c r="D243" s="9" t="s">
        <v>198</v>
      </c>
      <c r="E243" s="9" t="s">
        <v>33</v>
      </c>
      <c r="F243" s="7" t="s">
        <v>39</v>
      </c>
      <c r="G243" s="11">
        <v>1</v>
      </c>
      <c r="H243" s="11">
        <v>1</v>
      </c>
      <c r="I243" s="14">
        <v>7000.0</v>
      </c>
      <c r="J243" s="14"/>
      <c r="K243" s="16">
        <f>IF(I243&gt;0, J243/I243, 0)</f>
        <v>0</v>
      </c>
      <c r="L243" s="14">
        <v>7000.0</v>
      </c>
      <c r="M243" s="14"/>
      <c r="N243" s="14">
        <f>L243-M243</f>
        <v>7000</v>
      </c>
      <c r="O243" s="9" t="s">
        <v>40</v>
      </c>
      <c r="P243" s="9" t="s">
        <v>41</v>
      </c>
      <c r="Q243" s="9" t="s">
        <v>42</v>
      </c>
      <c r="R243" s="7" t="s">
        <v>2131</v>
      </c>
      <c r="S243" s="7" t="s">
        <v>42</v>
      </c>
    </row>
    <row r="244" spans="1:19">
      <c r="A244" s="8">
        <v>237</v>
      </c>
      <c r="B244" s="8" t="s">
        <v>452</v>
      </c>
      <c r="C244" s="8" t="s">
        <v>440</v>
      </c>
      <c r="D244" s="8" t="s">
        <v>198</v>
      </c>
      <c r="E244" s="8" t="s">
        <v>33</v>
      </c>
      <c r="F244" s="6" t="s">
        <v>39</v>
      </c>
      <c r="G244" s="10">
        <v>1</v>
      </c>
      <c r="H244" s="10">
        <v>1</v>
      </c>
      <c r="I244" s="13">
        <v>18000.0</v>
      </c>
      <c r="J244" s="13"/>
      <c r="K244" s="15">
        <f>IF(I244&gt;0, J244/I244, 0)</f>
        <v>0</v>
      </c>
      <c r="L244" s="13">
        <v>18000.0</v>
      </c>
      <c r="M244" s="13"/>
      <c r="N244" s="13">
        <f>L244-M244</f>
        <v>18000</v>
      </c>
      <c r="O244" s="8" t="s">
        <v>40</v>
      </c>
      <c r="P244" s="8" t="s">
        <v>41</v>
      </c>
      <c r="Q244" s="8" t="s">
        <v>42</v>
      </c>
      <c r="R244" s="6" t="s">
        <v>2094</v>
      </c>
      <c r="S244" s="6" t="s">
        <v>42</v>
      </c>
    </row>
    <row r="245" spans="1:19">
      <c r="A245" s="9">
        <v>238</v>
      </c>
      <c r="B245" s="9" t="s">
        <v>453</v>
      </c>
      <c r="C245" s="9" t="s">
        <v>440</v>
      </c>
      <c r="D245" s="9" t="s">
        <v>198</v>
      </c>
      <c r="E245" s="9" t="s">
        <v>33</v>
      </c>
      <c r="F245" s="7" t="s">
        <v>39</v>
      </c>
      <c r="G245" s="11">
        <v>1</v>
      </c>
      <c r="H245" s="11">
        <v>1</v>
      </c>
      <c r="I245" s="14">
        <v>7000.0</v>
      </c>
      <c r="J245" s="14"/>
      <c r="K245" s="16">
        <f>IF(I245&gt;0, J245/I245, 0)</f>
        <v>0</v>
      </c>
      <c r="L245" s="14">
        <v>7000.0</v>
      </c>
      <c r="M245" s="14"/>
      <c r="N245" s="14">
        <f>L245-M245</f>
        <v>7000</v>
      </c>
      <c r="O245" s="9" t="s">
        <v>40</v>
      </c>
      <c r="P245" s="9" t="s">
        <v>41</v>
      </c>
      <c r="Q245" s="9" t="s">
        <v>42</v>
      </c>
      <c r="R245" s="7" t="s">
        <v>2109</v>
      </c>
      <c r="S245" s="7" t="s">
        <v>42</v>
      </c>
    </row>
    <row r="246" spans="1:19">
      <c r="A246" s="8">
        <v>239</v>
      </c>
      <c r="B246" s="8" t="s">
        <v>454</v>
      </c>
      <c r="C246" s="8" t="s">
        <v>440</v>
      </c>
      <c r="D246" s="8" t="s">
        <v>198</v>
      </c>
      <c r="E246" s="8" t="s">
        <v>33</v>
      </c>
      <c r="F246" s="6" t="s">
        <v>39</v>
      </c>
      <c r="G246" s="10">
        <v>1</v>
      </c>
      <c r="H246" s="10">
        <v>1</v>
      </c>
      <c r="I246" s="13">
        <v>18000.0</v>
      </c>
      <c r="J246" s="13"/>
      <c r="K246" s="15">
        <f>IF(I246&gt;0, J246/I246, 0)</f>
        <v>0</v>
      </c>
      <c r="L246" s="13">
        <v>18000.0</v>
      </c>
      <c r="M246" s="13"/>
      <c r="N246" s="13">
        <f>L246-M246</f>
        <v>18000</v>
      </c>
      <c r="O246" s="8" t="s">
        <v>40</v>
      </c>
      <c r="P246" s="8" t="s">
        <v>41</v>
      </c>
      <c r="Q246" s="8" t="s">
        <v>42</v>
      </c>
      <c r="R246" s="6" t="s">
        <v>2126</v>
      </c>
      <c r="S246" s="6" t="s">
        <v>42</v>
      </c>
    </row>
    <row r="247" spans="1:19">
      <c r="A247" s="9">
        <v>240</v>
      </c>
      <c r="B247" s="9" t="s">
        <v>455</v>
      </c>
      <c r="C247" s="9" t="s">
        <v>440</v>
      </c>
      <c r="D247" s="9" t="s">
        <v>198</v>
      </c>
      <c r="E247" s="9" t="s">
        <v>33</v>
      </c>
      <c r="F247" s="7" t="s">
        <v>39</v>
      </c>
      <c r="G247" s="11">
        <v>1</v>
      </c>
      <c r="H247" s="11">
        <v>1</v>
      </c>
      <c r="I247" s="14">
        <v>7000.0</v>
      </c>
      <c r="J247" s="14"/>
      <c r="K247" s="16">
        <f>IF(I247&gt;0, J247/I247, 0)</f>
        <v>0</v>
      </c>
      <c r="L247" s="14">
        <v>7000.0</v>
      </c>
      <c r="M247" s="14"/>
      <c r="N247" s="14">
        <f>L247-M247</f>
        <v>7000</v>
      </c>
      <c r="O247" s="9" t="s">
        <v>40</v>
      </c>
      <c r="P247" s="9" t="s">
        <v>41</v>
      </c>
      <c r="Q247" s="9" t="s">
        <v>42</v>
      </c>
      <c r="R247" s="7" t="s">
        <v>2107</v>
      </c>
      <c r="S247" s="7" t="s">
        <v>42</v>
      </c>
    </row>
    <row r="248" spans="1:19">
      <c r="A248" s="8">
        <v>241</v>
      </c>
      <c r="B248" s="8" t="s">
        <v>456</v>
      </c>
      <c r="C248" s="8" t="s">
        <v>457</v>
      </c>
      <c r="D248" s="8" t="s">
        <v>198</v>
      </c>
      <c r="E248" s="8" t="s">
        <v>68</v>
      </c>
      <c r="F248" s="6" t="s">
        <v>39</v>
      </c>
      <c r="G248" s="10">
        <v>1</v>
      </c>
      <c r="H248" s="10">
        <v>1</v>
      </c>
      <c r="I248" s="13">
        <v>10000.0</v>
      </c>
      <c r="J248" s="13"/>
      <c r="K248" s="15">
        <f>IF(I248&gt;0, J248/I248, 0)</f>
        <v>0</v>
      </c>
      <c r="L248" s="13">
        <v>10000.0</v>
      </c>
      <c r="M248" s="13"/>
      <c r="N248" s="13">
        <f>L248-M248</f>
        <v>10000</v>
      </c>
      <c r="O248" s="8" t="s">
        <v>40</v>
      </c>
      <c r="P248" s="8" t="s">
        <v>71</v>
      </c>
      <c r="Q248" s="8" t="s">
        <v>42</v>
      </c>
      <c r="R248" s="6" t="s">
        <v>2112</v>
      </c>
      <c r="S248" s="6" t="s">
        <v>42</v>
      </c>
    </row>
    <row r="249" spans="1:19">
      <c r="A249" s="9">
        <v>242</v>
      </c>
      <c r="B249" s="9" t="s">
        <v>458</v>
      </c>
      <c r="C249" s="9" t="s">
        <v>457</v>
      </c>
      <c r="D249" s="9" t="s">
        <v>198</v>
      </c>
      <c r="E249" s="9" t="s">
        <v>68</v>
      </c>
      <c r="F249" s="7" t="s">
        <v>39</v>
      </c>
      <c r="G249" s="11">
        <v>1</v>
      </c>
      <c r="H249" s="11">
        <v>2</v>
      </c>
      <c r="I249" s="14">
        <v>24000.0</v>
      </c>
      <c r="J249" s="14"/>
      <c r="K249" s="16">
        <f>IF(I249&gt;0, J249/I249, 0)</f>
        <v>0</v>
      </c>
      <c r="L249" s="14">
        <v>24000.0</v>
      </c>
      <c r="M249" s="14"/>
      <c r="N249" s="14">
        <f>L249-M249</f>
        <v>24000</v>
      </c>
      <c r="O249" s="9" t="s">
        <v>40</v>
      </c>
      <c r="P249" s="9" t="s">
        <v>71</v>
      </c>
      <c r="Q249" s="9" t="s">
        <v>42</v>
      </c>
      <c r="R249" s="7" t="s">
        <v>2176</v>
      </c>
      <c r="S249" s="7" t="s">
        <v>42</v>
      </c>
    </row>
    <row r="250" spans="1:19">
      <c r="A250" s="8">
        <v>243</v>
      </c>
      <c r="B250" s="8" t="s">
        <v>459</v>
      </c>
      <c r="C250" s="8" t="s">
        <v>457</v>
      </c>
      <c r="D250" s="8" t="s">
        <v>198</v>
      </c>
      <c r="E250" s="8" t="s">
        <v>33</v>
      </c>
      <c r="F250" s="6" t="s">
        <v>39</v>
      </c>
      <c r="G250" s="10">
        <v>1</v>
      </c>
      <c r="H250" s="10">
        <v>1</v>
      </c>
      <c r="I250" s="13">
        <v>10000.0</v>
      </c>
      <c r="J250" s="13"/>
      <c r="K250" s="15">
        <f>IF(I250&gt;0, J250/I250, 0)</f>
        <v>0</v>
      </c>
      <c r="L250" s="13">
        <v>10000.0</v>
      </c>
      <c r="M250" s="13"/>
      <c r="N250" s="13">
        <f>L250-M250</f>
        <v>10000</v>
      </c>
      <c r="O250" s="8" t="s">
        <v>40</v>
      </c>
      <c r="P250" s="8" t="s">
        <v>41</v>
      </c>
      <c r="Q250" s="8" t="s">
        <v>42</v>
      </c>
      <c r="R250" s="6" t="s">
        <v>2138</v>
      </c>
      <c r="S250" s="6" t="s">
        <v>143</v>
      </c>
    </row>
    <row r="251" spans="1:19">
      <c r="A251" s="9">
        <v>244</v>
      </c>
      <c r="B251" s="9" t="s">
        <v>460</v>
      </c>
      <c r="C251" s="9" t="s">
        <v>457</v>
      </c>
      <c r="D251" s="9" t="s">
        <v>198</v>
      </c>
      <c r="E251" s="9" t="s">
        <v>68</v>
      </c>
      <c r="F251" s="7" t="s">
        <v>39</v>
      </c>
      <c r="G251" s="11">
        <v>1</v>
      </c>
      <c r="H251" s="11">
        <v>1</v>
      </c>
      <c r="I251" s="14">
        <v>9000.0</v>
      </c>
      <c r="J251" s="14"/>
      <c r="K251" s="16">
        <f>IF(I251&gt;0, J251/I251, 0)</f>
        <v>0</v>
      </c>
      <c r="L251" s="14">
        <v>9000.0</v>
      </c>
      <c r="M251" s="14"/>
      <c r="N251" s="14">
        <f>L251-M251</f>
        <v>9000</v>
      </c>
      <c r="O251" s="9" t="s">
        <v>40</v>
      </c>
      <c r="P251" s="9" t="s">
        <v>71</v>
      </c>
      <c r="Q251" s="9" t="s">
        <v>42</v>
      </c>
      <c r="R251" s="7" t="s">
        <v>2105</v>
      </c>
      <c r="S251" s="7" t="s">
        <v>42</v>
      </c>
    </row>
    <row r="252" spans="1:19">
      <c r="A252" s="8">
        <v>245</v>
      </c>
      <c r="B252" s="8" t="s">
        <v>461</v>
      </c>
      <c r="C252" s="8" t="s">
        <v>457</v>
      </c>
      <c r="D252" s="8" t="s">
        <v>198</v>
      </c>
      <c r="E252" s="8" t="s">
        <v>33</v>
      </c>
      <c r="F252" s="6" t="s">
        <v>39</v>
      </c>
      <c r="G252" s="10">
        <v>1</v>
      </c>
      <c r="H252" s="10">
        <v>1</v>
      </c>
      <c r="I252" s="13">
        <v>16000.0</v>
      </c>
      <c r="J252" s="13"/>
      <c r="K252" s="15">
        <f>IF(I252&gt;0, J252/I252, 0)</f>
        <v>0</v>
      </c>
      <c r="L252" s="13">
        <v>16000.0</v>
      </c>
      <c r="M252" s="13"/>
      <c r="N252" s="13">
        <f>L252-M252</f>
        <v>16000</v>
      </c>
      <c r="O252" s="8" t="s">
        <v>40</v>
      </c>
      <c r="P252" s="8" t="s">
        <v>41</v>
      </c>
      <c r="Q252" s="8" t="s">
        <v>42</v>
      </c>
      <c r="R252" s="6" t="s">
        <v>2127</v>
      </c>
      <c r="S252" s="6" t="s">
        <v>42</v>
      </c>
    </row>
    <row r="253" spans="1:19">
      <c r="A253" s="9">
        <v>246</v>
      </c>
      <c r="B253" s="9" t="s">
        <v>462</v>
      </c>
      <c r="C253" s="9" t="s">
        <v>457</v>
      </c>
      <c r="D253" s="9" t="s">
        <v>198</v>
      </c>
      <c r="E253" s="9" t="s">
        <v>33</v>
      </c>
      <c r="F253" s="7" t="s">
        <v>39</v>
      </c>
      <c r="G253" s="11">
        <v>1</v>
      </c>
      <c r="H253" s="11">
        <v>1</v>
      </c>
      <c r="I253" s="14">
        <v>7000.0</v>
      </c>
      <c r="J253" s="14"/>
      <c r="K253" s="16">
        <f>IF(I253&gt;0, J253/I253, 0)</f>
        <v>0</v>
      </c>
      <c r="L253" s="14">
        <v>7000.0</v>
      </c>
      <c r="M253" s="14"/>
      <c r="N253" s="14">
        <f>L253-M253</f>
        <v>7000</v>
      </c>
      <c r="O253" s="9" t="s">
        <v>40</v>
      </c>
      <c r="P253" s="9" t="s">
        <v>41</v>
      </c>
      <c r="Q253" s="9" t="s">
        <v>42</v>
      </c>
      <c r="R253" s="7" t="s">
        <v>2155</v>
      </c>
      <c r="S253" s="7" t="s">
        <v>42</v>
      </c>
    </row>
    <row r="254" spans="1:19">
      <c r="A254" s="8">
        <v>247</v>
      </c>
      <c r="B254" s="8" t="s">
        <v>463</v>
      </c>
      <c r="C254" s="8" t="s">
        <v>457</v>
      </c>
      <c r="D254" s="8" t="s">
        <v>198</v>
      </c>
      <c r="E254" s="8" t="s">
        <v>68</v>
      </c>
      <c r="F254" s="6" t="s">
        <v>39</v>
      </c>
      <c r="G254" s="10">
        <v>1</v>
      </c>
      <c r="H254" s="10">
        <v>1</v>
      </c>
      <c r="I254" s="13">
        <v>9000.0</v>
      </c>
      <c r="J254" s="13"/>
      <c r="K254" s="15">
        <f>IF(I254&gt;0, J254/I254, 0)</f>
        <v>0</v>
      </c>
      <c r="L254" s="13">
        <v>9000.0</v>
      </c>
      <c r="M254" s="13"/>
      <c r="N254" s="13">
        <f>L254-M254</f>
        <v>9000</v>
      </c>
      <c r="O254" s="8" t="s">
        <v>40</v>
      </c>
      <c r="P254" s="8" t="s">
        <v>71</v>
      </c>
      <c r="Q254" s="8" t="s">
        <v>42</v>
      </c>
      <c r="R254" s="6" t="s">
        <v>2178</v>
      </c>
      <c r="S254" s="6" t="s">
        <v>42</v>
      </c>
    </row>
    <row r="255" spans="1:19">
      <c r="A255" s="9">
        <v>248</v>
      </c>
      <c r="B255" s="9" t="s">
        <v>465</v>
      </c>
      <c r="C255" s="9" t="s">
        <v>457</v>
      </c>
      <c r="D255" s="9" t="s">
        <v>198</v>
      </c>
      <c r="E255" s="9" t="s">
        <v>33</v>
      </c>
      <c r="F255" s="7" t="s">
        <v>39</v>
      </c>
      <c r="G255" s="11">
        <v>1</v>
      </c>
      <c r="H255" s="11">
        <v>1</v>
      </c>
      <c r="I255" s="14">
        <v>16000.0</v>
      </c>
      <c r="J255" s="14"/>
      <c r="K255" s="16">
        <f>IF(I255&gt;0, J255/I255, 0)</f>
        <v>0</v>
      </c>
      <c r="L255" s="14">
        <v>16000.0</v>
      </c>
      <c r="M255" s="14"/>
      <c r="N255" s="14">
        <f>L255-M255</f>
        <v>16000</v>
      </c>
      <c r="O255" s="9" t="s">
        <v>40</v>
      </c>
      <c r="P255" s="9" t="s">
        <v>41</v>
      </c>
      <c r="Q255" s="9" t="s">
        <v>42</v>
      </c>
      <c r="R255" s="7" t="s">
        <v>2086</v>
      </c>
      <c r="S255" s="7" t="s">
        <v>42</v>
      </c>
    </row>
    <row r="256" spans="1:19">
      <c r="A256" s="8">
        <v>249</v>
      </c>
      <c r="B256" s="8" t="s">
        <v>466</v>
      </c>
      <c r="C256" s="8" t="s">
        <v>457</v>
      </c>
      <c r="D256" s="8" t="s">
        <v>198</v>
      </c>
      <c r="E256" s="8" t="s">
        <v>33</v>
      </c>
      <c r="F256" s="6" t="s">
        <v>39</v>
      </c>
      <c r="G256" s="10">
        <v>1</v>
      </c>
      <c r="H256" s="10">
        <v>1</v>
      </c>
      <c r="I256" s="13">
        <v>9000.0</v>
      </c>
      <c r="J256" s="13"/>
      <c r="K256" s="15">
        <f>IF(I256&gt;0, J256/I256, 0)</f>
        <v>0</v>
      </c>
      <c r="L256" s="13">
        <v>9000.0</v>
      </c>
      <c r="M256" s="13"/>
      <c r="N256" s="13">
        <f>L256-M256</f>
        <v>9000</v>
      </c>
      <c r="O256" s="8" t="s">
        <v>40</v>
      </c>
      <c r="P256" s="8" t="s">
        <v>41</v>
      </c>
      <c r="Q256" s="8" t="s">
        <v>42</v>
      </c>
      <c r="R256" s="6" t="s">
        <v>2137</v>
      </c>
      <c r="S256" s="6" t="s">
        <v>42</v>
      </c>
    </row>
    <row r="257" spans="1:19">
      <c r="A257" s="9">
        <v>250</v>
      </c>
      <c r="B257" s="9" t="s">
        <v>467</v>
      </c>
      <c r="C257" s="9" t="s">
        <v>457</v>
      </c>
      <c r="D257" s="9" t="s">
        <v>198</v>
      </c>
      <c r="E257" s="9" t="s">
        <v>33</v>
      </c>
      <c r="F257" s="7" t="s">
        <v>39</v>
      </c>
      <c r="G257" s="11">
        <v>1</v>
      </c>
      <c r="H257" s="11">
        <v>1</v>
      </c>
      <c r="I257" s="14">
        <v>5000.0</v>
      </c>
      <c r="J257" s="14"/>
      <c r="K257" s="16">
        <f>IF(I257&gt;0, J257/I257, 0)</f>
        <v>0</v>
      </c>
      <c r="L257" s="14">
        <v>5000.0</v>
      </c>
      <c r="M257" s="14"/>
      <c r="N257" s="14">
        <f>L257-M257</f>
        <v>5000</v>
      </c>
      <c r="O257" s="9" t="s">
        <v>40</v>
      </c>
      <c r="P257" s="9" t="s">
        <v>41</v>
      </c>
      <c r="Q257" s="9" t="s">
        <v>42</v>
      </c>
      <c r="R257" s="7" t="s">
        <v>2110</v>
      </c>
      <c r="S257" s="7" t="s">
        <v>42</v>
      </c>
    </row>
    <row r="258" spans="1:19">
      <c r="A258" s="8">
        <v>251</v>
      </c>
      <c r="B258" s="8" t="s">
        <v>469</v>
      </c>
      <c r="C258" s="8" t="s">
        <v>457</v>
      </c>
      <c r="D258" s="8" t="s">
        <v>198</v>
      </c>
      <c r="E258" s="8" t="s">
        <v>33</v>
      </c>
      <c r="F258" s="6" t="s">
        <v>39</v>
      </c>
      <c r="G258" s="10">
        <v>1</v>
      </c>
      <c r="H258" s="10">
        <v>1</v>
      </c>
      <c r="I258" s="13">
        <v>8000.0</v>
      </c>
      <c r="J258" s="13"/>
      <c r="K258" s="15">
        <f>IF(I258&gt;0, J258/I258, 0)</f>
        <v>0</v>
      </c>
      <c r="L258" s="13">
        <v>8000.0</v>
      </c>
      <c r="M258" s="13"/>
      <c r="N258" s="13">
        <f>L258-M258</f>
        <v>8000</v>
      </c>
      <c r="O258" s="8" t="s">
        <v>40</v>
      </c>
      <c r="P258" s="8" t="s">
        <v>41</v>
      </c>
      <c r="Q258" s="8" t="s">
        <v>42</v>
      </c>
      <c r="R258" s="6" t="s">
        <v>2091</v>
      </c>
      <c r="S258" s="6" t="s">
        <v>42</v>
      </c>
    </row>
    <row r="259" spans="1:19">
      <c r="A259" s="9">
        <v>252</v>
      </c>
      <c r="B259" s="9" t="s">
        <v>470</v>
      </c>
      <c r="C259" s="9" t="s">
        <v>457</v>
      </c>
      <c r="D259" s="9" t="s">
        <v>198</v>
      </c>
      <c r="E259" s="9" t="s">
        <v>33</v>
      </c>
      <c r="F259" s="7" t="s">
        <v>39</v>
      </c>
      <c r="G259" s="11">
        <v>1</v>
      </c>
      <c r="H259" s="11">
        <v>1</v>
      </c>
      <c r="I259" s="14">
        <v>7000.0</v>
      </c>
      <c r="J259" s="14"/>
      <c r="K259" s="16">
        <f>IF(I259&gt;0, J259/I259, 0)</f>
        <v>0</v>
      </c>
      <c r="L259" s="14">
        <v>7000.0</v>
      </c>
      <c r="M259" s="14"/>
      <c r="N259" s="14">
        <f>L259-M259</f>
        <v>7000</v>
      </c>
      <c r="O259" s="9" t="s">
        <v>40</v>
      </c>
      <c r="P259" s="9" t="s">
        <v>41</v>
      </c>
      <c r="Q259" s="9" t="s">
        <v>42</v>
      </c>
      <c r="R259" s="7" t="s">
        <v>2092</v>
      </c>
      <c r="S259" s="7" t="s">
        <v>42</v>
      </c>
    </row>
    <row r="260" spans="1:19">
      <c r="A260" s="8">
        <v>253</v>
      </c>
      <c r="B260" s="8" t="s">
        <v>471</v>
      </c>
      <c r="C260" s="8" t="s">
        <v>472</v>
      </c>
      <c r="D260" s="8" t="s">
        <v>198</v>
      </c>
      <c r="E260" s="8" t="s">
        <v>33</v>
      </c>
      <c r="F260" s="6" t="s">
        <v>39</v>
      </c>
      <c r="G260" s="10">
        <v>1</v>
      </c>
      <c r="H260" s="10">
        <v>2</v>
      </c>
      <c r="I260" s="13">
        <v>10000.0</v>
      </c>
      <c r="J260" s="13"/>
      <c r="K260" s="15">
        <f>IF(I260&gt;0, J260/I260, 0)</f>
        <v>0</v>
      </c>
      <c r="L260" s="13">
        <v>10000.0</v>
      </c>
      <c r="M260" s="13"/>
      <c r="N260" s="13">
        <f>L260-M260</f>
        <v>10000</v>
      </c>
      <c r="O260" s="8" t="s">
        <v>40</v>
      </c>
      <c r="P260" s="8" t="s">
        <v>41</v>
      </c>
      <c r="Q260" s="8" t="s">
        <v>42</v>
      </c>
      <c r="R260" s="6" t="s">
        <v>2179</v>
      </c>
      <c r="S260" s="6" t="s">
        <v>42</v>
      </c>
    </row>
    <row r="261" spans="1:19">
      <c r="A261" s="9">
        <v>254</v>
      </c>
      <c r="B261" s="9" t="s">
        <v>474</v>
      </c>
      <c r="C261" s="9" t="s">
        <v>472</v>
      </c>
      <c r="D261" s="9" t="s">
        <v>198</v>
      </c>
      <c r="E261" s="9" t="s">
        <v>33</v>
      </c>
      <c r="F261" s="7" t="s">
        <v>39</v>
      </c>
      <c r="G261" s="11">
        <v>1</v>
      </c>
      <c r="H261" s="11">
        <v>1</v>
      </c>
      <c r="I261" s="14">
        <v>18000.0</v>
      </c>
      <c r="J261" s="14"/>
      <c r="K261" s="16">
        <f>IF(I261&gt;0, J261/I261, 0)</f>
        <v>0</v>
      </c>
      <c r="L261" s="14">
        <v>18000.0</v>
      </c>
      <c r="M261" s="14"/>
      <c r="N261" s="14">
        <f>L261-M261</f>
        <v>18000</v>
      </c>
      <c r="O261" s="9" t="s">
        <v>40</v>
      </c>
      <c r="P261" s="9" t="s">
        <v>41</v>
      </c>
      <c r="Q261" s="9" t="s">
        <v>42</v>
      </c>
      <c r="R261" s="7" t="s">
        <v>2103</v>
      </c>
      <c r="S261" s="7" t="s">
        <v>42</v>
      </c>
    </row>
    <row r="262" spans="1:19">
      <c r="A262" s="8">
        <v>255</v>
      </c>
      <c r="B262" s="8" t="s">
        <v>475</v>
      </c>
      <c r="C262" s="8" t="s">
        <v>472</v>
      </c>
      <c r="D262" s="8" t="s">
        <v>198</v>
      </c>
      <c r="E262" s="8" t="s">
        <v>33</v>
      </c>
      <c r="F262" s="6" t="s">
        <v>39</v>
      </c>
      <c r="G262" s="10">
        <v>1</v>
      </c>
      <c r="H262" s="10">
        <v>1</v>
      </c>
      <c r="I262" s="13">
        <v>18000.0</v>
      </c>
      <c r="J262" s="13"/>
      <c r="K262" s="15">
        <f>IF(I262&gt;0, J262/I262, 0)</f>
        <v>0</v>
      </c>
      <c r="L262" s="13">
        <v>18000.0</v>
      </c>
      <c r="M262" s="13"/>
      <c r="N262" s="13">
        <f>L262-M262</f>
        <v>18000</v>
      </c>
      <c r="O262" s="8" t="s">
        <v>40</v>
      </c>
      <c r="P262" s="8" t="s">
        <v>41</v>
      </c>
      <c r="Q262" s="8" t="s">
        <v>42</v>
      </c>
      <c r="R262" s="6" t="s">
        <v>2180</v>
      </c>
      <c r="S262" s="6" t="s">
        <v>42</v>
      </c>
    </row>
    <row r="263" spans="1:19">
      <c r="A263" s="9">
        <v>256</v>
      </c>
      <c r="B263" s="9" t="s">
        <v>477</v>
      </c>
      <c r="C263" s="9" t="s">
        <v>472</v>
      </c>
      <c r="D263" s="9" t="s">
        <v>198</v>
      </c>
      <c r="E263" s="9" t="s">
        <v>33</v>
      </c>
      <c r="F263" s="7" t="s">
        <v>39</v>
      </c>
      <c r="G263" s="11">
        <v>1</v>
      </c>
      <c r="H263" s="11">
        <v>1</v>
      </c>
      <c r="I263" s="14">
        <v>8000.0</v>
      </c>
      <c r="J263" s="14"/>
      <c r="K263" s="16">
        <f>IF(I263&gt;0, J263/I263, 0)</f>
        <v>0</v>
      </c>
      <c r="L263" s="14">
        <v>8000.0</v>
      </c>
      <c r="M263" s="14"/>
      <c r="N263" s="14">
        <f>L263-M263</f>
        <v>8000</v>
      </c>
      <c r="O263" s="9" t="s">
        <v>40</v>
      </c>
      <c r="P263" s="9" t="s">
        <v>41</v>
      </c>
      <c r="Q263" s="9" t="s">
        <v>42</v>
      </c>
      <c r="R263" s="7" t="s">
        <v>2159</v>
      </c>
      <c r="S263" s="7" t="s">
        <v>42</v>
      </c>
    </row>
    <row r="264" spans="1:19">
      <c r="A264" s="8">
        <v>257</v>
      </c>
      <c r="B264" s="8" t="s">
        <v>478</v>
      </c>
      <c r="C264" s="8" t="s">
        <v>472</v>
      </c>
      <c r="D264" s="8" t="s">
        <v>198</v>
      </c>
      <c r="E264" s="8" t="s">
        <v>33</v>
      </c>
      <c r="F264" s="6" t="s">
        <v>39</v>
      </c>
      <c r="G264" s="10">
        <v>1</v>
      </c>
      <c r="H264" s="10">
        <v>1</v>
      </c>
      <c r="I264" s="13">
        <v>8000.0</v>
      </c>
      <c r="J264" s="13"/>
      <c r="K264" s="15">
        <f>IF(I264&gt;0, J264/I264, 0)</f>
        <v>0</v>
      </c>
      <c r="L264" s="13">
        <v>8000.0</v>
      </c>
      <c r="M264" s="13"/>
      <c r="N264" s="13">
        <f>L264-M264</f>
        <v>8000</v>
      </c>
      <c r="O264" s="8" t="s">
        <v>40</v>
      </c>
      <c r="P264" s="8" t="s">
        <v>41</v>
      </c>
      <c r="Q264" s="8" t="s">
        <v>42</v>
      </c>
      <c r="R264" s="6" t="s">
        <v>2091</v>
      </c>
      <c r="S264" s="6" t="s">
        <v>42</v>
      </c>
    </row>
    <row r="265" spans="1:19">
      <c r="A265" s="9">
        <v>258</v>
      </c>
      <c r="B265" s="9" t="s">
        <v>479</v>
      </c>
      <c r="C265" s="9" t="s">
        <v>472</v>
      </c>
      <c r="D265" s="9" t="s">
        <v>198</v>
      </c>
      <c r="E265" s="9" t="s">
        <v>33</v>
      </c>
      <c r="F265" s="7" t="s">
        <v>39</v>
      </c>
      <c r="G265" s="11">
        <v>1</v>
      </c>
      <c r="H265" s="11">
        <v>1</v>
      </c>
      <c r="I265" s="14">
        <v>18000.0</v>
      </c>
      <c r="J265" s="14"/>
      <c r="K265" s="16">
        <f>IF(I265&gt;0, J265/I265, 0)</f>
        <v>0</v>
      </c>
      <c r="L265" s="14">
        <v>18000.0</v>
      </c>
      <c r="M265" s="14"/>
      <c r="N265" s="14">
        <f>L265-M265</f>
        <v>18000</v>
      </c>
      <c r="O265" s="9" t="s">
        <v>40</v>
      </c>
      <c r="P265" s="9" t="s">
        <v>41</v>
      </c>
      <c r="Q265" s="9" t="s">
        <v>42</v>
      </c>
      <c r="R265" s="7" t="s">
        <v>2119</v>
      </c>
      <c r="S265" s="7" t="s">
        <v>42</v>
      </c>
    </row>
    <row r="266" spans="1:19">
      <c r="A266" s="8">
        <v>259</v>
      </c>
      <c r="B266" s="8" t="s">
        <v>480</v>
      </c>
      <c r="C266" s="8" t="s">
        <v>472</v>
      </c>
      <c r="D266" s="8" t="s">
        <v>198</v>
      </c>
      <c r="E266" s="8" t="s">
        <v>68</v>
      </c>
      <c r="F266" s="6" t="s">
        <v>39</v>
      </c>
      <c r="G266" s="10">
        <v>1</v>
      </c>
      <c r="H266" s="10">
        <v>1</v>
      </c>
      <c r="I266" s="13">
        <v>18000.0</v>
      </c>
      <c r="J266" s="13"/>
      <c r="K266" s="15">
        <f>IF(I266&gt;0, J266/I266, 0)</f>
        <v>0</v>
      </c>
      <c r="L266" s="13">
        <v>18000.0</v>
      </c>
      <c r="M266" s="13"/>
      <c r="N266" s="13">
        <f>L266-M266</f>
        <v>18000</v>
      </c>
      <c r="O266" s="8" t="s">
        <v>40</v>
      </c>
      <c r="P266" s="8" t="s">
        <v>71</v>
      </c>
      <c r="Q266" s="8" t="s">
        <v>42</v>
      </c>
      <c r="R266" s="6" t="s">
        <v>2080</v>
      </c>
      <c r="S266" s="6" t="s">
        <v>42</v>
      </c>
    </row>
    <row r="267" spans="1:19">
      <c r="A267" s="9">
        <v>260</v>
      </c>
      <c r="B267" s="9" t="s">
        <v>481</v>
      </c>
      <c r="C267" s="9" t="s">
        <v>472</v>
      </c>
      <c r="D267" s="9" t="s">
        <v>198</v>
      </c>
      <c r="E267" s="9" t="s">
        <v>68</v>
      </c>
      <c r="F267" s="7" t="s">
        <v>39</v>
      </c>
      <c r="G267" s="11">
        <v>1</v>
      </c>
      <c r="H267" s="11">
        <v>1</v>
      </c>
      <c r="I267" s="14">
        <v>11000.0</v>
      </c>
      <c r="J267" s="14"/>
      <c r="K267" s="16">
        <f>IF(I267&gt;0, J267/I267, 0)</f>
        <v>0</v>
      </c>
      <c r="L267" s="14">
        <v>11000.0</v>
      </c>
      <c r="M267" s="14"/>
      <c r="N267" s="14">
        <f>L267-M267</f>
        <v>11000</v>
      </c>
      <c r="O267" s="9" t="s">
        <v>40</v>
      </c>
      <c r="P267" s="9" t="s">
        <v>71</v>
      </c>
      <c r="Q267" s="9" t="s">
        <v>42</v>
      </c>
      <c r="R267" s="7" t="s">
        <v>2081</v>
      </c>
      <c r="S267" s="7" t="s">
        <v>42</v>
      </c>
    </row>
    <row r="268" spans="1:19">
      <c r="A268" s="8">
        <v>261</v>
      </c>
      <c r="B268" s="8" t="s">
        <v>482</v>
      </c>
      <c r="C268" s="8" t="s">
        <v>472</v>
      </c>
      <c r="D268" s="8" t="s">
        <v>198</v>
      </c>
      <c r="E268" s="8" t="s">
        <v>68</v>
      </c>
      <c r="F268" s="6" t="s">
        <v>39</v>
      </c>
      <c r="G268" s="10">
        <v>1</v>
      </c>
      <c r="H268" s="10">
        <v>1</v>
      </c>
      <c r="I268" s="13">
        <v>11000.0</v>
      </c>
      <c r="J268" s="13"/>
      <c r="K268" s="15">
        <f>IF(I268&gt;0, J268/I268, 0)</f>
        <v>0</v>
      </c>
      <c r="L268" s="13">
        <v>11000.0</v>
      </c>
      <c r="M268" s="13"/>
      <c r="N268" s="13">
        <f>L268-M268</f>
        <v>11000</v>
      </c>
      <c r="O268" s="8" t="s">
        <v>40</v>
      </c>
      <c r="P268" s="8" t="s">
        <v>71</v>
      </c>
      <c r="Q268" s="8" t="s">
        <v>42</v>
      </c>
      <c r="R268" s="6" t="s">
        <v>2181</v>
      </c>
      <c r="S268" s="6" t="s">
        <v>42</v>
      </c>
    </row>
    <row r="269" spans="1:19">
      <c r="A269" s="9">
        <v>262</v>
      </c>
      <c r="B269" s="9" t="s">
        <v>483</v>
      </c>
      <c r="C269" s="9" t="s">
        <v>472</v>
      </c>
      <c r="D269" s="9" t="s">
        <v>198</v>
      </c>
      <c r="E269" s="9" t="s">
        <v>33</v>
      </c>
      <c r="F269" s="7" t="s">
        <v>39</v>
      </c>
      <c r="G269" s="11">
        <v>1</v>
      </c>
      <c r="H269" s="11">
        <v>1</v>
      </c>
      <c r="I269" s="14">
        <v>8500.0</v>
      </c>
      <c r="J269" s="14"/>
      <c r="K269" s="16">
        <f>IF(I269&gt;0, J269/I269, 0)</f>
        <v>0</v>
      </c>
      <c r="L269" s="14">
        <v>8500.0</v>
      </c>
      <c r="M269" s="14"/>
      <c r="N269" s="14">
        <f>L269-M269</f>
        <v>8500</v>
      </c>
      <c r="O269" s="9" t="s">
        <v>40</v>
      </c>
      <c r="P269" s="9" t="s">
        <v>41</v>
      </c>
      <c r="Q269" s="9" t="s">
        <v>42</v>
      </c>
      <c r="R269" s="7" t="s">
        <v>2099</v>
      </c>
      <c r="S269" s="7" t="s">
        <v>42</v>
      </c>
    </row>
    <row r="270" spans="1:19">
      <c r="A270" s="8">
        <v>263</v>
      </c>
      <c r="B270" s="8" t="s">
        <v>484</v>
      </c>
      <c r="C270" s="8" t="s">
        <v>472</v>
      </c>
      <c r="D270" s="8" t="s">
        <v>198</v>
      </c>
      <c r="E270" s="8" t="s">
        <v>33</v>
      </c>
      <c r="F270" s="6" t="s">
        <v>39</v>
      </c>
      <c r="G270" s="10">
        <v>1</v>
      </c>
      <c r="H270" s="10">
        <v>2</v>
      </c>
      <c r="I270" s="13">
        <v>16000.0</v>
      </c>
      <c r="J270" s="13"/>
      <c r="K270" s="15">
        <f>IF(I270&gt;0, J270/I270, 0)</f>
        <v>0</v>
      </c>
      <c r="L270" s="13">
        <v>16000.0</v>
      </c>
      <c r="M270" s="13"/>
      <c r="N270" s="13">
        <f>L270-M270</f>
        <v>16000</v>
      </c>
      <c r="O270" s="8" t="s">
        <v>40</v>
      </c>
      <c r="P270" s="8" t="s">
        <v>41</v>
      </c>
      <c r="Q270" s="8" t="s">
        <v>42</v>
      </c>
      <c r="R270" s="6" t="s">
        <v>2145</v>
      </c>
      <c r="S270" s="6" t="s">
        <v>42</v>
      </c>
    </row>
    <row r="271" spans="1:19">
      <c r="A271" s="9">
        <v>264</v>
      </c>
      <c r="B271" s="9" t="s">
        <v>485</v>
      </c>
      <c r="C271" s="9" t="s">
        <v>472</v>
      </c>
      <c r="D271" s="9" t="s">
        <v>198</v>
      </c>
      <c r="E271" s="9" t="s">
        <v>33</v>
      </c>
      <c r="F271" s="7" t="s">
        <v>39</v>
      </c>
      <c r="G271" s="11">
        <v>1</v>
      </c>
      <c r="H271" s="11">
        <v>1</v>
      </c>
      <c r="I271" s="14">
        <v>7000.0</v>
      </c>
      <c r="J271" s="14"/>
      <c r="K271" s="16">
        <f>IF(I271&gt;0, J271/I271, 0)</f>
        <v>0</v>
      </c>
      <c r="L271" s="14">
        <v>7000.0</v>
      </c>
      <c r="M271" s="14"/>
      <c r="N271" s="14">
        <f>L271-M271</f>
        <v>7000</v>
      </c>
      <c r="O271" s="9" t="s">
        <v>40</v>
      </c>
      <c r="P271" s="9" t="s">
        <v>41</v>
      </c>
      <c r="Q271" s="9" t="s">
        <v>42</v>
      </c>
      <c r="R271" s="7" t="s">
        <v>2142</v>
      </c>
      <c r="S271" s="7" t="s">
        <v>42</v>
      </c>
    </row>
    <row r="272" spans="1:19">
      <c r="A272" s="8">
        <v>265</v>
      </c>
      <c r="B272" s="8" t="s">
        <v>486</v>
      </c>
      <c r="C272" s="8" t="s">
        <v>487</v>
      </c>
      <c r="D272" s="8" t="s">
        <v>198</v>
      </c>
      <c r="E272" s="8" t="s">
        <v>68</v>
      </c>
      <c r="F272" s="6" t="s">
        <v>39</v>
      </c>
      <c r="G272" s="10">
        <v>1</v>
      </c>
      <c r="H272" s="10">
        <v>1</v>
      </c>
      <c r="I272" s="13">
        <v>11000.0</v>
      </c>
      <c r="J272" s="13"/>
      <c r="K272" s="15">
        <f>IF(I272&gt;0, J272/I272, 0)</f>
        <v>0</v>
      </c>
      <c r="L272" s="13">
        <v>11000.0</v>
      </c>
      <c r="M272" s="13"/>
      <c r="N272" s="13">
        <f>L272-M272</f>
        <v>11000</v>
      </c>
      <c r="O272" s="8" t="s">
        <v>40</v>
      </c>
      <c r="P272" s="8" t="s">
        <v>71</v>
      </c>
      <c r="Q272" s="8" t="s">
        <v>42</v>
      </c>
      <c r="R272" s="6" t="s">
        <v>2081</v>
      </c>
      <c r="S272" s="6" t="s">
        <v>42</v>
      </c>
    </row>
    <row r="273" spans="1:19">
      <c r="A273" s="9">
        <v>266</v>
      </c>
      <c r="B273" s="9" t="s">
        <v>488</v>
      </c>
      <c r="C273" s="9" t="s">
        <v>487</v>
      </c>
      <c r="D273" s="9" t="s">
        <v>198</v>
      </c>
      <c r="E273" s="9" t="s">
        <v>33</v>
      </c>
      <c r="F273" s="7" t="s">
        <v>39</v>
      </c>
      <c r="G273" s="11">
        <v>1</v>
      </c>
      <c r="H273" s="11">
        <v>1</v>
      </c>
      <c r="I273" s="14">
        <v>7500.0</v>
      </c>
      <c r="J273" s="14"/>
      <c r="K273" s="16">
        <f>IF(I273&gt;0, J273/I273, 0)</f>
        <v>0</v>
      </c>
      <c r="L273" s="14">
        <v>7500.0</v>
      </c>
      <c r="M273" s="14"/>
      <c r="N273" s="14">
        <f>L273-M273</f>
        <v>7500</v>
      </c>
      <c r="O273" s="9" t="s">
        <v>40</v>
      </c>
      <c r="P273" s="9" t="s">
        <v>41</v>
      </c>
      <c r="Q273" s="9" t="s">
        <v>42</v>
      </c>
      <c r="R273" s="7" t="s">
        <v>2077</v>
      </c>
      <c r="S273" s="7" t="s">
        <v>42</v>
      </c>
    </row>
    <row r="274" spans="1:19">
      <c r="A274" s="8">
        <v>267</v>
      </c>
      <c r="B274" s="8" t="s">
        <v>489</v>
      </c>
      <c r="C274" s="8" t="s">
        <v>487</v>
      </c>
      <c r="D274" s="8" t="s">
        <v>198</v>
      </c>
      <c r="E274" s="8" t="s">
        <v>33</v>
      </c>
      <c r="F274" s="6" t="s">
        <v>39</v>
      </c>
      <c r="G274" s="10">
        <v>1</v>
      </c>
      <c r="H274" s="10">
        <v>1</v>
      </c>
      <c r="I274" s="13">
        <v>8500.0</v>
      </c>
      <c r="J274" s="13"/>
      <c r="K274" s="15">
        <f>IF(I274&gt;0, J274/I274, 0)</f>
        <v>0</v>
      </c>
      <c r="L274" s="13">
        <v>8500.0</v>
      </c>
      <c r="M274" s="13"/>
      <c r="N274" s="13">
        <f>L274-M274</f>
        <v>8500</v>
      </c>
      <c r="O274" s="8" t="s">
        <v>40</v>
      </c>
      <c r="P274" s="8" t="s">
        <v>41</v>
      </c>
      <c r="Q274" s="8" t="s">
        <v>42</v>
      </c>
      <c r="R274" s="6" t="s">
        <v>2078</v>
      </c>
      <c r="S274" s="6" t="s">
        <v>42</v>
      </c>
    </row>
    <row r="275" spans="1:19">
      <c r="A275" s="9">
        <v>268</v>
      </c>
      <c r="B275" s="9" t="s">
        <v>490</v>
      </c>
      <c r="C275" s="9" t="s">
        <v>487</v>
      </c>
      <c r="D275" s="9" t="s">
        <v>198</v>
      </c>
      <c r="E275" s="9" t="s">
        <v>33</v>
      </c>
      <c r="F275" s="7" t="s">
        <v>39</v>
      </c>
      <c r="G275" s="11">
        <v>1</v>
      </c>
      <c r="H275" s="11">
        <v>1</v>
      </c>
      <c r="I275" s="14">
        <v>8000.0</v>
      </c>
      <c r="J275" s="14"/>
      <c r="K275" s="16">
        <f>IF(I275&gt;0, J275/I275, 0)</f>
        <v>0</v>
      </c>
      <c r="L275" s="14">
        <v>8000.0</v>
      </c>
      <c r="M275" s="14"/>
      <c r="N275" s="14">
        <f>L275-M275</f>
        <v>8000</v>
      </c>
      <c r="O275" s="9" t="s">
        <v>40</v>
      </c>
      <c r="P275" s="9" t="s">
        <v>41</v>
      </c>
      <c r="Q275" s="9" t="s">
        <v>42</v>
      </c>
      <c r="R275" s="7" t="s">
        <v>2082</v>
      </c>
      <c r="S275" s="7" t="s">
        <v>42</v>
      </c>
    </row>
    <row r="276" spans="1:19">
      <c r="A276" s="8">
        <v>269</v>
      </c>
      <c r="B276" s="8" t="s">
        <v>491</v>
      </c>
      <c r="C276" s="8" t="s">
        <v>487</v>
      </c>
      <c r="D276" s="8" t="s">
        <v>198</v>
      </c>
      <c r="E276" s="8" t="s">
        <v>33</v>
      </c>
      <c r="F276" s="6" t="s">
        <v>39</v>
      </c>
      <c r="G276" s="10">
        <v>1</v>
      </c>
      <c r="H276" s="10">
        <v>1</v>
      </c>
      <c r="I276" s="13">
        <v>18000.0</v>
      </c>
      <c r="J276" s="13"/>
      <c r="K276" s="15">
        <f>IF(I276&gt;0, J276/I276, 0)</f>
        <v>0</v>
      </c>
      <c r="L276" s="13">
        <v>18000.0</v>
      </c>
      <c r="M276" s="13"/>
      <c r="N276" s="13">
        <f>L276-M276</f>
        <v>18000</v>
      </c>
      <c r="O276" s="8" t="s">
        <v>40</v>
      </c>
      <c r="P276" s="8" t="s">
        <v>41</v>
      </c>
      <c r="Q276" s="8" t="s">
        <v>42</v>
      </c>
      <c r="R276" s="6" t="s">
        <v>2127</v>
      </c>
      <c r="S276" s="6" t="s">
        <v>42</v>
      </c>
    </row>
    <row r="277" spans="1:19">
      <c r="A277" s="9">
        <v>270</v>
      </c>
      <c r="B277" s="9" t="s">
        <v>493</v>
      </c>
      <c r="C277" s="9" t="s">
        <v>487</v>
      </c>
      <c r="D277" s="9" t="s">
        <v>198</v>
      </c>
      <c r="E277" s="9" t="s">
        <v>33</v>
      </c>
      <c r="F277" s="7" t="s">
        <v>39</v>
      </c>
      <c r="G277" s="11">
        <v>1</v>
      </c>
      <c r="H277" s="11">
        <v>1</v>
      </c>
      <c r="I277" s="14">
        <v>16500.0</v>
      </c>
      <c r="J277" s="14"/>
      <c r="K277" s="16">
        <f>IF(I277&gt;0, J277/I277, 0)</f>
        <v>0</v>
      </c>
      <c r="L277" s="14">
        <v>16500.0</v>
      </c>
      <c r="M277" s="14"/>
      <c r="N277" s="14">
        <f>L277-M277</f>
        <v>16500</v>
      </c>
      <c r="O277" s="9" t="s">
        <v>40</v>
      </c>
      <c r="P277" s="9" t="s">
        <v>41</v>
      </c>
      <c r="Q277" s="9" t="s">
        <v>42</v>
      </c>
      <c r="R277" s="7" t="s">
        <v>2093</v>
      </c>
      <c r="S277" s="7" t="s">
        <v>42</v>
      </c>
    </row>
    <row r="278" spans="1:19">
      <c r="A278" s="8">
        <v>271</v>
      </c>
      <c r="B278" s="8" t="s">
        <v>494</v>
      </c>
      <c r="C278" s="8" t="s">
        <v>487</v>
      </c>
      <c r="D278" s="8" t="s">
        <v>198</v>
      </c>
      <c r="E278" s="8" t="s">
        <v>33</v>
      </c>
      <c r="F278" s="6" t="s">
        <v>39</v>
      </c>
      <c r="G278" s="10">
        <v>1</v>
      </c>
      <c r="H278" s="10">
        <v>1</v>
      </c>
      <c r="I278" s="13">
        <v>8500.0</v>
      </c>
      <c r="J278" s="13"/>
      <c r="K278" s="15">
        <f>IF(I278&gt;0, J278/I278, 0)</f>
        <v>0</v>
      </c>
      <c r="L278" s="13">
        <v>8500.0</v>
      </c>
      <c r="M278" s="13"/>
      <c r="N278" s="13">
        <f>L278-M278</f>
        <v>8500</v>
      </c>
      <c r="O278" s="8" t="s">
        <v>40</v>
      </c>
      <c r="P278" s="8" t="s">
        <v>41</v>
      </c>
      <c r="Q278" s="8" t="s">
        <v>42</v>
      </c>
      <c r="R278" s="6" t="s">
        <v>2078</v>
      </c>
      <c r="S278" s="6" t="s">
        <v>42</v>
      </c>
    </row>
    <row r="279" spans="1:19">
      <c r="A279" s="9">
        <v>272</v>
      </c>
      <c r="B279" s="9" t="s">
        <v>495</v>
      </c>
      <c r="C279" s="9" t="s">
        <v>496</v>
      </c>
      <c r="D279" s="9" t="s">
        <v>198</v>
      </c>
      <c r="E279" s="9" t="s">
        <v>68</v>
      </c>
      <c r="F279" s="7" t="s">
        <v>39</v>
      </c>
      <c r="G279" s="11">
        <v>1</v>
      </c>
      <c r="H279" s="11">
        <v>1</v>
      </c>
      <c r="I279" s="14">
        <v>10000.0</v>
      </c>
      <c r="J279" s="14"/>
      <c r="K279" s="16">
        <f>IF(I279&gt;0, J279/I279, 0)</f>
        <v>0</v>
      </c>
      <c r="L279" s="14">
        <v>10000.0</v>
      </c>
      <c r="M279" s="14"/>
      <c r="N279" s="14">
        <f>L279-M279</f>
        <v>10000</v>
      </c>
      <c r="O279" s="9" t="s">
        <v>40</v>
      </c>
      <c r="P279" s="9" t="s">
        <v>71</v>
      </c>
      <c r="Q279" s="9" t="s">
        <v>42</v>
      </c>
      <c r="R279" s="7" t="s">
        <v>2113</v>
      </c>
      <c r="S279" s="7" t="s">
        <v>42</v>
      </c>
    </row>
    <row r="280" spans="1:19">
      <c r="A280" s="8">
        <v>273</v>
      </c>
      <c r="B280" s="8" t="s">
        <v>497</v>
      </c>
      <c r="C280" s="8" t="s">
        <v>496</v>
      </c>
      <c r="D280" s="8" t="s">
        <v>198</v>
      </c>
      <c r="E280" s="8" t="s">
        <v>33</v>
      </c>
      <c r="F280" s="6" t="s">
        <v>39</v>
      </c>
      <c r="G280" s="10">
        <v>1</v>
      </c>
      <c r="H280" s="10">
        <v>1</v>
      </c>
      <c r="I280" s="13">
        <v>7000.0</v>
      </c>
      <c r="J280" s="13"/>
      <c r="K280" s="15">
        <f>IF(I280&gt;0, J280/I280, 0)</f>
        <v>0</v>
      </c>
      <c r="L280" s="13">
        <v>7000.0</v>
      </c>
      <c r="M280" s="13"/>
      <c r="N280" s="13">
        <f>L280-M280</f>
        <v>7000</v>
      </c>
      <c r="O280" s="8" t="s">
        <v>40</v>
      </c>
      <c r="P280" s="8" t="s">
        <v>41</v>
      </c>
      <c r="Q280" s="8" t="s">
        <v>42</v>
      </c>
      <c r="R280" s="6" t="s">
        <v>2107</v>
      </c>
      <c r="S280" s="6" t="s">
        <v>42</v>
      </c>
    </row>
    <row r="281" spans="1:19">
      <c r="A281" s="9">
        <v>274</v>
      </c>
      <c r="B281" s="9" t="s">
        <v>498</v>
      </c>
      <c r="C281" s="9" t="s">
        <v>496</v>
      </c>
      <c r="D281" s="9" t="s">
        <v>198</v>
      </c>
      <c r="E281" s="9" t="s">
        <v>33</v>
      </c>
      <c r="F281" s="7" t="s">
        <v>39</v>
      </c>
      <c r="G281" s="11">
        <v>1</v>
      </c>
      <c r="H281" s="11">
        <v>1</v>
      </c>
      <c r="I281" s="14">
        <v>7000.0</v>
      </c>
      <c r="J281" s="14"/>
      <c r="K281" s="16">
        <f>IF(I281&gt;0, J281/I281, 0)</f>
        <v>0</v>
      </c>
      <c r="L281" s="14">
        <v>7000.0</v>
      </c>
      <c r="M281" s="14"/>
      <c r="N281" s="14">
        <f>L281-M281</f>
        <v>7000</v>
      </c>
      <c r="O281" s="9" t="s">
        <v>40</v>
      </c>
      <c r="P281" s="9" t="s">
        <v>41</v>
      </c>
      <c r="Q281" s="9" t="s">
        <v>42</v>
      </c>
      <c r="R281" s="7" t="s">
        <v>2142</v>
      </c>
      <c r="S281" s="7" t="s">
        <v>42</v>
      </c>
    </row>
    <row r="282" spans="1:19">
      <c r="A282" s="8">
        <v>275</v>
      </c>
      <c r="B282" s="8" t="s">
        <v>499</v>
      </c>
      <c r="C282" s="8" t="s">
        <v>496</v>
      </c>
      <c r="D282" s="8" t="s">
        <v>198</v>
      </c>
      <c r="E282" s="8" t="s">
        <v>33</v>
      </c>
      <c r="F282" s="6" t="s">
        <v>39</v>
      </c>
      <c r="G282" s="10">
        <v>1</v>
      </c>
      <c r="H282" s="10">
        <v>1</v>
      </c>
      <c r="I282" s="13">
        <v>8000.0</v>
      </c>
      <c r="J282" s="13"/>
      <c r="K282" s="15">
        <f>IF(I282&gt;0, J282/I282, 0)</f>
        <v>0</v>
      </c>
      <c r="L282" s="13">
        <v>8000.0</v>
      </c>
      <c r="M282" s="13"/>
      <c r="N282" s="13">
        <f>L282-M282</f>
        <v>8000</v>
      </c>
      <c r="O282" s="8" t="s">
        <v>40</v>
      </c>
      <c r="P282" s="8" t="s">
        <v>41</v>
      </c>
      <c r="Q282" s="8" t="s">
        <v>42</v>
      </c>
      <c r="R282" s="6" t="s">
        <v>2152</v>
      </c>
      <c r="S282" s="6" t="s">
        <v>42</v>
      </c>
    </row>
    <row r="283" spans="1:19">
      <c r="A283" s="9">
        <v>276</v>
      </c>
      <c r="B283" s="9" t="s">
        <v>500</v>
      </c>
      <c r="C283" s="9" t="s">
        <v>496</v>
      </c>
      <c r="D283" s="9" t="s">
        <v>198</v>
      </c>
      <c r="E283" s="9" t="s">
        <v>33</v>
      </c>
      <c r="F283" s="7" t="s">
        <v>39</v>
      </c>
      <c r="G283" s="11">
        <v>1</v>
      </c>
      <c r="H283" s="11">
        <v>1</v>
      </c>
      <c r="I283" s="14">
        <v>7000.0</v>
      </c>
      <c r="J283" s="14"/>
      <c r="K283" s="16">
        <f>IF(I283&gt;0, J283/I283, 0)</f>
        <v>0</v>
      </c>
      <c r="L283" s="14">
        <v>7000.0</v>
      </c>
      <c r="M283" s="14"/>
      <c r="N283" s="14">
        <f>L283-M283</f>
        <v>7000</v>
      </c>
      <c r="O283" s="9" t="s">
        <v>40</v>
      </c>
      <c r="P283" s="9" t="s">
        <v>41</v>
      </c>
      <c r="Q283" s="9" t="s">
        <v>42</v>
      </c>
      <c r="R283" s="7" t="s">
        <v>2107</v>
      </c>
      <c r="S283" s="7" t="s">
        <v>42</v>
      </c>
    </row>
    <row r="284" spans="1:19">
      <c r="A284" s="8">
        <v>277</v>
      </c>
      <c r="B284" s="8" t="s">
        <v>501</v>
      </c>
      <c r="C284" s="8" t="s">
        <v>496</v>
      </c>
      <c r="D284" s="8" t="s">
        <v>198</v>
      </c>
      <c r="E284" s="8" t="s">
        <v>33</v>
      </c>
      <c r="F284" s="6" t="s">
        <v>39</v>
      </c>
      <c r="G284" s="10">
        <v>1</v>
      </c>
      <c r="H284" s="10">
        <v>1</v>
      </c>
      <c r="I284" s="13">
        <v>7500.0</v>
      </c>
      <c r="J284" s="13"/>
      <c r="K284" s="15">
        <f>IF(I284&gt;0, J284/I284, 0)</f>
        <v>0</v>
      </c>
      <c r="L284" s="13">
        <v>7500.0</v>
      </c>
      <c r="M284" s="13"/>
      <c r="N284" s="13">
        <f>L284-M284</f>
        <v>7500</v>
      </c>
      <c r="O284" s="8" t="s">
        <v>40</v>
      </c>
      <c r="P284" s="8" t="s">
        <v>41</v>
      </c>
      <c r="Q284" s="8" t="s">
        <v>42</v>
      </c>
      <c r="R284" s="6" t="s">
        <v>2077</v>
      </c>
      <c r="S284" s="6" t="s">
        <v>42</v>
      </c>
    </row>
    <row r="285" spans="1:19">
      <c r="A285" s="9">
        <v>278</v>
      </c>
      <c r="B285" s="9" t="s">
        <v>502</v>
      </c>
      <c r="C285" s="9" t="s">
        <v>496</v>
      </c>
      <c r="D285" s="9" t="s">
        <v>198</v>
      </c>
      <c r="E285" s="9" t="s">
        <v>33</v>
      </c>
      <c r="F285" s="7" t="s">
        <v>39</v>
      </c>
      <c r="G285" s="11">
        <v>1</v>
      </c>
      <c r="H285" s="11">
        <v>1</v>
      </c>
      <c r="I285" s="14">
        <v>8500.0</v>
      </c>
      <c r="J285" s="14"/>
      <c r="K285" s="16">
        <f>IF(I285&gt;0, J285/I285, 0)</f>
        <v>0</v>
      </c>
      <c r="L285" s="14">
        <v>8500.0</v>
      </c>
      <c r="M285" s="14"/>
      <c r="N285" s="14">
        <f>L285-M285</f>
        <v>8500</v>
      </c>
      <c r="O285" s="9" t="s">
        <v>40</v>
      </c>
      <c r="P285" s="9" t="s">
        <v>41</v>
      </c>
      <c r="Q285" s="9" t="s">
        <v>42</v>
      </c>
      <c r="R285" s="7" t="s">
        <v>2171</v>
      </c>
      <c r="S285" s="7" t="s">
        <v>42</v>
      </c>
    </row>
    <row r="286" spans="1:19">
      <c r="A286" s="8">
        <v>279</v>
      </c>
      <c r="B286" s="8" t="s">
        <v>503</v>
      </c>
      <c r="C286" s="8" t="s">
        <v>496</v>
      </c>
      <c r="D286" s="8" t="s">
        <v>198</v>
      </c>
      <c r="E286" s="8" t="s">
        <v>33</v>
      </c>
      <c r="F286" s="6" t="s">
        <v>39</v>
      </c>
      <c r="G286" s="10">
        <v>1</v>
      </c>
      <c r="H286" s="10">
        <v>1</v>
      </c>
      <c r="I286" s="13">
        <v>18000.0</v>
      </c>
      <c r="J286" s="13"/>
      <c r="K286" s="15">
        <f>IF(I286&gt;0, J286/I286, 0)</f>
        <v>0</v>
      </c>
      <c r="L286" s="13">
        <v>18000.0</v>
      </c>
      <c r="M286" s="13"/>
      <c r="N286" s="13">
        <f>L286-M286</f>
        <v>18000</v>
      </c>
      <c r="O286" s="8" t="s">
        <v>40</v>
      </c>
      <c r="P286" s="8" t="s">
        <v>41</v>
      </c>
      <c r="Q286" s="8" t="s">
        <v>42</v>
      </c>
      <c r="R286" s="6" t="s">
        <v>2174</v>
      </c>
      <c r="S286" s="6" t="s">
        <v>42</v>
      </c>
    </row>
    <row r="287" spans="1:19">
      <c r="A287" s="9">
        <v>280</v>
      </c>
      <c r="B287" s="9" t="s">
        <v>504</v>
      </c>
      <c r="C287" s="9" t="s">
        <v>496</v>
      </c>
      <c r="D287" s="9" t="s">
        <v>198</v>
      </c>
      <c r="E287" s="9" t="s">
        <v>33</v>
      </c>
      <c r="F287" s="7" t="s">
        <v>39</v>
      </c>
      <c r="G287" s="11">
        <v>1</v>
      </c>
      <c r="H287" s="11">
        <v>1</v>
      </c>
      <c r="I287" s="14">
        <v>16500.0</v>
      </c>
      <c r="J287" s="14"/>
      <c r="K287" s="16">
        <f>IF(I287&gt;0, J287/I287, 0)</f>
        <v>0</v>
      </c>
      <c r="L287" s="14">
        <v>16500.0</v>
      </c>
      <c r="M287" s="14"/>
      <c r="N287" s="14">
        <f>L287-M287</f>
        <v>16500</v>
      </c>
      <c r="O287" s="9" t="s">
        <v>40</v>
      </c>
      <c r="P287" s="9" t="s">
        <v>41</v>
      </c>
      <c r="Q287" s="9" t="s">
        <v>42</v>
      </c>
      <c r="R287" s="7" t="s">
        <v>2118</v>
      </c>
      <c r="S287" s="7" t="s">
        <v>42</v>
      </c>
    </row>
    <row r="288" spans="1:19">
      <c r="A288" s="8">
        <v>281</v>
      </c>
      <c r="B288" s="8" t="s">
        <v>505</v>
      </c>
      <c r="C288" s="8" t="s">
        <v>496</v>
      </c>
      <c r="D288" s="8" t="s">
        <v>198</v>
      </c>
      <c r="E288" s="8" t="s">
        <v>33</v>
      </c>
      <c r="F288" s="6" t="s">
        <v>39</v>
      </c>
      <c r="G288" s="10">
        <v>1</v>
      </c>
      <c r="H288" s="10">
        <v>2</v>
      </c>
      <c r="I288" s="13">
        <v>19000.0</v>
      </c>
      <c r="J288" s="13"/>
      <c r="K288" s="15">
        <f>IF(I288&gt;0, J288/I288, 0)</f>
        <v>0</v>
      </c>
      <c r="L288" s="13">
        <v>19000.0</v>
      </c>
      <c r="M288" s="13"/>
      <c r="N288" s="13">
        <f>L288-M288</f>
        <v>19000</v>
      </c>
      <c r="O288" s="8" t="s">
        <v>40</v>
      </c>
      <c r="P288" s="8" t="s">
        <v>41</v>
      </c>
      <c r="Q288" s="8" t="s">
        <v>42</v>
      </c>
      <c r="R288" s="6" t="s">
        <v>2182</v>
      </c>
      <c r="S288" s="6" t="s">
        <v>42</v>
      </c>
    </row>
    <row r="289" spans="1:19">
      <c r="A289" s="9">
        <v>282</v>
      </c>
      <c r="B289" s="9" t="s">
        <v>506</v>
      </c>
      <c r="C289" s="9" t="s">
        <v>496</v>
      </c>
      <c r="D289" s="9" t="s">
        <v>198</v>
      </c>
      <c r="E289" s="9" t="s">
        <v>33</v>
      </c>
      <c r="F289" s="7" t="s">
        <v>39</v>
      </c>
      <c r="G289" s="11">
        <v>1</v>
      </c>
      <c r="H289" s="11">
        <v>2</v>
      </c>
      <c r="I289" s="14">
        <v>18000.0</v>
      </c>
      <c r="J289" s="14"/>
      <c r="K289" s="16">
        <f>IF(I289&gt;0, J289/I289, 0)</f>
        <v>0</v>
      </c>
      <c r="L289" s="14">
        <v>18000.0</v>
      </c>
      <c r="M289" s="14"/>
      <c r="N289" s="14">
        <f>L289-M289</f>
        <v>18000</v>
      </c>
      <c r="O289" s="9" t="s">
        <v>40</v>
      </c>
      <c r="P289" s="9" t="s">
        <v>41</v>
      </c>
      <c r="Q289" s="9" t="s">
        <v>42</v>
      </c>
      <c r="R289" s="7" t="s">
        <v>2183</v>
      </c>
      <c r="S289" s="7" t="s">
        <v>42</v>
      </c>
    </row>
    <row r="290" spans="1:19">
      <c r="A290" s="8">
        <v>283</v>
      </c>
      <c r="B290" s="8" t="s">
        <v>507</v>
      </c>
      <c r="C290" s="8" t="s">
        <v>496</v>
      </c>
      <c r="D290" s="8" t="s">
        <v>198</v>
      </c>
      <c r="E290" s="8" t="s">
        <v>33</v>
      </c>
      <c r="F290" s="6" t="s">
        <v>39</v>
      </c>
      <c r="G290" s="10">
        <v>1</v>
      </c>
      <c r="H290" s="10">
        <v>2</v>
      </c>
      <c r="I290" s="13">
        <v>16000.0</v>
      </c>
      <c r="J290" s="13"/>
      <c r="K290" s="15">
        <f>IF(I290&gt;0, J290/I290, 0)</f>
        <v>0</v>
      </c>
      <c r="L290" s="13">
        <v>16000.0</v>
      </c>
      <c r="M290" s="13"/>
      <c r="N290" s="13">
        <f>L290-M290</f>
        <v>16000</v>
      </c>
      <c r="O290" s="8" t="s">
        <v>40</v>
      </c>
      <c r="P290" s="8" t="s">
        <v>41</v>
      </c>
      <c r="Q290" s="8" t="s">
        <v>42</v>
      </c>
      <c r="R290" s="6" t="s">
        <v>2184</v>
      </c>
      <c r="S290" s="6" t="s">
        <v>42</v>
      </c>
    </row>
    <row r="291" spans="1:19">
      <c r="A291" s="9">
        <v>284</v>
      </c>
      <c r="B291" s="9" t="s">
        <v>508</v>
      </c>
      <c r="C291" s="9" t="s">
        <v>509</v>
      </c>
      <c r="D291" s="9" t="s">
        <v>198</v>
      </c>
      <c r="E291" s="9" t="s">
        <v>33</v>
      </c>
      <c r="F291" s="7" t="s">
        <v>39</v>
      </c>
      <c r="G291" s="11">
        <v>1</v>
      </c>
      <c r="H291" s="11">
        <v>1</v>
      </c>
      <c r="I291" s="14">
        <v>9500.0</v>
      </c>
      <c r="J291" s="14"/>
      <c r="K291" s="16">
        <f>IF(I291&gt;0, J291/I291, 0)</f>
        <v>0</v>
      </c>
      <c r="L291" s="14">
        <v>9500.0</v>
      </c>
      <c r="M291" s="14"/>
      <c r="N291" s="14">
        <f>L291-M291</f>
        <v>9500</v>
      </c>
      <c r="O291" s="9" t="s">
        <v>40</v>
      </c>
      <c r="P291" s="9" t="s">
        <v>41</v>
      </c>
      <c r="Q291" s="9" t="s">
        <v>42</v>
      </c>
      <c r="R291" s="7" t="s">
        <v>2135</v>
      </c>
      <c r="S291" s="7" t="s">
        <v>42</v>
      </c>
    </row>
    <row r="292" spans="1:19">
      <c r="A292" s="8">
        <v>285</v>
      </c>
      <c r="B292" s="8" t="s">
        <v>510</v>
      </c>
      <c r="C292" s="8" t="s">
        <v>509</v>
      </c>
      <c r="D292" s="8" t="s">
        <v>198</v>
      </c>
      <c r="E292" s="8" t="s">
        <v>33</v>
      </c>
      <c r="F292" s="6" t="s">
        <v>39</v>
      </c>
      <c r="G292" s="10">
        <v>1</v>
      </c>
      <c r="H292" s="10">
        <v>2</v>
      </c>
      <c r="I292" s="13">
        <v>16000.0</v>
      </c>
      <c r="J292" s="13"/>
      <c r="K292" s="15">
        <f>IF(I292&gt;0, J292/I292, 0)</f>
        <v>0</v>
      </c>
      <c r="L292" s="13">
        <v>16000.0</v>
      </c>
      <c r="M292" s="13"/>
      <c r="N292" s="13">
        <f>L292-M292</f>
        <v>16000</v>
      </c>
      <c r="O292" s="8" t="s">
        <v>40</v>
      </c>
      <c r="P292" s="8" t="s">
        <v>41</v>
      </c>
      <c r="Q292" s="8" t="s">
        <v>42</v>
      </c>
      <c r="R292" s="6" t="s">
        <v>2184</v>
      </c>
      <c r="S292" s="6" t="s">
        <v>42</v>
      </c>
    </row>
    <row r="293" spans="1:19">
      <c r="A293" s="9">
        <v>286</v>
      </c>
      <c r="B293" s="9" t="s">
        <v>511</v>
      </c>
      <c r="C293" s="9" t="s">
        <v>509</v>
      </c>
      <c r="D293" s="9" t="s">
        <v>198</v>
      </c>
      <c r="E293" s="9" t="s">
        <v>33</v>
      </c>
      <c r="F293" s="7" t="s">
        <v>39</v>
      </c>
      <c r="G293" s="11">
        <v>1</v>
      </c>
      <c r="H293" s="11">
        <v>1</v>
      </c>
      <c r="I293" s="14">
        <v>18000.0</v>
      </c>
      <c r="J293" s="14"/>
      <c r="K293" s="16">
        <f>IF(I293&gt;0, J293/I293, 0)</f>
        <v>0</v>
      </c>
      <c r="L293" s="14">
        <v>18000.0</v>
      </c>
      <c r="M293" s="14"/>
      <c r="N293" s="14">
        <f>L293-M293</f>
        <v>18000</v>
      </c>
      <c r="O293" s="9" t="s">
        <v>40</v>
      </c>
      <c r="P293" s="9" t="s">
        <v>41</v>
      </c>
      <c r="Q293" s="9" t="s">
        <v>42</v>
      </c>
      <c r="R293" s="7" t="s">
        <v>2185</v>
      </c>
      <c r="S293" s="7" t="s">
        <v>42</v>
      </c>
    </row>
    <row r="294" spans="1:19">
      <c r="A294" s="8">
        <v>287</v>
      </c>
      <c r="B294" s="8" t="s">
        <v>513</v>
      </c>
      <c r="C294" s="8" t="s">
        <v>509</v>
      </c>
      <c r="D294" s="8" t="s">
        <v>198</v>
      </c>
      <c r="E294" s="8" t="s">
        <v>33</v>
      </c>
      <c r="F294" s="6" t="s">
        <v>39</v>
      </c>
      <c r="G294" s="10">
        <v>1</v>
      </c>
      <c r="H294" s="10">
        <v>2</v>
      </c>
      <c r="I294" s="13">
        <v>18000.0</v>
      </c>
      <c r="J294" s="13"/>
      <c r="K294" s="15">
        <f>IF(I294&gt;0, J294/I294, 0)</f>
        <v>0</v>
      </c>
      <c r="L294" s="13">
        <v>18000.0</v>
      </c>
      <c r="M294" s="13"/>
      <c r="N294" s="13">
        <f>L294-M294</f>
        <v>18000</v>
      </c>
      <c r="O294" s="8" t="s">
        <v>40</v>
      </c>
      <c r="P294" s="8" t="s">
        <v>41</v>
      </c>
      <c r="Q294" s="8" t="s">
        <v>42</v>
      </c>
      <c r="R294" s="6" t="s">
        <v>2186</v>
      </c>
      <c r="S294" s="6" t="s">
        <v>42</v>
      </c>
    </row>
    <row r="295" spans="1:19">
      <c r="A295" s="9">
        <v>288</v>
      </c>
      <c r="B295" s="9" t="s">
        <v>514</v>
      </c>
      <c r="C295" s="9" t="s">
        <v>515</v>
      </c>
      <c r="D295" s="9" t="s">
        <v>198</v>
      </c>
      <c r="E295" s="9" t="s">
        <v>33</v>
      </c>
      <c r="F295" s="7" t="s">
        <v>39</v>
      </c>
      <c r="G295" s="11">
        <v>1</v>
      </c>
      <c r="H295" s="11">
        <v>1</v>
      </c>
      <c r="I295" s="14">
        <v>8000.0</v>
      </c>
      <c r="J295" s="14"/>
      <c r="K295" s="16">
        <f>IF(I295&gt;0, J295/I295, 0)</f>
        <v>0</v>
      </c>
      <c r="L295" s="14">
        <v>8000.0</v>
      </c>
      <c r="M295" s="14"/>
      <c r="N295" s="14">
        <f>L295-M295</f>
        <v>8000</v>
      </c>
      <c r="O295" s="9" t="s">
        <v>40</v>
      </c>
      <c r="P295" s="9" t="s">
        <v>41</v>
      </c>
      <c r="Q295" s="9" t="s">
        <v>42</v>
      </c>
      <c r="R295" s="7" t="s">
        <v>2116</v>
      </c>
      <c r="S295" s="7" t="s">
        <v>42</v>
      </c>
    </row>
    <row r="296" spans="1:19">
      <c r="A296" s="8">
        <v>289</v>
      </c>
      <c r="B296" s="8" t="s">
        <v>516</v>
      </c>
      <c r="C296" s="8" t="s">
        <v>517</v>
      </c>
      <c r="D296" s="8" t="s">
        <v>198</v>
      </c>
      <c r="E296" s="8" t="s">
        <v>68</v>
      </c>
      <c r="F296" s="6" t="s">
        <v>39</v>
      </c>
      <c r="G296" s="10">
        <v>1</v>
      </c>
      <c r="H296" s="10">
        <v>1</v>
      </c>
      <c r="I296" s="13">
        <v>17000.0</v>
      </c>
      <c r="J296" s="13"/>
      <c r="K296" s="15">
        <f>IF(I296&gt;0, J296/I296, 0)</f>
        <v>0</v>
      </c>
      <c r="L296" s="13">
        <v>17000.0</v>
      </c>
      <c r="M296" s="13"/>
      <c r="N296" s="13">
        <f>L296-M296</f>
        <v>17000</v>
      </c>
      <c r="O296" s="8" t="s">
        <v>40</v>
      </c>
      <c r="P296" s="8" t="s">
        <v>71</v>
      </c>
      <c r="Q296" s="8" t="s">
        <v>42</v>
      </c>
      <c r="R296" s="6" t="s">
        <v>2124</v>
      </c>
      <c r="S296" s="6" t="s">
        <v>42</v>
      </c>
    </row>
    <row r="297" spans="1:19">
      <c r="A297" s="9">
        <v>290</v>
      </c>
      <c r="B297" s="9" t="s">
        <v>518</v>
      </c>
      <c r="C297" s="9" t="s">
        <v>517</v>
      </c>
      <c r="D297" s="9" t="s">
        <v>198</v>
      </c>
      <c r="E297" s="9" t="s">
        <v>33</v>
      </c>
      <c r="F297" s="7" t="s">
        <v>39</v>
      </c>
      <c r="G297" s="11">
        <v>1</v>
      </c>
      <c r="H297" s="11">
        <v>1</v>
      </c>
      <c r="I297" s="14">
        <v>8500.0</v>
      </c>
      <c r="J297" s="14"/>
      <c r="K297" s="16">
        <f>IF(I297&gt;0, J297/I297, 0)</f>
        <v>0</v>
      </c>
      <c r="L297" s="14">
        <v>8500.0</v>
      </c>
      <c r="M297" s="14"/>
      <c r="N297" s="14">
        <f>L297-M297</f>
        <v>8500</v>
      </c>
      <c r="O297" s="9" t="s">
        <v>40</v>
      </c>
      <c r="P297" s="9" t="s">
        <v>41</v>
      </c>
      <c r="Q297" s="9" t="s">
        <v>42</v>
      </c>
      <c r="R297" s="7" t="s">
        <v>2171</v>
      </c>
      <c r="S297" s="7" t="s">
        <v>42</v>
      </c>
    </row>
    <row r="298" spans="1:19">
      <c r="A298" s="8">
        <v>291</v>
      </c>
      <c r="B298" s="8" t="s">
        <v>519</v>
      </c>
      <c r="C298" s="8" t="s">
        <v>517</v>
      </c>
      <c r="D298" s="8" t="s">
        <v>198</v>
      </c>
      <c r="E298" s="8" t="s">
        <v>33</v>
      </c>
      <c r="F298" s="6" t="s">
        <v>39</v>
      </c>
      <c r="G298" s="10">
        <v>1</v>
      </c>
      <c r="H298" s="10">
        <v>1</v>
      </c>
      <c r="I298" s="13">
        <v>9000.0</v>
      </c>
      <c r="J298" s="13"/>
      <c r="K298" s="15">
        <f>IF(I298&gt;0, J298/I298, 0)</f>
        <v>0</v>
      </c>
      <c r="L298" s="13">
        <v>9000.0</v>
      </c>
      <c r="M298" s="13"/>
      <c r="N298" s="13">
        <f>L298-M298</f>
        <v>9000</v>
      </c>
      <c r="O298" s="8" t="s">
        <v>40</v>
      </c>
      <c r="P298" s="8" t="s">
        <v>41</v>
      </c>
      <c r="Q298" s="8" t="s">
        <v>42</v>
      </c>
      <c r="R298" s="6" t="s">
        <v>2172</v>
      </c>
      <c r="S298" s="6" t="s">
        <v>42</v>
      </c>
    </row>
    <row r="299" spans="1:19">
      <c r="A299" s="9">
        <v>292</v>
      </c>
      <c r="B299" s="9" t="s">
        <v>520</v>
      </c>
      <c r="C299" s="9" t="s">
        <v>517</v>
      </c>
      <c r="D299" s="9" t="s">
        <v>198</v>
      </c>
      <c r="E299" s="9" t="s">
        <v>33</v>
      </c>
      <c r="F299" s="7" t="s">
        <v>39</v>
      </c>
      <c r="G299" s="11">
        <v>1</v>
      </c>
      <c r="H299" s="11">
        <v>1</v>
      </c>
      <c r="I299" s="14">
        <v>8000.0</v>
      </c>
      <c r="J299" s="14"/>
      <c r="K299" s="16">
        <f>IF(I299&gt;0, J299/I299, 0)</f>
        <v>0</v>
      </c>
      <c r="L299" s="14">
        <v>8000.0</v>
      </c>
      <c r="M299" s="14"/>
      <c r="N299" s="14">
        <f>L299-M299</f>
        <v>8000</v>
      </c>
      <c r="O299" s="9" t="s">
        <v>40</v>
      </c>
      <c r="P299" s="9" t="s">
        <v>41</v>
      </c>
      <c r="Q299" s="9" t="s">
        <v>42</v>
      </c>
      <c r="R299" s="7" t="s">
        <v>2161</v>
      </c>
      <c r="S299" s="7" t="s">
        <v>42</v>
      </c>
    </row>
    <row r="300" spans="1:19">
      <c r="A300" s="8">
        <v>293</v>
      </c>
      <c r="B300" s="8" t="s">
        <v>521</v>
      </c>
      <c r="C300" s="8" t="s">
        <v>522</v>
      </c>
      <c r="D300" s="8" t="s">
        <v>198</v>
      </c>
      <c r="E300" s="8" t="s">
        <v>68</v>
      </c>
      <c r="F300" s="6" t="s">
        <v>39</v>
      </c>
      <c r="G300" s="10">
        <v>1</v>
      </c>
      <c r="H300" s="10">
        <v>1</v>
      </c>
      <c r="I300" s="13">
        <v>10000.0</v>
      </c>
      <c r="J300" s="13"/>
      <c r="K300" s="15">
        <f>IF(I300&gt;0, J300/I300, 0)</f>
        <v>0</v>
      </c>
      <c r="L300" s="13">
        <v>10000.0</v>
      </c>
      <c r="M300" s="13"/>
      <c r="N300" s="13">
        <f>L300-M300</f>
        <v>10000</v>
      </c>
      <c r="O300" s="8" t="s">
        <v>40</v>
      </c>
      <c r="P300" s="8" t="s">
        <v>71</v>
      </c>
      <c r="Q300" s="8" t="s">
        <v>42</v>
      </c>
      <c r="R300" s="6" t="s">
        <v>2105</v>
      </c>
      <c r="S300" s="6" t="s">
        <v>42</v>
      </c>
    </row>
    <row r="301" spans="1:19">
      <c r="A301" s="9">
        <v>294</v>
      </c>
      <c r="B301" s="9" t="s">
        <v>523</v>
      </c>
      <c r="C301" s="9" t="s">
        <v>522</v>
      </c>
      <c r="D301" s="9" t="s">
        <v>198</v>
      </c>
      <c r="E301" s="9" t="s">
        <v>33</v>
      </c>
      <c r="F301" s="7" t="s">
        <v>39</v>
      </c>
      <c r="G301" s="11">
        <v>1</v>
      </c>
      <c r="H301" s="11">
        <v>1</v>
      </c>
      <c r="I301" s="14">
        <v>16000.0</v>
      </c>
      <c r="J301" s="14"/>
      <c r="K301" s="16">
        <f>IF(I301&gt;0, J301/I301, 0)</f>
        <v>0</v>
      </c>
      <c r="L301" s="14">
        <v>16000.0</v>
      </c>
      <c r="M301" s="14"/>
      <c r="N301" s="14">
        <f>L301-M301</f>
        <v>16000</v>
      </c>
      <c r="O301" s="9" t="s">
        <v>40</v>
      </c>
      <c r="P301" s="9" t="s">
        <v>41</v>
      </c>
      <c r="Q301" s="9" t="s">
        <v>42</v>
      </c>
      <c r="R301" s="7" t="s">
        <v>2127</v>
      </c>
      <c r="S301" s="7" t="s">
        <v>42</v>
      </c>
    </row>
    <row r="302" spans="1:19">
      <c r="A302" s="8">
        <v>295</v>
      </c>
      <c r="B302" s="8" t="s">
        <v>524</v>
      </c>
      <c r="C302" s="8" t="s">
        <v>522</v>
      </c>
      <c r="D302" s="8" t="s">
        <v>198</v>
      </c>
      <c r="E302" s="8" t="s">
        <v>33</v>
      </c>
      <c r="F302" s="6" t="s">
        <v>39</v>
      </c>
      <c r="G302" s="10">
        <v>1</v>
      </c>
      <c r="H302" s="10">
        <v>1</v>
      </c>
      <c r="I302" s="13">
        <v>8000.0</v>
      </c>
      <c r="J302" s="13"/>
      <c r="K302" s="15">
        <f>IF(I302&gt;0, J302/I302, 0)</f>
        <v>0</v>
      </c>
      <c r="L302" s="13">
        <v>8000.0</v>
      </c>
      <c r="M302" s="13"/>
      <c r="N302" s="13">
        <f>L302-M302</f>
        <v>8000</v>
      </c>
      <c r="O302" s="8" t="s">
        <v>40</v>
      </c>
      <c r="P302" s="8" t="s">
        <v>41</v>
      </c>
      <c r="Q302" s="8" t="s">
        <v>42</v>
      </c>
      <c r="R302" s="6" t="s">
        <v>2116</v>
      </c>
      <c r="S302" s="6" t="s">
        <v>42</v>
      </c>
    </row>
    <row r="303" spans="1:19">
      <c r="A303" s="9">
        <v>296</v>
      </c>
      <c r="B303" s="9" t="s">
        <v>525</v>
      </c>
      <c r="C303" s="9" t="s">
        <v>522</v>
      </c>
      <c r="D303" s="9" t="s">
        <v>198</v>
      </c>
      <c r="E303" s="9" t="s">
        <v>33</v>
      </c>
      <c r="F303" s="7" t="s">
        <v>39</v>
      </c>
      <c r="G303" s="11">
        <v>1</v>
      </c>
      <c r="H303" s="11">
        <v>1</v>
      </c>
      <c r="I303" s="14">
        <v>7000.0</v>
      </c>
      <c r="J303" s="14"/>
      <c r="K303" s="16">
        <f>IF(I303&gt;0, J303/I303, 0)</f>
        <v>0</v>
      </c>
      <c r="L303" s="14">
        <v>7000.0</v>
      </c>
      <c r="M303" s="14"/>
      <c r="N303" s="14">
        <f>L303-M303</f>
        <v>7000</v>
      </c>
      <c r="O303" s="9" t="s">
        <v>40</v>
      </c>
      <c r="P303" s="9" t="s">
        <v>41</v>
      </c>
      <c r="Q303" s="9" t="s">
        <v>42</v>
      </c>
      <c r="R303" s="7" t="s">
        <v>2155</v>
      </c>
      <c r="S303" s="7" t="s">
        <v>42</v>
      </c>
    </row>
    <row r="304" spans="1:19">
      <c r="A304" s="8">
        <v>297</v>
      </c>
      <c r="B304" s="8" t="s">
        <v>526</v>
      </c>
      <c r="C304" s="8" t="s">
        <v>522</v>
      </c>
      <c r="D304" s="8" t="s">
        <v>198</v>
      </c>
      <c r="E304" s="8" t="s">
        <v>68</v>
      </c>
      <c r="F304" s="6" t="s">
        <v>39</v>
      </c>
      <c r="G304" s="10">
        <v>1</v>
      </c>
      <c r="H304" s="10">
        <v>1</v>
      </c>
      <c r="I304" s="13">
        <v>10000.0</v>
      </c>
      <c r="J304" s="13"/>
      <c r="K304" s="15">
        <f>IF(I304&gt;0, J304/I304, 0)</f>
        <v>0</v>
      </c>
      <c r="L304" s="13">
        <v>10000.0</v>
      </c>
      <c r="M304" s="13"/>
      <c r="N304" s="13">
        <f>L304-M304</f>
        <v>10000</v>
      </c>
      <c r="O304" s="8" t="s">
        <v>40</v>
      </c>
      <c r="P304" s="8" t="s">
        <v>71</v>
      </c>
      <c r="Q304" s="8" t="s">
        <v>42</v>
      </c>
      <c r="R304" s="6" t="s">
        <v>2141</v>
      </c>
      <c r="S304" s="6" t="s">
        <v>42</v>
      </c>
    </row>
    <row r="305" spans="1:19">
      <c r="A305" s="9">
        <v>298</v>
      </c>
      <c r="B305" s="9" t="s">
        <v>527</v>
      </c>
      <c r="C305" s="9" t="s">
        <v>522</v>
      </c>
      <c r="D305" s="9" t="s">
        <v>198</v>
      </c>
      <c r="E305" s="9" t="s">
        <v>68</v>
      </c>
      <c r="F305" s="7" t="s">
        <v>39</v>
      </c>
      <c r="G305" s="11">
        <v>1</v>
      </c>
      <c r="H305" s="11">
        <v>1</v>
      </c>
      <c r="I305" s="14">
        <v>10000.0</v>
      </c>
      <c r="J305" s="14"/>
      <c r="K305" s="16">
        <f>IF(I305&gt;0, J305/I305, 0)</f>
        <v>0</v>
      </c>
      <c r="L305" s="14">
        <v>10000.0</v>
      </c>
      <c r="M305" s="14"/>
      <c r="N305" s="14">
        <f>L305-M305</f>
        <v>10000</v>
      </c>
      <c r="O305" s="9" t="s">
        <v>40</v>
      </c>
      <c r="P305" s="9" t="s">
        <v>71</v>
      </c>
      <c r="Q305" s="9" t="s">
        <v>42</v>
      </c>
      <c r="R305" s="7" t="s">
        <v>2142</v>
      </c>
      <c r="S305" s="7" t="s">
        <v>42</v>
      </c>
    </row>
    <row r="306" spans="1:19">
      <c r="A306" s="8">
        <v>299</v>
      </c>
      <c r="B306" s="8" t="s">
        <v>529</v>
      </c>
      <c r="C306" s="8" t="s">
        <v>530</v>
      </c>
      <c r="D306" s="8" t="s">
        <v>198</v>
      </c>
      <c r="E306" s="8" t="s">
        <v>33</v>
      </c>
      <c r="F306" s="6" t="s">
        <v>39</v>
      </c>
      <c r="G306" s="10">
        <v>1</v>
      </c>
      <c r="H306" s="10">
        <v>1</v>
      </c>
      <c r="I306" s="13">
        <v>17000.0</v>
      </c>
      <c r="J306" s="13"/>
      <c r="K306" s="15">
        <f>IF(I306&gt;0, J306/I306, 0)</f>
        <v>0</v>
      </c>
      <c r="L306" s="13">
        <v>17000.0</v>
      </c>
      <c r="M306" s="13"/>
      <c r="N306" s="13">
        <f>L306-M306</f>
        <v>17000</v>
      </c>
      <c r="O306" s="8" t="s">
        <v>40</v>
      </c>
      <c r="P306" s="8" t="s">
        <v>41</v>
      </c>
      <c r="Q306" s="8" t="s">
        <v>42</v>
      </c>
      <c r="R306" s="6" t="s">
        <v>2132</v>
      </c>
      <c r="S306" s="6" t="s">
        <v>42</v>
      </c>
    </row>
    <row r="307" spans="1:19">
      <c r="A307" s="9">
        <v>300</v>
      </c>
      <c r="B307" s="9" t="s">
        <v>531</v>
      </c>
      <c r="C307" s="9" t="s">
        <v>530</v>
      </c>
      <c r="D307" s="9" t="s">
        <v>198</v>
      </c>
      <c r="E307" s="9" t="s">
        <v>33</v>
      </c>
      <c r="F307" s="7" t="s">
        <v>39</v>
      </c>
      <c r="G307" s="11">
        <v>1</v>
      </c>
      <c r="H307" s="11">
        <v>1</v>
      </c>
      <c r="I307" s="14">
        <v>9000.0</v>
      </c>
      <c r="J307" s="14"/>
      <c r="K307" s="16">
        <f>IF(I307&gt;0, J307/I307, 0)</f>
        <v>0</v>
      </c>
      <c r="L307" s="14">
        <v>9000.0</v>
      </c>
      <c r="M307" s="14"/>
      <c r="N307" s="14">
        <f>L307-M307</f>
        <v>9000</v>
      </c>
      <c r="O307" s="9" t="s">
        <v>40</v>
      </c>
      <c r="P307" s="9" t="s">
        <v>41</v>
      </c>
      <c r="Q307" s="9" t="s">
        <v>42</v>
      </c>
      <c r="R307" s="7" t="s">
        <v>2172</v>
      </c>
      <c r="S307" s="7" t="s">
        <v>42</v>
      </c>
    </row>
    <row r="308" spans="1:19">
      <c r="A308" s="8">
        <v>301</v>
      </c>
      <c r="B308" s="8" t="s">
        <v>532</v>
      </c>
      <c r="C308" s="8" t="s">
        <v>530</v>
      </c>
      <c r="D308" s="8" t="s">
        <v>198</v>
      </c>
      <c r="E308" s="8" t="s">
        <v>33</v>
      </c>
      <c r="F308" s="6" t="s">
        <v>39</v>
      </c>
      <c r="G308" s="10">
        <v>1</v>
      </c>
      <c r="H308" s="10">
        <v>1</v>
      </c>
      <c r="I308" s="13">
        <v>8000.0</v>
      </c>
      <c r="J308" s="13"/>
      <c r="K308" s="15">
        <f>IF(I308&gt;0, J308/I308, 0)</f>
        <v>0</v>
      </c>
      <c r="L308" s="13">
        <v>8000.0</v>
      </c>
      <c r="M308" s="13"/>
      <c r="N308" s="13">
        <f>L308-M308</f>
        <v>8000</v>
      </c>
      <c r="O308" s="8" t="s">
        <v>40</v>
      </c>
      <c r="P308" s="8" t="s">
        <v>41</v>
      </c>
      <c r="Q308" s="8" t="s">
        <v>42</v>
      </c>
      <c r="R308" s="6" t="s">
        <v>2181</v>
      </c>
      <c r="S308" s="6" t="s">
        <v>42</v>
      </c>
    </row>
    <row r="309" spans="1:19">
      <c r="A309" s="9">
        <v>302</v>
      </c>
      <c r="B309" s="9" t="s">
        <v>534</v>
      </c>
      <c r="C309" s="9" t="s">
        <v>530</v>
      </c>
      <c r="D309" s="9" t="s">
        <v>198</v>
      </c>
      <c r="E309" s="9" t="s">
        <v>33</v>
      </c>
      <c r="F309" s="7" t="s">
        <v>39</v>
      </c>
      <c r="G309" s="11">
        <v>1</v>
      </c>
      <c r="H309" s="11">
        <v>1</v>
      </c>
      <c r="I309" s="14">
        <v>8500.0</v>
      </c>
      <c r="J309" s="14"/>
      <c r="K309" s="16">
        <f>IF(I309&gt;0, J309/I309, 0)</f>
        <v>0</v>
      </c>
      <c r="L309" s="14">
        <v>8500.0</v>
      </c>
      <c r="M309" s="14"/>
      <c r="N309" s="14">
        <f>L309-M309</f>
        <v>8500</v>
      </c>
      <c r="O309" s="9" t="s">
        <v>40</v>
      </c>
      <c r="P309" s="9" t="s">
        <v>41</v>
      </c>
      <c r="Q309" s="9" t="s">
        <v>42</v>
      </c>
      <c r="R309" s="7" t="s">
        <v>2078</v>
      </c>
      <c r="S309" s="7" t="s">
        <v>42</v>
      </c>
    </row>
    <row r="310" spans="1:19">
      <c r="A310" s="8">
        <v>303</v>
      </c>
      <c r="B310" s="8" t="s">
        <v>535</v>
      </c>
      <c r="C310" s="8" t="s">
        <v>530</v>
      </c>
      <c r="D310" s="8" t="s">
        <v>198</v>
      </c>
      <c r="E310" s="8" t="s">
        <v>33</v>
      </c>
      <c r="F310" s="6" t="s">
        <v>39</v>
      </c>
      <c r="G310" s="10">
        <v>1</v>
      </c>
      <c r="H310" s="10">
        <v>1</v>
      </c>
      <c r="I310" s="13">
        <v>8500.0</v>
      </c>
      <c r="J310" s="13"/>
      <c r="K310" s="15">
        <f>IF(I310&gt;0, J310/I310, 0)</f>
        <v>0</v>
      </c>
      <c r="L310" s="13">
        <v>8500.0</v>
      </c>
      <c r="M310" s="13"/>
      <c r="N310" s="13">
        <f>L310-M310</f>
        <v>8500</v>
      </c>
      <c r="O310" s="8" t="s">
        <v>40</v>
      </c>
      <c r="P310" s="8" t="s">
        <v>41</v>
      </c>
      <c r="Q310" s="8" t="s">
        <v>42</v>
      </c>
      <c r="R310" s="6" t="s">
        <v>2078</v>
      </c>
      <c r="S310" s="6" t="s">
        <v>42</v>
      </c>
    </row>
    <row r="311" spans="1:19">
      <c r="A311" s="9">
        <v>304</v>
      </c>
      <c r="B311" s="9" t="s">
        <v>536</v>
      </c>
      <c r="C311" s="9" t="s">
        <v>530</v>
      </c>
      <c r="D311" s="9" t="s">
        <v>198</v>
      </c>
      <c r="E311" s="9" t="s">
        <v>33</v>
      </c>
      <c r="F311" s="7" t="s">
        <v>39</v>
      </c>
      <c r="G311" s="11">
        <v>1</v>
      </c>
      <c r="H311" s="11">
        <v>1</v>
      </c>
      <c r="I311" s="14">
        <v>18000.0</v>
      </c>
      <c r="J311" s="14"/>
      <c r="K311" s="16">
        <f>IF(I311&gt;0, J311/I311, 0)</f>
        <v>0</v>
      </c>
      <c r="L311" s="14">
        <v>18000.0</v>
      </c>
      <c r="M311" s="14"/>
      <c r="N311" s="14">
        <f>L311-M311</f>
        <v>18000</v>
      </c>
      <c r="O311" s="9" t="s">
        <v>40</v>
      </c>
      <c r="P311" s="9" t="s">
        <v>41</v>
      </c>
      <c r="Q311" s="9" t="s">
        <v>42</v>
      </c>
      <c r="R311" s="7" t="s">
        <v>2119</v>
      </c>
      <c r="S311" s="7" t="s">
        <v>42</v>
      </c>
    </row>
    <row r="312" spans="1:19">
      <c r="A312" s="8">
        <v>305</v>
      </c>
      <c r="B312" s="8" t="s">
        <v>537</v>
      </c>
      <c r="C312" s="8" t="s">
        <v>530</v>
      </c>
      <c r="D312" s="8" t="s">
        <v>198</v>
      </c>
      <c r="E312" s="8" t="s">
        <v>33</v>
      </c>
      <c r="F312" s="6" t="s">
        <v>39</v>
      </c>
      <c r="G312" s="10">
        <v>1</v>
      </c>
      <c r="H312" s="10">
        <v>1</v>
      </c>
      <c r="I312" s="13">
        <v>9000.0</v>
      </c>
      <c r="J312" s="13"/>
      <c r="K312" s="15">
        <f>IF(I312&gt;0, J312/I312, 0)</f>
        <v>0</v>
      </c>
      <c r="L312" s="13">
        <v>9000.0</v>
      </c>
      <c r="M312" s="13"/>
      <c r="N312" s="13">
        <f>L312-M312</f>
        <v>9000</v>
      </c>
      <c r="O312" s="8" t="s">
        <v>40</v>
      </c>
      <c r="P312" s="8" t="s">
        <v>41</v>
      </c>
      <c r="Q312" s="8" t="s">
        <v>42</v>
      </c>
      <c r="R312" s="6" t="s">
        <v>2081</v>
      </c>
      <c r="S312" s="6" t="s">
        <v>42</v>
      </c>
    </row>
    <row r="313" spans="1:19">
      <c r="A313" s="9">
        <v>306</v>
      </c>
      <c r="B313" s="9" t="s">
        <v>538</v>
      </c>
      <c r="C313" s="9" t="s">
        <v>530</v>
      </c>
      <c r="D313" s="9" t="s">
        <v>198</v>
      </c>
      <c r="E313" s="9" t="s">
        <v>33</v>
      </c>
      <c r="F313" s="7" t="s">
        <v>39</v>
      </c>
      <c r="G313" s="11">
        <v>1</v>
      </c>
      <c r="H313" s="11">
        <v>1</v>
      </c>
      <c r="I313" s="14">
        <v>9000.0</v>
      </c>
      <c r="J313" s="14"/>
      <c r="K313" s="16">
        <f>IF(I313&gt;0, J313/I313, 0)</f>
        <v>0</v>
      </c>
      <c r="L313" s="14">
        <v>9000.0</v>
      </c>
      <c r="M313" s="14"/>
      <c r="N313" s="14">
        <f>L313-M313</f>
        <v>9000</v>
      </c>
      <c r="O313" s="9" t="s">
        <v>40</v>
      </c>
      <c r="P313" s="9" t="s">
        <v>41</v>
      </c>
      <c r="Q313" s="9" t="s">
        <v>42</v>
      </c>
      <c r="R313" s="7" t="s">
        <v>2081</v>
      </c>
      <c r="S313" s="7" t="s">
        <v>42</v>
      </c>
    </row>
    <row r="314" spans="1:19">
      <c r="A314" s="8">
        <v>307</v>
      </c>
      <c r="B314" s="8" t="s">
        <v>539</v>
      </c>
      <c r="C314" s="8" t="s">
        <v>530</v>
      </c>
      <c r="D314" s="8" t="s">
        <v>198</v>
      </c>
      <c r="E314" s="8" t="s">
        <v>33</v>
      </c>
      <c r="F314" s="6" t="s">
        <v>39</v>
      </c>
      <c r="G314" s="10">
        <v>1</v>
      </c>
      <c r="H314" s="10">
        <v>1</v>
      </c>
      <c r="I314" s="13">
        <v>8000.0</v>
      </c>
      <c r="J314" s="13"/>
      <c r="K314" s="15">
        <f>IF(I314&gt;0, J314/I314, 0)</f>
        <v>0</v>
      </c>
      <c r="L314" s="13">
        <v>8000.0</v>
      </c>
      <c r="M314" s="13"/>
      <c r="N314" s="13">
        <f>L314-M314</f>
        <v>8000</v>
      </c>
      <c r="O314" s="8" t="s">
        <v>40</v>
      </c>
      <c r="P314" s="8" t="s">
        <v>41</v>
      </c>
      <c r="Q314" s="8" t="s">
        <v>42</v>
      </c>
      <c r="R314" s="6" t="s">
        <v>2082</v>
      </c>
      <c r="S314" s="6" t="s">
        <v>42</v>
      </c>
    </row>
    <row r="315" spans="1:19">
      <c r="A315" s="9">
        <v>308</v>
      </c>
      <c r="B315" s="9" t="s">
        <v>540</v>
      </c>
      <c r="C315" s="9" t="s">
        <v>541</v>
      </c>
      <c r="D315" s="9" t="s">
        <v>198</v>
      </c>
      <c r="E315" s="9" t="s">
        <v>33</v>
      </c>
      <c r="F315" s="7" t="s">
        <v>39</v>
      </c>
      <c r="G315" s="11">
        <v>1</v>
      </c>
      <c r="H315" s="11">
        <v>1</v>
      </c>
      <c r="I315" s="14">
        <v>18000.0</v>
      </c>
      <c r="J315" s="14"/>
      <c r="K315" s="16">
        <f>IF(I315&gt;0, J315/I315, 0)</f>
        <v>0</v>
      </c>
      <c r="L315" s="14">
        <v>18000.0</v>
      </c>
      <c r="M315" s="14"/>
      <c r="N315" s="14">
        <f>L315-M315</f>
        <v>18000</v>
      </c>
      <c r="O315" s="9" t="s">
        <v>40</v>
      </c>
      <c r="P315" s="9" t="s">
        <v>41</v>
      </c>
      <c r="Q315" s="9" t="s">
        <v>42</v>
      </c>
      <c r="R315" s="7" t="s">
        <v>2118</v>
      </c>
      <c r="S315" s="7" t="s">
        <v>42</v>
      </c>
    </row>
    <row r="316" spans="1:19">
      <c r="A316" s="8">
        <v>309</v>
      </c>
      <c r="B316" s="8" t="s">
        <v>542</v>
      </c>
      <c r="C316" s="8" t="s">
        <v>541</v>
      </c>
      <c r="D316" s="8" t="s">
        <v>198</v>
      </c>
      <c r="E316" s="8" t="s">
        <v>33</v>
      </c>
      <c r="F316" s="6" t="s">
        <v>39</v>
      </c>
      <c r="G316" s="10">
        <v>1</v>
      </c>
      <c r="H316" s="10">
        <v>1</v>
      </c>
      <c r="I316" s="13">
        <v>16000.0</v>
      </c>
      <c r="J316" s="13"/>
      <c r="K316" s="15">
        <f>IF(I316&gt;0, J316/I316, 0)</f>
        <v>0</v>
      </c>
      <c r="L316" s="13">
        <v>16000.0</v>
      </c>
      <c r="M316" s="13"/>
      <c r="N316" s="13">
        <f>L316-M316</f>
        <v>16000</v>
      </c>
      <c r="O316" s="8" t="s">
        <v>40</v>
      </c>
      <c r="P316" s="8" t="s">
        <v>41</v>
      </c>
      <c r="Q316" s="8" t="s">
        <v>42</v>
      </c>
      <c r="R316" s="6" t="s">
        <v>2094</v>
      </c>
      <c r="S316" s="6" t="s">
        <v>42</v>
      </c>
    </row>
    <row r="317" spans="1:19">
      <c r="A317" s="9">
        <v>310</v>
      </c>
      <c r="B317" s="9" t="s">
        <v>543</v>
      </c>
      <c r="C317" s="9" t="s">
        <v>541</v>
      </c>
      <c r="D317" s="9" t="s">
        <v>198</v>
      </c>
      <c r="E317" s="9" t="s">
        <v>33</v>
      </c>
      <c r="F317" s="7" t="s">
        <v>39</v>
      </c>
      <c r="G317" s="11">
        <v>1</v>
      </c>
      <c r="H317" s="11">
        <v>1</v>
      </c>
      <c r="I317" s="14">
        <v>8000.0</v>
      </c>
      <c r="J317" s="14"/>
      <c r="K317" s="16">
        <f>IF(I317&gt;0, J317/I317, 0)</f>
        <v>0</v>
      </c>
      <c r="L317" s="14">
        <v>8000.0</v>
      </c>
      <c r="M317" s="14"/>
      <c r="N317" s="14">
        <f>L317-M317</f>
        <v>8000</v>
      </c>
      <c r="O317" s="9" t="s">
        <v>40</v>
      </c>
      <c r="P317" s="9" t="s">
        <v>41</v>
      </c>
      <c r="Q317" s="9" t="s">
        <v>42</v>
      </c>
      <c r="R317" s="7" t="s">
        <v>2122</v>
      </c>
      <c r="S317" s="7" t="s">
        <v>42</v>
      </c>
    </row>
    <row r="318" spans="1:19">
      <c r="A318" s="8">
        <v>311</v>
      </c>
      <c r="B318" s="8" t="s">
        <v>544</v>
      </c>
      <c r="C318" s="8" t="s">
        <v>541</v>
      </c>
      <c r="D318" s="8" t="s">
        <v>198</v>
      </c>
      <c r="E318" s="8" t="s">
        <v>33</v>
      </c>
      <c r="F318" s="6" t="s">
        <v>39</v>
      </c>
      <c r="G318" s="10">
        <v>1</v>
      </c>
      <c r="H318" s="10">
        <v>1</v>
      </c>
      <c r="I318" s="13">
        <v>7000.0</v>
      </c>
      <c r="J318" s="13"/>
      <c r="K318" s="15">
        <f>IF(I318&gt;0, J318/I318, 0)</f>
        <v>0</v>
      </c>
      <c r="L318" s="13">
        <v>7000.0</v>
      </c>
      <c r="M318" s="13"/>
      <c r="N318" s="13">
        <f>L318-M318</f>
        <v>7000</v>
      </c>
      <c r="O318" s="8" t="s">
        <v>40</v>
      </c>
      <c r="P318" s="8" t="s">
        <v>41</v>
      </c>
      <c r="Q318" s="8" t="s">
        <v>42</v>
      </c>
      <c r="R318" s="6" t="s">
        <v>2155</v>
      </c>
      <c r="S318" s="6" t="s">
        <v>42</v>
      </c>
    </row>
    <row r="319" spans="1:19">
      <c r="A319" s="9">
        <v>312</v>
      </c>
      <c r="B319" s="9" t="s">
        <v>545</v>
      </c>
      <c r="C319" s="9" t="s">
        <v>541</v>
      </c>
      <c r="D319" s="9" t="s">
        <v>198</v>
      </c>
      <c r="E319" s="9" t="s">
        <v>33</v>
      </c>
      <c r="F319" s="7" t="s">
        <v>39</v>
      </c>
      <c r="G319" s="11">
        <v>1</v>
      </c>
      <c r="H319" s="11">
        <v>1</v>
      </c>
      <c r="I319" s="14">
        <v>8000.0</v>
      </c>
      <c r="J319" s="14"/>
      <c r="K319" s="16">
        <f>IF(I319&gt;0, J319/I319, 0)</f>
        <v>0</v>
      </c>
      <c r="L319" s="14">
        <v>8000.0</v>
      </c>
      <c r="M319" s="14"/>
      <c r="N319" s="14">
        <f>L319-M319</f>
        <v>8000</v>
      </c>
      <c r="O319" s="9" t="s">
        <v>40</v>
      </c>
      <c r="P319" s="9" t="s">
        <v>41</v>
      </c>
      <c r="Q319" s="9" t="s">
        <v>42</v>
      </c>
      <c r="R319" s="7" t="s">
        <v>2163</v>
      </c>
      <c r="S319" s="7" t="s">
        <v>42</v>
      </c>
    </row>
    <row r="320" spans="1:19">
      <c r="A320" s="8">
        <v>313</v>
      </c>
      <c r="B320" s="8" t="s">
        <v>546</v>
      </c>
      <c r="C320" s="8" t="s">
        <v>541</v>
      </c>
      <c r="D320" s="8" t="s">
        <v>198</v>
      </c>
      <c r="E320" s="8" t="s">
        <v>33</v>
      </c>
      <c r="F320" s="6" t="s">
        <v>39</v>
      </c>
      <c r="G320" s="10">
        <v>1</v>
      </c>
      <c r="H320" s="10">
        <v>1</v>
      </c>
      <c r="I320" s="13">
        <v>7000.0</v>
      </c>
      <c r="J320" s="13"/>
      <c r="K320" s="15">
        <f>IF(I320&gt;0, J320/I320, 0)</f>
        <v>0</v>
      </c>
      <c r="L320" s="13">
        <v>7000.0</v>
      </c>
      <c r="M320" s="13"/>
      <c r="N320" s="13">
        <f>L320-M320</f>
        <v>7000</v>
      </c>
      <c r="O320" s="8" t="s">
        <v>40</v>
      </c>
      <c r="P320" s="8" t="s">
        <v>41</v>
      </c>
      <c r="Q320" s="8" t="s">
        <v>42</v>
      </c>
      <c r="R320" s="6" t="s">
        <v>2142</v>
      </c>
      <c r="S320" s="6" t="s">
        <v>42</v>
      </c>
    </row>
    <row r="321" spans="1:19">
      <c r="A321" s="9">
        <v>314</v>
      </c>
      <c r="B321" s="9" t="s">
        <v>547</v>
      </c>
      <c r="C321" s="9" t="s">
        <v>548</v>
      </c>
      <c r="D321" s="9" t="s">
        <v>198</v>
      </c>
      <c r="E321" s="9" t="s">
        <v>68</v>
      </c>
      <c r="F321" s="7" t="s">
        <v>39</v>
      </c>
      <c r="G321" s="11">
        <v>1</v>
      </c>
      <c r="H321" s="11">
        <v>2</v>
      </c>
      <c r="I321" s="14">
        <v>20000.0</v>
      </c>
      <c r="J321" s="14"/>
      <c r="K321" s="16">
        <f>IF(I321&gt;0, J321/I321, 0)</f>
        <v>0</v>
      </c>
      <c r="L321" s="14">
        <v>20000.0</v>
      </c>
      <c r="M321" s="14"/>
      <c r="N321" s="14">
        <f>L321-M321</f>
        <v>20000</v>
      </c>
      <c r="O321" s="9" t="s">
        <v>40</v>
      </c>
      <c r="P321" s="9" t="s">
        <v>71</v>
      </c>
      <c r="Q321" s="9" t="s">
        <v>42</v>
      </c>
      <c r="R321" s="7" t="s">
        <v>2145</v>
      </c>
      <c r="S321" s="7" t="s">
        <v>42</v>
      </c>
    </row>
    <row r="322" spans="1:19">
      <c r="A322" s="8">
        <v>315</v>
      </c>
      <c r="B322" s="8" t="s">
        <v>549</v>
      </c>
      <c r="C322" s="8" t="s">
        <v>548</v>
      </c>
      <c r="D322" s="8" t="s">
        <v>198</v>
      </c>
      <c r="E322" s="8" t="s">
        <v>33</v>
      </c>
      <c r="F322" s="6" t="s">
        <v>39</v>
      </c>
      <c r="G322" s="10">
        <v>1</v>
      </c>
      <c r="H322" s="10">
        <v>1</v>
      </c>
      <c r="I322" s="13">
        <v>8500.0</v>
      </c>
      <c r="J322" s="13"/>
      <c r="K322" s="15">
        <f>IF(I322&gt;0, J322/I322, 0)</f>
        <v>0</v>
      </c>
      <c r="L322" s="13">
        <v>8500.0</v>
      </c>
      <c r="M322" s="13"/>
      <c r="N322" s="13">
        <f>L322-M322</f>
        <v>8500</v>
      </c>
      <c r="O322" s="8" t="s">
        <v>40</v>
      </c>
      <c r="P322" s="8" t="s">
        <v>41</v>
      </c>
      <c r="Q322" s="8" t="s">
        <v>42</v>
      </c>
      <c r="R322" s="6" t="s">
        <v>2078</v>
      </c>
      <c r="S322" s="6" t="s">
        <v>42</v>
      </c>
    </row>
    <row r="323" spans="1:19">
      <c r="A323" s="9">
        <v>316</v>
      </c>
      <c r="B323" s="9" t="s">
        <v>550</v>
      </c>
      <c r="C323" s="9" t="s">
        <v>548</v>
      </c>
      <c r="D323" s="9" t="s">
        <v>198</v>
      </c>
      <c r="E323" s="9" t="s">
        <v>33</v>
      </c>
      <c r="F323" s="7" t="s">
        <v>39</v>
      </c>
      <c r="G323" s="11">
        <v>1</v>
      </c>
      <c r="H323" s="11">
        <v>1</v>
      </c>
      <c r="I323" s="14">
        <v>9500.0</v>
      </c>
      <c r="J323" s="14"/>
      <c r="K323" s="16">
        <f>IF(I323&gt;0, J323/I323, 0)</f>
        <v>0</v>
      </c>
      <c r="L323" s="14">
        <v>9500.0</v>
      </c>
      <c r="M323" s="14"/>
      <c r="N323" s="14">
        <f>L323-M323</f>
        <v>9500</v>
      </c>
      <c r="O323" s="9" t="s">
        <v>40</v>
      </c>
      <c r="P323" s="9" t="s">
        <v>41</v>
      </c>
      <c r="Q323" s="9" t="s">
        <v>42</v>
      </c>
      <c r="R323" s="7" t="s">
        <v>2135</v>
      </c>
      <c r="S323" s="7" t="s">
        <v>42</v>
      </c>
    </row>
    <row r="324" spans="1:19">
      <c r="A324" s="8">
        <v>317</v>
      </c>
      <c r="B324" s="8" t="s">
        <v>551</v>
      </c>
      <c r="C324" s="8" t="s">
        <v>548</v>
      </c>
      <c r="D324" s="8" t="s">
        <v>198</v>
      </c>
      <c r="E324" s="8" t="s">
        <v>33</v>
      </c>
      <c r="F324" s="6" t="s">
        <v>39</v>
      </c>
      <c r="G324" s="10">
        <v>1</v>
      </c>
      <c r="H324" s="10">
        <v>1</v>
      </c>
      <c r="I324" s="13">
        <v>16500.0</v>
      </c>
      <c r="J324" s="13"/>
      <c r="K324" s="15">
        <f>IF(I324&gt;0, J324/I324, 0)</f>
        <v>0</v>
      </c>
      <c r="L324" s="13">
        <v>16500.0</v>
      </c>
      <c r="M324" s="13"/>
      <c r="N324" s="13">
        <f>L324-M324</f>
        <v>16500</v>
      </c>
      <c r="O324" s="8" t="s">
        <v>40</v>
      </c>
      <c r="P324" s="8" t="s">
        <v>41</v>
      </c>
      <c r="Q324" s="8" t="s">
        <v>42</v>
      </c>
      <c r="R324" s="6" t="s">
        <v>2118</v>
      </c>
      <c r="S324" s="6" t="s">
        <v>42</v>
      </c>
    </row>
    <row r="325" spans="1:19">
      <c r="A325" s="9">
        <v>318</v>
      </c>
      <c r="B325" s="9" t="s">
        <v>552</v>
      </c>
      <c r="C325" s="9" t="s">
        <v>548</v>
      </c>
      <c r="D325" s="9" t="s">
        <v>198</v>
      </c>
      <c r="E325" s="9" t="s">
        <v>33</v>
      </c>
      <c r="F325" s="7" t="s">
        <v>39</v>
      </c>
      <c r="G325" s="11">
        <v>1</v>
      </c>
      <c r="H325" s="11">
        <v>1</v>
      </c>
      <c r="I325" s="14">
        <v>18000.0</v>
      </c>
      <c r="J325" s="14"/>
      <c r="K325" s="16">
        <f>IF(I325&gt;0, J325/I325, 0)</f>
        <v>0</v>
      </c>
      <c r="L325" s="14">
        <v>18000.0</v>
      </c>
      <c r="M325" s="14"/>
      <c r="N325" s="14">
        <f>L325-M325</f>
        <v>18000</v>
      </c>
      <c r="O325" s="9" t="s">
        <v>40</v>
      </c>
      <c r="P325" s="9" t="s">
        <v>41</v>
      </c>
      <c r="Q325" s="9" t="s">
        <v>42</v>
      </c>
      <c r="R325" s="7" t="s">
        <v>2119</v>
      </c>
      <c r="S325" s="7" t="s">
        <v>42</v>
      </c>
    </row>
    <row r="326" spans="1:19">
      <c r="A326" s="8">
        <v>319</v>
      </c>
      <c r="B326" s="8" t="s">
        <v>553</v>
      </c>
      <c r="C326" s="8" t="s">
        <v>548</v>
      </c>
      <c r="D326" s="8" t="s">
        <v>198</v>
      </c>
      <c r="E326" s="8" t="s">
        <v>68</v>
      </c>
      <c r="F326" s="6" t="s">
        <v>39</v>
      </c>
      <c r="G326" s="10">
        <v>1</v>
      </c>
      <c r="H326" s="10">
        <v>1</v>
      </c>
      <c r="I326" s="13">
        <v>8000.0</v>
      </c>
      <c r="J326" s="13"/>
      <c r="K326" s="15">
        <f>IF(I326&gt;0, J326/I326, 0)</f>
        <v>0</v>
      </c>
      <c r="L326" s="13">
        <v>8000.0</v>
      </c>
      <c r="M326" s="13"/>
      <c r="N326" s="13">
        <f>L326-M326</f>
        <v>8000</v>
      </c>
      <c r="O326" s="8" t="s">
        <v>40</v>
      </c>
      <c r="P326" s="8" t="s">
        <v>71</v>
      </c>
      <c r="Q326" s="8" t="s">
        <v>42</v>
      </c>
      <c r="R326" s="6" t="s">
        <v>2083</v>
      </c>
      <c r="S326" s="6" t="s">
        <v>42</v>
      </c>
    </row>
    <row r="327" spans="1:19">
      <c r="A327" s="9">
        <v>320</v>
      </c>
      <c r="B327" s="9" t="s">
        <v>554</v>
      </c>
      <c r="C327" s="9" t="s">
        <v>548</v>
      </c>
      <c r="D327" s="9" t="s">
        <v>198</v>
      </c>
      <c r="E327" s="9" t="s">
        <v>68</v>
      </c>
      <c r="F327" s="7" t="s">
        <v>39</v>
      </c>
      <c r="G327" s="11">
        <v>1</v>
      </c>
      <c r="H327" s="11">
        <v>1</v>
      </c>
      <c r="I327" s="14">
        <v>9000.0</v>
      </c>
      <c r="J327" s="14"/>
      <c r="K327" s="16">
        <f>IF(I327&gt;0, J327/I327, 0)</f>
        <v>0</v>
      </c>
      <c r="L327" s="14">
        <v>9000.0</v>
      </c>
      <c r="M327" s="14"/>
      <c r="N327" s="14">
        <f>L327-M327</f>
        <v>9000</v>
      </c>
      <c r="O327" s="9" t="s">
        <v>40</v>
      </c>
      <c r="P327" s="9" t="s">
        <v>71</v>
      </c>
      <c r="Q327" s="9" t="s">
        <v>42</v>
      </c>
      <c r="R327" s="7" t="s">
        <v>2084</v>
      </c>
      <c r="S327" s="7" t="s">
        <v>42</v>
      </c>
    </row>
    <row r="328" spans="1:19">
      <c r="A328" s="8">
        <v>321</v>
      </c>
      <c r="B328" s="8" t="s">
        <v>555</v>
      </c>
      <c r="C328" s="8" t="s">
        <v>548</v>
      </c>
      <c r="D328" s="8" t="s">
        <v>198</v>
      </c>
      <c r="E328" s="8" t="s">
        <v>33</v>
      </c>
      <c r="F328" s="6" t="s">
        <v>39</v>
      </c>
      <c r="G328" s="10">
        <v>1</v>
      </c>
      <c r="H328" s="10">
        <v>2</v>
      </c>
      <c r="I328" s="13">
        <v>14000.0</v>
      </c>
      <c r="J328" s="13"/>
      <c r="K328" s="15">
        <f>IF(I328&gt;0, J328/I328, 0)</f>
        <v>0</v>
      </c>
      <c r="L328" s="13">
        <v>14000.0</v>
      </c>
      <c r="M328" s="13"/>
      <c r="N328" s="13">
        <f>L328-M328</f>
        <v>14000</v>
      </c>
      <c r="O328" s="8" t="s">
        <v>40</v>
      </c>
      <c r="P328" s="8" t="s">
        <v>41</v>
      </c>
      <c r="Q328" s="8" t="s">
        <v>42</v>
      </c>
      <c r="R328" s="6" t="s">
        <v>2102</v>
      </c>
      <c r="S328" s="6" t="s">
        <v>42</v>
      </c>
    </row>
    <row r="329" spans="1:19">
      <c r="A329" s="9">
        <v>322</v>
      </c>
      <c r="B329" s="9" t="s">
        <v>556</v>
      </c>
      <c r="C329" s="9" t="s">
        <v>548</v>
      </c>
      <c r="D329" s="9" t="s">
        <v>198</v>
      </c>
      <c r="E329" s="9" t="s">
        <v>33</v>
      </c>
      <c r="F329" s="7" t="s">
        <v>39</v>
      </c>
      <c r="G329" s="11">
        <v>1</v>
      </c>
      <c r="H329" s="11">
        <v>1</v>
      </c>
      <c r="I329" s="14">
        <v>16000.0</v>
      </c>
      <c r="J329" s="14"/>
      <c r="K329" s="16">
        <f>IF(I329&gt;0, J329/I329, 0)</f>
        <v>0</v>
      </c>
      <c r="L329" s="14">
        <v>16000.0</v>
      </c>
      <c r="M329" s="14"/>
      <c r="N329" s="14">
        <f>L329-M329</f>
        <v>16000</v>
      </c>
      <c r="O329" s="9" t="s">
        <v>40</v>
      </c>
      <c r="P329" s="9" t="s">
        <v>41</v>
      </c>
      <c r="Q329" s="9" t="s">
        <v>42</v>
      </c>
      <c r="R329" s="7" t="s">
        <v>2094</v>
      </c>
      <c r="S329" s="7" t="s">
        <v>42</v>
      </c>
    </row>
    <row r="330" spans="1:19">
      <c r="A330" s="8">
        <v>323</v>
      </c>
      <c r="B330" s="8" t="s">
        <v>557</v>
      </c>
      <c r="C330" s="8" t="s">
        <v>548</v>
      </c>
      <c r="D330" s="8" t="s">
        <v>198</v>
      </c>
      <c r="E330" s="8" t="s">
        <v>33</v>
      </c>
      <c r="F330" s="6" t="s">
        <v>39</v>
      </c>
      <c r="G330" s="10">
        <v>1</v>
      </c>
      <c r="H330" s="10">
        <v>1</v>
      </c>
      <c r="I330" s="13">
        <v>18000.0</v>
      </c>
      <c r="J330" s="13"/>
      <c r="K330" s="15">
        <f>IF(I330&gt;0, J330/I330, 0)</f>
        <v>0</v>
      </c>
      <c r="L330" s="13">
        <v>18000.0</v>
      </c>
      <c r="M330" s="13"/>
      <c r="N330" s="13">
        <f>L330-M330</f>
        <v>18000</v>
      </c>
      <c r="O330" s="8" t="s">
        <v>40</v>
      </c>
      <c r="P330" s="8" t="s">
        <v>41</v>
      </c>
      <c r="Q330" s="8" t="s">
        <v>42</v>
      </c>
      <c r="R330" s="6" t="s">
        <v>2187</v>
      </c>
      <c r="S330" s="6" t="s">
        <v>42</v>
      </c>
    </row>
    <row r="331" spans="1:19">
      <c r="A331" s="9">
        <v>324</v>
      </c>
      <c r="B331" s="9" t="s">
        <v>559</v>
      </c>
      <c r="C331" s="9" t="s">
        <v>560</v>
      </c>
      <c r="D331" s="9" t="s">
        <v>198</v>
      </c>
      <c r="E331" s="9" t="s">
        <v>68</v>
      </c>
      <c r="F331" s="7" t="s">
        <v>39</v>
      </c>
      <c r="G331" s="11">
        <v>1</v>
      </c>
      <c r="H331" s="11">
        <v>1</v>
      </c>
      <c r="I331" s="14">
        <v>9000.0</v>
      </c>
      <c r="J331" s="14"/>
      <c r="K331" s="16">
        <f>IF(I331&gt;0, J331/I331, 0)</f>
        <v>0</v>
      </c>
      <c r="L331" s="14">
        <v>9000.0</v>
      </c>
      <c r="M331" s="14"/>
      <c r="N331" s="14">
        <f>L331-M331</f>
        <v>9000</v>
      </c>
      <c r="O331" s="9" t="s">
        <v>40</v>
      </c>
      <c r="P331" s="9" t="s">
        <v>71</v>
      </c>
      <c r="Q331" s="9" t="s">
        <v>42</v>
      </c>
      <c r="R331" s="7" t="s">
        <v>2154</v>
      </c>
      <c r="S331" s="7" t="s">
        <v>42</v>
      </c>
    </row>
    <row r="332" spans="1:19">
      <c r="A332" s="8">
        <v>325</v>
      </c>
      <c r="B332" s="8" t="s">
        <v>561</v>
      </c>
      <c r="C332" s="8" t="s">
        <v>560</v>
      </c>
      <c r="D332" s="8" t="s">
        <v>198</v>
      </c>
      <c r="E332" s="8" t="s">
        <v>68</v>
      </c>
      <c r="F332" s="6" t="s">
        <v>39</v>
      </c>
      <c r="G332" s="10">
        <v>1</v>
      </c>
      <c r="H332" s="10">
        <v>1</v>
      </c>
      <c r="I332" s="13">
        <v>18000.0</v>
      </c>
      <c r="J332" s="13"/>
      <c r="K332" s="15">
        <f>IF(I332&gt;0, J332/I332, 0)</f>
        <v>0</v>
      </c>
      <c r="L332" s="13">
        <v>18000.0</v>
      </c>
      <c r="M332" s="13"/>
      <c r="N332" s="13">
        <f>L332-M332</f>
        <v>18000</v>
      </c>
      <c r="O332" s="8" t="s">
        <v>40</v>
      </c>
      <c r="P332" s="8" t="s">
        <v>71</v>
      </c>
      <c r="Q332" s="8" t="s">
        <v>42</v>
      </c>
      <c r="R332" s="6" t="s">
        <v>2093</v>
      </c>
      <c r="S332" s="6" t="s">
        <v>42</v>
      </c>
    </row>
    <row r="333" spans="1:19">
      <c r="A333" s="9">
        <v>326</v>
      </c>
      <c r="B333" s="9" t="s">
        <v>562</v>
      </c>
      <c r="C333" s="9" t="s">
        <v>560</v>
      </c>
      <c r="D333" s="9" t="s">
        <v>198</v>
      </c>
      <c r="E333" s="9" t="s">
        <v>68</v>
      </c>
      <c r="F333" s="7" t="s">
        <v>39</v>
      </c>
      <c r="G333" s="11">
        <v>1</v>
      </c>
      <c r="H333" s="11">
        <v>1</v>
      </c>
      <c r="I333" s="14">
        <v>10000.0</v>
      </c>
      <c r="J333" s="14"/>
      <c r="K333" s="16">
        <f>IF(I333&gt;0, J333/I333, 0)</f>
        <v>0</v>
      </c>
      <c r="L333" s="14">
        <v>10000.0</v>
      </c>
      <c r="M333" s="14"/>
      <c r="N333" s="14">
        <f>L333-M333</f>
        <v>10000</v>
      </c>
      <c r="O333" s="9" t="s">
        <v>40</v>
      </c>
      <c r="P333" s="9" t="s">
        <v>71</v>
      </c>
      <c r="Q333" s="9" t="s">
        <v>42</v>
      </c>
      <c r="R333" s="7" t="s">
        <v>2074</v>
      </c>
      <c r="S333" s="7" t="s">
        <v>42</v>
      </c>
    </row>
    <row r="334" spans="1:19">
      <c r="A334" s="8">
        <v>327</v>
      </c>
      <c r="B334" s="8" t="s">
        <v>563</v>
      </c>
      <c r="C334" s="8" t="s">
        <v>560</v>
      </c>
      <c r="D334" s="8" t="s">
        <v>198</v>
      </c>
      <c r="E334" s="8" t="s">
        <v>33</v>
      </c>
      <c r="F334" s="6" t="s">
        <v>39</v>
      </c>
      <c r="G334" s="10">
        <v>1</v>
      </c>
      <c r="H334" s="10">
        <v>1</v>
      </c>
      <c r="I334" s="13">
        <v>8500.0</v>
      </c>
      <c r="J334" s="13"/>
      <c r="K334" s="15">
        <f>IF(I334&gt;0, J334/I334, 0)</f>
        <v>0</v>
      </c>
      <c r="L334" s="13">
        <v>8500.0</v>
      </c>
      <c r="M334" s="13"/>
      <c r="N334" s="13">
        <f>L334-M334</f>
        <v>8500</v>
      </c>
      <c r="O334" s="8" t="s">
        <v>40</v>
      </c>
      <c r="P334" s="8" t="s">
        <v>41</v>
      </c>
      <c r="Q334" s="8" t="s">
        <v>42</v>
      </c>
      <c r="R334" s="6" t="s">
        <v>2099</v>
      </c>
      <c r="S334" s="6" t="s">
        <v>42</v>
      </c>
    </row>
    <row r="335" spans="1:19">
      <c r="A335" s="9">
        <v>328</v>
      </c>
      <c r="B335" s="9" t="s">
        <v>564</v>
      </c>
      <c r="C335" s="9" t="s">
        <v>560</v>
      </c>
      <c r="D335" s="9" t="s">
        <v>198</v>
      </c>
      <c r="E335" s="9" t="s">
        <v>33</v>
      </c>
      <c r="F335" s="7" t="s">
        <v>39</v>
      </c>
      <c r="G335" s="11">
        <v>1</v>
      </c>
      <c r="H335" s="11">
        <v>1</v>
      </c>
      <c r="I335" s="14">
        <v>8000.0</v>
      </c>
      <c r="J335" s="14"/>
      <c r="K335" s="16">
        <f>IF(I335&gt;0, J335/I335, 0)</f>
        <v>0</v>
      </c>
      <c r="L335" s="14">
        <v>8000.0</v>
      </c>
      <c r="M335" s="14"/>
      <c r="N335" s="14">
        <f>L335-M335</f>
        <v>8000</v>
      </c>
      <c r="O335" s="9" t="s">
        <v>40</v>
      </c>
      <c r="P335" s="9" t="s">
        <v>41</v>
      </c>
      <c r="Q335" s="9" t="s">
        <v>42</v>
      </c>
      <c r="R335" s="7" t="s">
        <v>2122</v>
      </c>
      <c r="S335" s="7" t="s">
        <v>42</v>
      </c>
    </row>
    <row r="336" spans="1:19">
      <c r="A336" s="8">
        <v>329</v>
      </c>
      <c r="B336" s="8" t="s">
        <v>565</v>
      </c>
      <c r="C336" s="8" t="s">
        <v>560</v>
      </c>
      <c r="D336" s="8" t="s">
        <v>198</v>
      </c>
      <c r="E336" s="8" t="s">
        <v>33</v>
      </c>
      <c r="F336" s="6" t="s">
        <v>39</v>
      </c>
      <c r="G336" s="10">
        <v>1</v>
      </c>
      <c r="H336" s="10">
        <v>1</v>
      </c>
      <c r="I336" s="13">
        <v>18000.0</v>
      </c>
      <c r="J336" s="13"/>
      <c r="K336" s="15">
        <f>IF(I336&gt;0, J336/I336, 0)</f>
        <v>0</v>
      </c>
      <c r="L336" s="13">
        <v>18000.0</v>
      </c>
      <c r="M336" s="13"/>
      <c r="N336" s="13">
        <f>L336-M336</f>
        <v>18000</v>
      </c>
      <c r="O336" s="8" t="s">
        <v>40</v>
      </c>
      <c r="P336" s="8" t="s">
        <v>41</v>
      </c>
      <c r="Q336" s="8" t="s">
        <v>42</v>
      </c>
      <c r="R336" s="6" t="s">
        <v>2166</v>
      </c>
      <c r="S336" s="6" t="s">
        <v>42</v>
      </c>
    </row>
    <row r="337" spans="1:19">
      <c r="A337" s="9">
        <v>330</v>
      </c>
      <c r="B337" s="9" t="s">
        <v>566</v>
      </c>
      <c r="C337" s="9" t="s">
        <v>560</v>
      </c>
      <c r="D337" s="9" t="s">
        <v>198</v>
      </c>
      <c r="E337" s="9" t="s">
        <v>33</v>
      </c>
      <c r="F337" s="7" t="s">
        <v>39</v>
      </c>
      <c r="G337" s="11">
        <v>1</v>
      </c>
      <c r="H337" s="11">
        <v>1</v>
      </c>
      <c r="I337" s="14">
        <v>5000.0</v>
      </c>
      <c r="J337" s="14"/>
      <c r="K337" s="16">
        <f>IF(I337&gt;0, J337/I337, 0)</f>
        <v>0</v>
      </c>
      <c r="L337" s="14">
        <v>5000.0</v>
      </c>
      <c r="M337" s="14"/>
      <c r="N337" s="14">
        <f>L337-M337</f>
        <v>5000</v>
      </c>
      <c r="O337" s="9" t="s">
        <v>40</v>
      </c>
      <c r="P337" s="9" t="s">
        <v>41</v>
      </c>
      <c r="Q337" s="9" t="s">
        <v>42</v>
      </c>
      <c r="R337" s="7" t="s">
        <v>2188</v>
      </c>
      <c r="S337" s="7" t="s">
        <v>42</v>
      </c>
    </row>
    <row r="338" spans="1:19">
      <c r="A338" s="8">
        <v>331</v>
      </c>
      <c r="B338" s="8" t="s">
        <v>569</v>
      </c>
      <c r="C338" s="8" t="s">
        <v>560</v>
      </c>
      <c r="D338" s="8" t="s">
        <v>198</v>
      </c>
      <c r="E338" s="8" t="s">
        <v>68</v>
      </c>
      <c r="F338" s="6" t="s">
        <v>39</v>
      </c>
      <c r="G338" s="10">
        <v>1</v>
      </c>
      <c r="H338" s="10">
        <v>1</v>
      </c>
      <c r="I338" s="13">
        <v>10000.0</v>
      </c>
      <c r="J338" s="13"/>
      <c r="K338" s="15">
        <f>IF(I338&gt;0, J338/I338, 0)</f>
        <v>0</v>
      </c>
      <c r="L338" s="13">
        <v>10000.0</v>
      </c>
      <c r="M338" s="13"/>
      <c r="N338" s="13">
        <f>L338-M338</f>
        <v>10000</v>
      </c>
      <c r="O338" s="8" t="s">
        <v>40</v>
      </c>
      <c r="P338" s="8" t="s">
        <v>71</v>
      </c>
      <c r="Q338" s="8" t="s">
        <v>42</v>
      </c>
      <c r="R338" s="6" t="s">
        <v>2189</v>
      </c>
      <c r="S338" s="6" t="s">
        <v>42</v>
      </c>
    </row>
    <row r="339" spans="1:19">
      <c r="A339" s="9">
        <v>332</v>
      </c>
      <c r="B339" s="9" t="s">
        <v>571</v>
      </c>
      <c r="C339" s="9" t="s">
        <v>560</v>
      </c>
      <c r="D339" s="9" t="s">
        <v>198</v>
      </c>
      <c r="E339" s="9" t="s">
        <v>68</v>
      </c>
      <c r="F339" s="7" t="s">
        <v>39</v>
      </c>
      <c r="G339" s="11">
        <v>1</v>
      </c>
      <c r="H339" s="11">
        <v>1</v>
      </c>
      <c r="I339" s="14">
        <v>10000.0</v>
      </c>
      <c r="J339" s="14"/>
      <c r="K339" s="16">
        <f>IF(I339&gt;0, J339/I339, 0)</f>
        <v>0</v>
      </c>
      <c r="L339" s="14">
        <v>10000.0</v>
      </c>
      <c r="M339" s="14"/>
      <c r="N339" s="14">
        <f>L339-M339</f>
        <v>10000</v>
      </c>
      <c r="O339" s="9" t="s">
        <v>40</v>
      </c>
      <c r="P339" s="9" t="s">
        <v>71</v>
      </c>
      <c r="Q339" s="9" t="s">
        <v>42</v>
      </c>
      <c r="R339" s="7" t="s">
        <v>2138</v>
      </c>
      <c r="S339" s="7" t="s">
        <v>42</v>
      </c>
    </row>
    <row r="340" spans="1:19">
      <c r="A340" s="8">
        <v>333</v>
      </c>
      <c r="B340" s="8" t="s">
        <v>572</v>
      </c>
      <c r="C340" s="8" t="s">
        <v>560</v>
      </c>
      <c r="D340" s="8" t="s">
        <v>198</v>
      </c>
      <c r="E340" s="8" t="s">
        <v>68</v>
      </c>
      <c r="F340" s="6" t="s">
        <v>39</v>
      </c>
      <c r="G340" s="10">
        <v>1</v>
      </c>
      <c r="H340" s="10">
        <v>1</v>
      </c>
      <c r="I340" s="13">
        <v>8000.0</v>
      </c>
      <c r="J340" s="13"/>
      <c r="K340" s="15">
        <f>IF(I340&gt;0, J340/I340, 0)</f>
        <v>0</v>
      </c>
      <c r="L340" s="13">
        <v>8000.0</v>
      </c>
      <c r="M340" s="13"/>
      <c r="N340" s="13">
        <f>L340-M340</f>
        <v>8000</v>
      </c>
      <c r="O340" s="8" t="s">
        <v>40</v>
      </c>
      <c r="P340" s="8" t="s">
        <v>71</v>
      </c>
      <c r="Q340" s="8" t="s">
        <v>42</v>
      </c>
      <c r="R340" s="6" t="s">
        <v>2190</v>
      </c>
      <c r="S340" s="6" t="s">
        <v>42</v>
      </c>
    </row>
    <row r="341" spans="1:19">
      <c r="A341" s="9">
        <v>334</v>
      </c>
      <c r="B341" s="9" t="s">
        <v>573</v>
      </c>
      <c r="C341" s="9" t="s">
        <v>560</v>
      </c>
      <c r="D341" s="9" t="s">
        <v>198</v>
      </c>
      <c r="E341" s="9" t="s">
        <v>33</v>
      </c>
      <c r="F341" s="7" t="s">
        <v>39</v>
      </c>
      <c r="G341" s="11">
        <v>1</v>
      </c>
      <c r="H341" s="11">
        <v>1</v>
      </c>
      <c r="I341" s="14">
        <v>16000.0</v>
      </c>
      <c r="J341" s="14"/>
      <c r="K341" s="16">
        <f>IF(I341&gt;0, J341/I341, 0)</f>
        <v>0</v>
      </c>
      <c r="L341" s="14">
        <v>16000.0</v>
      </c>
      <c r="M341" s="14"/>
      <c r="N341" s="14">
        <f>L341-M341</f>
        <v>16000</v>
      </c>
      <c r="O341" s="9" t="s">
        <v>40</v>
      </c>
      <c r="P341" s="9" t="s">
        <v>41</v>
      </c>
      <c r="Q341" s="9" t="s">
        <v>42</v>
      </c>
      <c r="R341" s="7" t="s">
        <v>2132</v>
      </c>
      <c r="S341" s="7" t="s">
        <v>42</v>
      </c>
    </row>
    <row r="342" spans="1:19">
      <c r="A342" s="8">
        <v>335</v>
      </c>
      <c r="B342" s="8" t="s">
        <v>574</v>
      </c>
      <c r="C342" s="8" t="s">
        <v>560</v>
      </c>
      <c r="D342" s="8" t="s">
        <v>198</v>
      </c>
      <c r="E342" s="8" t="s">
        <v>33</v>
      </c>
      <c r="F342" s="6" t="s">
        <v>39</v>
      </c>
      <c r="G342" s="10">
        <v>1</v>
      </c>
      <c r="H342" s="10">
        <v>1</v>
      </c>
      <c r="I342" s="13">
        <v>8000.0</v>
      </c>
      <c r="J342" s="13"/>
      <c r="K342" s="15">
        <f>IF(I342&gt;0, J342/I342, 0)</f>
        <v>0</v>
      </c>
      <c r="L342" s="13">
        <v>8000.0</v>
      </c>
      <c r="M342" s="13"/>
      <c r="N342" s="13">
        <f>L342-M342</f>
        <v>8000</v>
      </c>
      <c r="O342" s="8" t="s">
        <v>40</v>
      </c>
      <c r="P342" s="8" t="s">
        <v>41</v>
      </c>
      <c r="Q342" s="8" t="s">
        <v>42</v>
      </c>
      <c r="R342" s="6" t="s">
        <v>2163</v>
      </c>
      <c r="S342" s="6" t="s">
        <v>42</v>
      </c>
    </row>
    <row r="343" spans="1:19">
      <c r="A343" s="9">
        <v>336</v>
      </c>
      <c r="B343" s="9" t="s">
        <v>575</v>
      </c>
      <c r="C343" s="9" t="s">
        <v>560</v>
      </c>
      <c r="D343" s="9" t="s">
        <v>198</v>
      </c>
      <c r="E343" s="9" t="s">
        <v>33</v>
      </c>
      <c r="F343" s="7" t="s">
        <v>39</v>
      </c>
      <c r="G343" s="11">
        <v>1</v>
      </c>
      <c r="H343" s="11">
        <v>1</v>
      </c>
      <c r="I343" s="14">
        <v>7000.0</v>
      </c>
      <c r="J343" s="14"/>
      <c r="K343" s="16">
        <f>IF(I343&gt;0, J343/I343, 0)</f>
        <v>0</v>
      </c>
      <c r="L343" s="14">
        <v>7000.0</v>
      </c>
      <c r="M343" s="14"/>
      <c r="N343" s="14">
        <f>L343-M343</f>
        <v>7000</v>
      </c>
      <c r="O343" s="9" t="s">
        <v>40</v>
      </c>
      <c r="P343" s="9" t="s">
        <v>41</v>
      </c>
      <c r="Q343" s="9" t="s">
        <v>42</v>
      </c>
      <c r="R343" s="7" t="s">
        <v>2131</v>
      </c>
      <c r="S343" s="7" t="s">
        <v>42</v>
      </c>
    </row>
    <row r="344" spans="1:19">
      <c r="A344" s="8">
        <v>337</v>
      </c>
      <c r="B344" s="8" t="s">
        <v>576</v>
      </c>
      <c r="C344" s="8" t="s">
        <v>560</v>
      </c>
      <c r="D344" s="8" t="s">
        <v>198</v>
      </c>
      <c r="E344" s="8" t="s">
        <v>68</v>
      </c>
      <c r="F344" s="6" t="s">
        <v>39</v>
      </c>
      <c r="G344" s="10">
        <v>1</v>
      </c>
      <c r="H344" s="10">
        <v>1</v>
      </c>
      <c r="I344" s="13">
        <v>8000.0</v>
      </c>
      <c r="J344" s="13"/>
      <c r="K344" s="15">
        <f>IF(I344&gt;0, J344/I344, 0)</f>
        <v>0</v>
      </c>
      <c r="L344" s="13">
        <v>8000.0</v>
      </c>
      <c r="M344" s="13"/>
      <c r="N344" s="13">
        <f>L344-M344</f>
        <v>8000</v>
      </c>
      <c r="O344" s="8" t="s">
        <v>40</v>
      </c>
      <c r="P344" s="8" t="s">
        <v>71</v>
      </c>
      <c r="Q344" s="8" t="s">
        <v>42</v>
      </c>
      <c r="R344" s="6" t="s">
        <v>2191</v>
      </c>
      <c r="S344" s="6" t="s">
        <v>42</v>
      </c>
    </row>
    <row r="345" spans="1:19">
      <c r="A345" s="9">
        <v>338</v>
      </c>
      <c r="B345" s="9" t="s">
        <v>578</v>
      </c>
      <c r="C345" s="9" t="s">
        <v>560</v>
      </c>
      <c r="D345" s="9" t="s">
        <v>198</v>
      </c>
      <c r="E345" s="9" t="s">
        <v>33</v>
      </c>
      <c r="F345" s="7" t="s">
        <v>39</v>
      </c>
      <c r="G345" s="11">
        <v>1</v>
      </c>
      <c r="H345" s="11">
        <v>1</v>
      </c>
      <c r="I345" s="14">
        <v>16000.0</v>
      </c>
      <c r="J345" s="14"/>
      <c r="K345" s="16">
        <f>IF(I345&gt;0, J345/I345, 0)</f>
        <v>0</v>
      </c>
      <c r="L345" s="14">
        <v>16000.0</v>
      </c>
      <c r="M345" s="14"/>
      <c r="N345" s="14">
        <f>L345-M345</f>
        <v>16000</v>
      </c>
      <c r="O345" s="9" t="s">
        <v>40</v>
      </c>
      <c r="P345" s="9" t="s">
        <v>41</v>
      </c>
      <c r="Q345" s="9" t="s">
        <v>42</v>
      </c>
      <c r="R345" s="7" t="s">
        <v>2132</v>
      </c>
      <c r="S345" s="7" t="s">
        <v>42</v>
      </c>
    </row>
    <row r="346" spans="1:19">
      <c r="A346" s="8">
        <v>339</v>
      </c>
      <c r="B346" s="8" t="s">
        <v>579</v>
      </c>
      <c r="C346" s="8" t="s">
        <v>560</v>
      </c>
      <c r="D346" s="8" t="s">
        <v>198</v>
      </c>
      <c r="E346" s="8" t="s">
        <v>33</v>
      </c>
      <c r="F346" s="6" t="s">
        <v>39</v>
      </c>
      <c r="G346" s="10">
        <v>1</v>
      </c>
      <c r="H346" s="10">
        <v>1</v>
      </c>
      <c r="I346" s="13">
        <v>8000.0</v>
      </c>
      <c r="J346" s="13"/>
      <c r="K346" s="15">
        <f>IF(I346&gt;0, J346/I346, 0)</f>
        <v>0</v>
      </c>
      <c r="L346" s="13">
        <v>8000.0</v>
      </c>
      <c r="M346" s="13"/>
      <c r="N346" s="13">
        <f>L346-M346</f>
        <v>8000</v>
      </c>
      <c r="O346" s="8" t="s">
        <v>40</v>
      </c>
      <c r="P346" s="8" t="s">
        <v>41</v>
      </c>
      <c r="Q346" s="8" t="s">
        <v>42</v>
      </c>
      <c r="R346" s="6" t="s">
        <v>2163</v>
      </c>
      <c r="S346" s="6" t="s">
        <v>42</v>
      </c>
    </row>
    <row r="347" spans="1:19">
      <c r="A347" s="9">
        <v>340</v>
      </c>
      <c r="B347" s="9" t="s">
        <v>580</v>
      </c>
      <c r="C347" s="9" t="s">
        <v>560</v>
      </c>
      <c r="D347" s="9" t="s">
        <v>198</v>
      </c>
      <c r="E347" s="9" t="s">
        <v>33</v>
      </c>
      <c r="F347" s="7" t="s">
        <v>39</v>
      </c>
      <c r="G347" s="11">
        <v>1</v>
      </c>
      <c r="H347" s="11">
        <v>1</v>
      </c>
      <c r="I347" s="14">
        <v>8000.0</v>
      </c>
      <c r="J347" s="14"/>
      <c r="K347" s="16">
        <f>IF(I347&gt;0, J347/I347, 0)</f>
        <v>0</v>
      </c>
      <c r="L347" s="14">
        <v>8000.0</v>
      </c>
      <c r="M347" s="14"/>
      <c r="N347" s="14">
        <f>L347-M347</f>
        <v>8000</v>
      </c>
      <c r="O347" s="9" t="s">
        <v>40</v>
      </c>
      <c r="P347" s="9" t="s">
        <v>41</v>
      </c>
      <c r="Q347" s="9" t="s">
        <v>42</v>
      </c>
      <c r="R347" s="7" t="s">
        <v>2159</v>
      </c>
      <c r="S347" s="7" t="s">
        <v>42</v>
      </c>
    </row>
    <row r="348" spans="1:19">
      <c r="A348" s="8">
        <v>341</v>
      </c>
      <c r="B348" s="8" t="s">
        <v>581</v>
      </c>
      <c r="C348" s="8" t="s">
        <v>560</v>
      </c>
      <c r="D348" s="8" t="s">
        <v>198</v>
      </c>
      <c r="E348" s="8" t="s">
        <v>33</v>
      </c>
      <c r="F348" s="6" t="s">
        <v>39</v>
      </c>
      <c r="G348" s="10">
        <v>1</v>
      </c>
      <c r="H348" s="10">
        <v>2</v>
      </c>
      <c r="I348" s="13">
        <v>14000.0</v>
      </c>
      <c r="J348" s="13"/>
      <c r="K348" s="15">
        <f>IF(I348&gt;0, J348/I348, 0)</f>
        <v>0</v>
      </c>
      <c r="L348" s="13">
        <v>14000.0</v>
      </c>
      <c r="M348" s="13"/>
      <c r="N348" s="13">
        <f>L348-M348</f>
        <v>14000</v>
      </c>
      <c r="O348" s="8" t="s">
        <v>40</v>
      </c>
      <c r="P348" s="8" t="s">
        <v>41</v>
      </c>
      <c r="Q348" s="8" t="s">
        <v>42</v>
      </c>
      <c r="R348" s="6" t="s">
        <v>2192</v>
      </c>
      <c r="S348" s="6" t="s">
        <v>42</v>
      </c>
    </row>
    <row r="349" spans="1:19">
      <c r="A349" s="9">
        <v>342</v>
      </c>
      <c r="B349" s="9" t="s">
        <v>582</v>
      </c>
      <c r="C349" s="9" t="s">
        <v>560</v>
      </c>
      <c r="D349" s="9" t="s">
        <v>198</v>
      </c>
      <c r="E349" s="9" t="s">
        <v>68</v>
      </c>
      <c r="F349" s="7" t="s">
        <v>39</v>
      </c>
      <c r="G349" s="11">
        <v>1</v>
      </c>
      <c r="H349" s="11">
        <v>1</v>
      </c>
      <c r="I349" s="14">
        <v>10000.0</v>
      </c>
      <c r="J349" s="14"/>
      <c r="K349" s="16">
        <f>IF(I349&gt;0, J349/I349, 0)</f>
        <v>0</v>
      </c>
      <c r="L349" s="14">
        <v>10000.0</v>
      </c>
      <c r="M349" s="14"/>
      <c r="N349" s="14">
        <f>L349-M349</f>
        <v>10000</v>
      </c>
      <c r="O349" s="9" t="s">
        <v>40</v>
      </c>
      <c r="P349" s="9" t="s">
        <v>71</v>
      </c>
      <c r="Q349" s="9" t="s">
        <v>42</v>
      </c>
      <c r="R349" s="7" t="s">
        <v>2138</v>
      </c>
      <c r="S349" s="7" t="s">
        <v>42</v>
      </c>
    </row>
    <row r="350" spans="1:19">
      <c r="A350" s="8">
        <v>343</v>
      </c>
      <c r="B350" s="8" t="s">
        <v>583</v>
      </c>
      <c r="C350" s="8" t="s">
        <v>560</v>
      </c>
      <c r="D350" s="8" t="s">
        <v>198</v>
      </c>
      <c r="E350" s="8" t="s">
        <v>33</v>
      </c>
      <c r="F350" s="6" t="s">
        <v>39</v>
      </c>
      <c r="G350" s="10">
        <v>1</v>
      </c>
      <c r="H350" s="10">
        <v>1</v>
      </c>
      <c r="I350" s="13">
        <v>8000.0</v>
      </c>
      <c r="J350" s="13"/>
      <c r="K350" s="15">
        <f>IF(I350&gt;0, J350/I350, 0)</f>
        <v>0</v>
      </c>
      <c r="L350" s="13">
        <v>8000.0</v>
      </c>
      <c r="M350" s="13"/>
      <c r="N350" s="13">
        <f>L350-M350</f>
        <v>8000</v>
      </c>
      <c r="O350" s="8" t="s">
        <v>40</v>
      </c>
      <c r="P350" s="8" t="s">
        <v>41</v>
      </c>
      <c r="Q350" s="8" t="s">
        <v>42</v>
      </c>
      <c r="R350" s="6" t="s">
        <v>2190</v>
      </c>
      <c r="S350" s="6" t="s">
        <v>42</v>
      </c>
    </row>
    <row r="351" spans="1:19">
      <c r="A351" s="9">
        <v>344</v>
      </c>
      <c r="B351" s="9" t="s">
        <v>584</v>
      </c>
      <c r="C351" s="9" t="s">
        <v>560</v>
      </c>
      <c r="D351" s="9" t="s">
        <v>198</v>
      </c>
      <c r="E351" s="9" t="s">
        <v>33</v>
      </c>
      <c r="F351" s="7" t="s">
        <v>39</v>
      </c>
      <c r="G351" s="11">
        <v>1</v>
      </c>
      <c r="H351" s="11">
        <v>1</v>
      </c>
      <c r="I351" s="14">
        <v>16000.0</v>
      </c>
      <c r="J351" s="14"/>
      <c r="K351" s="16">
        <f>IF(I351&gt;0, J351/I351, 0)</f>
        <v>0</v>
      </c>
      <c r="L351" s="14">
        <v>16000.0</v>
      </c>
      <c r="M351" s="14"/>
      <c r="N351" s="14">
        <f>L351-M351</f>
        <v>16000</v>
      </c>
      <c r="O351" s="9" t="s">
        <v>40</v>
      </c>
      <c r="P351" s="9" t="s">
        <v>41</v>
      </c>
      <c r="Q351" s="9" t="s">
        <v>42</v>
      </c>
      <c r="R351" s="7" t="s">
        <v>2127</v>
      </c>
      <c r="S351" s="7" t="s">
        <v>42</v>
      </c>
    </row>
    <row r="352" spans="1:19">
      <c r="A352" s="8">
        <v>345</v>
      </c>
      <c r="B352" s="8" t="s">
        <v>585</v>
      </c>
      <c r="C352" s="8" t="s">
        <v>560</v>
      </c>
      <c r="D352" s="8" t="s">
        <v>198</v>
      </c>
      <c r="E352" s="8" t="s">
        <v>33</v>
      </c>
      <c r="F352" s="6" t="s">
        <v>39</v>
      </c>
      <c r="G352" s="10">
        <v>1</v>
      </c>
      <c r="H352" s="10">
        <v>1</v>
      </c>
      <c r="I352" s="13">
        <v>8000.0</v>
      </c>
      <c r="J352" s="13"/>
      <c r="K352" s="15">
        <f>IF(I352&gt;0, J352/I352, 0)</f>
        <v>0</v>
      </c>
      <c r="L352" s="13">
        <v>8000.0</v>
      </c>
      <c r="M352" s="13"/>
      <c r="N352" s="13">
        <f>L352-M352</f>
        <v>8000</v>
      </c>
      <c r="O352" s="8" t="s">
        <v>40</v>
      </c>
      <c r="P352" s="8" t="s">
        <v>41</v>
      </c>
      <c r="Q352" s="8" t="s">
        <v>42</v>
      </c>
      <c r="R352" s="6" t="s">
        <v>2163</v>
      </c>
      <c r="S352" s="6" t="s">
        <v>42</v>
      </c>
    </row>
    <row r="353" spans="1:19">
      <c r="A353" s="9">
        <v>346</v>
      </c>
      <c r="B353" s="9" t="s">
        <v>586</v>
      </c>
      <c r="C353" s="9" t="s">
        <v>560</v>
      </c>
      <c r="D353" s="9" t="s">
        <v>198</v>
      </c>
      <c r="E353" s="9" t="s">
        <v>33</v>
      </c>
      <c r="F353" s="7" t="s">
        <v>39</v>
      </c>
      <c r="G353" s="11">
        <v>1</v>
      </c>
      <c r="H353" s="11">
        <v>2</v>
      </c>
      <c r="I353" s="14">
        <v>14000.0</v>
      </c>
      <c r="J353" s="14"/>
      <c r="K353" s="16">
        <f>IF(I353&gt;0, J353/I353, 0)</f>
        <v>0</v>
      </c>
      <c r="L353" s="14">
        <v>14000.0</v>
      </c>
      <c r="M353" s="14"/>
      <c r="N353" s="14">
        <f>L353-M353</f>
        <v>14000</v>
      </c>
      <c r="O353" s="9" t="s">
        <v>40</v>
      </c>
      <c r="P353" s="9" t="s">
        <v>41</v>
      </c>
      <c r="Q353" s="9" t="s">
        <v>42</v>
      </c>
      <c r="R353" s="7" t="s">
        <v>2192</v>
      </c>
      <c r="S353" s="7" t="s">
        <v>42</v>
      </c>
    </row>
    <row r="354" spans="1:19">
      <c r="A354" s="8">
        <v>347</v>
      </c>
      <c r="B354" s="8" t="s">
        <v>587</v>
      </c>
      <c r="C354" s="8" t="s">
        <v>560</v>
      </c>
      <c r="D354" s="8" t="s">
        <v>198</v>
      </c>
      <c r="E354" s="8" t="s">
        <v>33</v>
      </c>
      <c r="F354" s="6" t="s">
        <v>39</v>
      </c>
      <c r="G354" s="10">
        <v>1</v>
      </c>
      <c r="H354" s="10">
        <v>1</v>
      </c>
      <c r="I354" s="13">
        <v>8500.0</v>
      </c>
      <c r="J354" s="13"/>
      <c r="K354" s="15">
        <f>IF(I354&gt;0, J354/I354, 0)</f>
        <v>0</v>
      </c>
      <c r="L354" s="13">
        <v>8500.0</v>
      </c>
      <c r="M354" s="13"/>
      <c r="N354" s="13">
        <f>L354-M354</f>
        <v>8500</v>
      </c>
      <c r="O354" s="8" t="s">
        <v>40</v>
      </c>
      <c r="P354" s="8" t="s">
        <v>41</v>
      </c>
      <c r="Q354" s="8" t="s">
        <v>42</v>
      </c>
      <c r="R354" s="6" t="s">
        <v>2099</v>
      </c>
      <c r="S354" s="6" t="s">
        <v>42</v>
      </c>
    </row>
    <row r="355" spans="1:19">
      <c r="A355" s="9">
        <v>348</v>
      </c>
      <c r="B355" s="9" t="s">
        <v>588</v>
      </c>
      <c r="C355" s="9" t="s">
        <v>560</v>
      </c>
      <c r="D355" s="9" t="s">
        <v>198</v>
      </c>
      <c r="E355" s="9" t="s">
        <v>33</v>
      </c>
      <c r="F355" s="7" t="s">
        <v>39</v>
      </c>
      <c r="G355" s="11">
        <v>1</v>
      </c>
      <c r="H355" s="11">
        <v>2</v>
      </c>
      <c r="I355" s="14">
        <v>16000.0</v>
      </c>
      <c r="J355" s="14"/>
      <c r="K355" s="16">
        <f>IF(I355&gt;0, J355/I355, 0)</f>
        <v>0</v>
      </c>
      <c r="L355" s="14">
        <v>16000.0</v>
      </c>
      <c r="M355" s="14"/>
      <c r="N355" s="14">
        <f>L355-M355</f>
        <v>16000</v>
      </c>
      <c r="O355" s="9" t="s">
        <v>40</v>
      </c>
      <c r="P355" s="9" t="s">
        <v>41</v>
      </c>
      <c r="Q355" s="9" t="s">
        <v>42</v>
      </c>
      <c r="R355" s="7" t="s">
        <v>2147</v>
      </c>
      <c r="S355" s="7" t="s">
        <v>42</v>
      </c>
    </row>
    <row r="356" spans="1:19">
      <c r="A356" s="8">
        <v>349</v>
      </c>
      <c r="B356" s="8" t="s">
        <v>589</v>
      </c>
      <c r="C356" s="8" t="s">
        <v>560</v>
      </c>
      <c r="D356" s="8" t="s">
        <v>198</v>
      </c>
      <c r="E356" s="8" t="s">
        <v>33</v>
      </c>
      <c r="F356" s="6" t="s">
        <v>39</v>
      </c>
      <c r="G356" s="10">
        <v>1</v>
      </c>
      <c r="H356" s="10">
        <v>1</v>
      </c>
      <c r="I356" s="13">
        <v>8000.0</v>
      </c>
      <c r="J356" s="13"/>
      <c r="K356" s="15">
        <f>IF(I356&gt;0, J356/I356, 0)</f>
        <v>0</v>
      </c>
      <c r="L356" s="13">
        <v>8000.0</v>
      </c>
      <c r="M356" s="13"/>
      <c r="N356" s="13">
        <f>L356-M356</f>
        <v>8000</v>
      </c>
      <c r="O356" s="8" t="s">
        <v>40</v>
      </c>
      <c r="P356" s="8" t="s">
        <v>41</v>
      </c>
      <c r="Q356" s="8" t="s">
        <v>42</v>
      </c>
      <c r="R356" s="6" t="s">
        <v>2159</v>
      </c>
      <c r="S356" s="6" t="s">
        <v>42</v>
      </c>
    </row>
    <row r="357" spans="1:19">
      <c r="A357" s="9">
        <v>350</v>
      </c>
      <c r="B357" s="9" t="s">
        <v>590</v>
      </c>
      <c r="C357" s="9" t="s">
        <v>560</v>
      </c>
      <c r="D357" s="9" t="s">
        <v>198</v>
      </c>
      <c r="E357" s="9" t="s">
        <v>33</v>
      </c>
      <c r="F357" s="7" t="s">
        <v>39</v>
      </c>
      <c r="G357" s="11">
        <v>1</v>
      </c>
      <c r="H357" s="11">
        <v>1</v>
      </c>
      <c r="I357" s="14">
        <v>16000.0</v>
      </c>
      <c r="J357" s="14"/>
      <c r="K357" s="16">
        <f>IF(I357&gt;0, J357/I357, 0)</f>
        <v>0</v>
      </c>
      <c r="L357" s="14">
        <v>16000.0</v>
      </c>
      <c r="M357" s="14"/>
      <c r="N357" s="14">
        <f>L357-M357</f>
        <v>16000</v>
      </c>
      <c r="O357" s="9" t="s">
        <v>40</v>
      </c>
      <c r="P357" s="9" t="s">
        <v>41</v>
      </c>
      <c r="Q357" s="9" t="s">
        <v>42</v>
      </c>
      <c r="R357" s="7" t="s">
        <v>2132</v>
      </c>
      <c r="S357" s="7" t="s">
        <v>42</v>
      </c>
    </row>
    <row r="358" spans="1:19">
      <c r="A358" s="8">
        <v>351</v>
      </c>
      <c r="B358" s="8" t="s">
        <v>591</v>
      </c>
      <c r="C358" s="8" t="s">
        <v>592</v>
      </c>
      <c r="D358" s="8" t="s">
        <v>198</v>
      </c>
      <c r="E358" s="8" t="s">
        <v>33</v>
      </c>
      <c r="F358" s="6" t="s">
        <v>39</v>
      </c>
      <c r="G358" s="10">
        <v>1</v>
      </c>
      <c r="H358" s="10">
        <v>1</v>
      </c>
      <c r="I358" s="13">
        <v>9000.0</v>
      </c>
      <c r="J358" s="13"/>
      <c r="K358" s="15">
        <f>IF(I358&gt;0, J358/I358, 0)</f>
        <v>0</v>
      </c>
      <c r="L358" s="13">
        <v>9000.0</v>
      </c>
      <c r="M358" s="13"/>
      <c r="N358" s="13">
        <f>L358-M358</f>
        <v>9000</v>
      </c>
      <c r="O358" s="8" t="s">
        <v>40</v>
      </c>
      <c r="P358" s="8" t="s">
        <v>41</v>
      </c>
      <c r="Q358" s="8" t="s">
        <v>42</v>
      </c>
      <c r="R358" s="6" t="s">
        <v>2137</v>
      </c>
      <c r="S358" s="6" t="s">
        <v>42</v>
      </c>
    </row>
    <row r="359" spans="1:19">
      <c r="A359" s="9">
        <v>352</v>
      </c>
      <c r="B359" s="9" t="s">
        <v>593</v>
      </c>
      <c r="C359" s="9" t="s">
        <v>592</v>
      </c>
      <c r="D359" s="9" t="s">
        <v>198</v>
      </c>
      <c r="E359" s="9" t="s">
        <v>33</v>
      </c>
      <c r="F359" s="7" t="s">
        <v>39</v>
      </c>
      <c r="G359" s="11">
        <v>1</v>
      </c>
      <c r="H359" s="11">
        <v>1</v>
      </c>
      <c r="I359" s="14">
        <v>18000.0</v>
      </c>
      <c r="J359" s="14"/>
      <c r="K359" s="16">
        <f>IF(I359&gt;0, J359/I359, 0)</f>
        <v>0</v>
      </c>
      <c r="L359" s="14">
        <v>18000.0</v>
      </c>
      <c r="M359" s="14"/>
      <c r="N359" s="14">
        <f>L359-M359</f>
        <v>18000</v>
      </c>
      <c r="O359" s="9" t="s">
        <v>40</v>
      </c>
      <c r="P359" s="9" t="s">
        <v>41</v>
      </c>
      <c r="Q359" s="9" t="s">
        <v>42</v>
      </c>
      <c r="R359" s="7" t="s">
        <v>2193</v>
      </c>
      <c r="S359" s="7" t="s">
        <v>42</v>
      </c>
    </row>
    <row r="360" spans="1:19">
      <c r="A360" s="8">
        <v>353</v>
      </c>
      <c r="B360" s="8" t="s">
        <v>595</v>
      </c>
      <c r="C360" s="8" t="s">
        <v>592</v>
      </c>
      <c r="D360" s="8" t="s">
        <v>198</v>
      </c>
      <c r="E360" s="8" t="s">
        <v>33</v>
      </c>
      <c r="F360" s="6" t="s">
        <v>39</v>
      </c>
      <c r="G360" s="10">
        <v>1</v>
      </c>
      <c r="H360" s="10">
        <v>1</v>
      </c>
      <c r="I360" s="13">
        <v>10000.0</v>
      </c>
      <c r="J360" s="13"/>
      <c r="K360" s="15">
        <f>IF(I360&gt;0, J360/I360, 0)</f>
        <v>0</v>
      </c>
      <c r="L360" s="13">
        <v>10000.0</v>
      </c>
      <c r="M360" s="13"/>
      <c r="N360" s="13">
        <f>L360-M360</f>
        <v>10000</v>
      </c>
      <c r="O360" s="8" t="s">
        <v>40</v>
      </c>
      <c r="P360" s="8" t="s">
        <v>41</v>
      </c>
      <c r="Q360" s="8" t="s">
        <v>42</v>
      </c>
      <c r="R360" s="6" t="s">
        <v>2130</v>
      </c>
      <c r="S360" s="6" t="s">
        <v>42</v>
      </c>
    </row>
    <row r="361" spans="1:19">
      <c r="A361" s="9">
        <v>354</v>
      </c>
      <c r="B361" s="9" t="s">
        <v>596</v>
      </c>
      <c r="C361" s="9" t="s">
        <v>592</v>
      </c>
      <c r="D361" s="9" t="s">
        <v>198</v>
      </c>
      <c r="E361" s="9" t="s">
        <v>68</v>
      </c>
      <c r="F361" s="7" t="s">
        <v>39</v>
      </c>
      <c r="G361" s="11">
        <v>1</v>
      </c>
      <c r="H361" s="11">
        <v>1</v>
      </c>
      <c r="I361" s="14">
        <v>8000.0</v>
      </c>
      <c r="J361" s="14"/>
      <c r="K361" s="16">
        <f>IF(I361&gt;0, J361/I361, 0)</f>
        <v>0</v>
      </c>
      <c r="L361" s="14">
        <v>8000.0</v>
      </c>
      <c r="M361" s="14"/>
      <c r="N361" s="14">
        <f>L361-M361</f>
        <v>8000</v>
      </c>
      <c r="O361" s="9" t="s">
        <v>40</v>
      </c>
      <c r="P361" s="9" t="s">
        <v>71</v>
      </c>
      <c r="Q361" s="9" t="s">
        <v>42</v>
      </c>
      <c r="R361" s="7" t="s">
        <v>2194</v>
      </c>
      <c r="S361" s="7" t="s">
        <v>42</v>
      </c>
    </row>
    <row r="362" spans="1:19">
      <c r="A362" s="8">
        <v>355</v>
      </c>
      <c r="B362" s="8" t="s">
        <v>598</v>
      </c>
      <c r="C362" s="8" t="s">
        <v>592</v>
      </c>
      <c r="D362" s="8" t="s">
        <v>198</v>
      </c>
      <c r="E362" s="8" t="s">
        <v>33</v>
      </c>
      <c r="F362" s="6" t="s">
        <v>39</v>
      </c>
      <c r="G362" s="10">
        <v>1</v>
      </c>
      <c r="H362" s="10">
        <v>1</v>
      </c>
      <c r="I362" s="13">
        <v>15000.0</v>
      </c>
      <c r="J362" s="13"/>
      <c r="K362" s="15">
        <f>IF(I362&gt;0, J362/I362, 0)</f>
        <v>0</v>
      </c>
      <c r="L362" s="13">
        <v>15000.0</v>
      </c>
      <c r="M362" s="13"/>
      <c r="N362" s="13">
        <f>L362-M362</f>
        <v>15000</v>
      </c>
      <c r="O362" s="8" t="s">
        <v>40</v>
      </c>
      <c r="P362" s="8" t="s">
        <v>41</v>
      </c>
      <c r="Q362" s="8" t="s">
        <v>42</v>
      </c>
      <c r="R362" s="6" t="s">
        <v>2195</v>
      </c>
      <c r="S362" s="6" t="s">
        <v>42</v>
      </c>
    </row>
    <row r="363" spans="1:19">
      <c r="A363" s="9">
        <v>356</v>
      </c>
      <c r="B363" s="9" t="s">
        <v>601</v>
      </c>
      <c r="C363" s="9" t="s">
        <v>592</v>
      </c>
      <c r="D363" s="9" t="s">
        <v>198</v>
      </c>
      <c r="E363" s="9" t="s">
        <v>33</v>
      </c>
      <c r="F363" s="7" t="s">
        <v>39</v>
      </c>
      <c r="G363" s="11">
        <v>1</v>
      </c>
      <c r="H363" s="11">
        <v>1</v>
      </c>
      <c r="I363" s="14">
        <v>18000.0</v>
      </c>
      <c r="J363" s="14"/>
      <c r="K363" s="16">
        <f>IF(I363&gt;0, J363/I363, 0)</f>
        <v>0</v>
      </c>
      <c r="L363" s="14">
        <v>18000.0</v>
      </c>
      <c r="M363" s="14"/>
      <c r="N363" s="14">
        <f>L363-M363</f>
        <v>18000</v>
      </c>
      <c r="O363" s="9" t="s">
        <v>40</v>
      </c>
      <c r="P363" s="9" t="s">
        <v>41</v>
      </c>
      <c r="Q363" s="9" t="s">
        <v>42</v>
      </c>
      <c r="R363" s="7" t="s">
        <v>2170</v>
      </c>
      <c r="S363" s="7" t="s">
        <v>42</v>
      </c>
    </row>
    <row r="364" spans="1:19">
      <c r="A364" s="8">
        <v>357</v>
      </c>
      <c r="B364" s="8" t="s">
        <v>602</v>
      </c>
      <c r="C364" s="8" t="s">
        <v>592</v>
      </c>
      <c r="D364" s="8" t="s">
        <v>198</v>
      </c>
      <c r="E364" s="8" t="s">
        <v>33</v>
      </c>
      <c r="F364" s="6" t="s">
        <v>39</v>
      </c>
      <c r="G364" s="10">
        <v>1</v>
      </c>
      <c r="H364" s="10">
        <v>1</v>
      </c>
      <c r="I364" s="13">
        <v>16000.0</v>
      </c>
      <c r="J364" s="13"/>
      <c r="K364" s="15">
        <f>IF(I364&gt;0, J364/I364, 0)</f>
        <v>0</v>
      </c>
      <c r="L364" s="13">
        <v>16000.0</v>
      </c>
      <c r="M364" s="13"/>
      <c r="N364" s="13">
        <f>L364-M364</f>
        <v>16000</v>
      </c>
      <c r="O364" s="8" t="s">
        <v>40</v>
      </c>
      <c r="P364" s="8" t="s">
        <v>41</v>
      </c>
      <c r="Q364" s="8" t="s">
        <v>42</v>
      </c>
      <c r="R364" s="6" t="s">
        <v>2132</v>
      </c>
      <c r="S364" s="6" t="s">
        <v>42</v>
      </c>
    </row>
    <row r="365" spans="1:19">
      <c r="A365" s="9">
        <v>358</v>
      </c>
      <c r="B365" s="9" t="s">
        <v>603</v>
      </c>
      <c r="C365" s="9" t="s">
        <v>592</v>
      </c>
      <c r="D365" s="9" t="s">
        <v>198</v>
      </c>
      <c r="E365" s="9" t="s">
        <v>33</v>
      </c>
      <c r="F365" s="7" t="s">
        <v>39</v>
      </c>
      <c r="G365" s="11">
        <v>1</v>
      </c>
      <c r="H365" s="11">
        <v>1</v>
      </c>
      <c r="I365" s="14">
        <v>8000.0</v>
      </c>
      <c r="J365" s="14"/>
      <c r="K365" s="16">
        <f>IF(I365&gt;0, J365/I365, 0)</f>
        <v>0</v>
      </c>
      <c r="L365" s="14">
        <v>8000.0</v>
      </c>
      <c r="M365" s="14"/>
      <c r="N365" s="14">
        <f>L365-M365</f>
        <v>8000</v>
      </c>
      <c r="O365" s="9" t="s">
        <v>40</v>
      </c>
      <c r="P365" s="9" t="s">
        <v>41</v>
      </c>
      <c r="Q365" s="9" t="s">
        <v>42</v>
      </c>
      <c r="R365" s="7" t="s">
        <v>2163</v>
      </c>
      <c r="S365" s="7" t="s">
        <v>42</v>
      </c>
    </row>
    <row r="366" spans="1:19">
      <c r="A366" s="8">
        <v>359</v>
      </c>
      <c r="B366" s="8" t="s">
        <v>604</v>
      </c>
      <c r="C366" s="8" t="s">
        <v>592</v>
      </c>
      <c r="D366" s="8" t="s">
        <v>198</v>
      </c>
      <c r="E366" s="8" t="s">
        <v>33</v>
      </c>
      <c r="F366" s="6" t="s">
        <v>39</v>
      </c>
      <c r="G366" s="10">
        <v>1</v>
      </c>
      <c r="H366" s="10">
        <v>1</v>
      </c>
      <c r="I366" s="13">
        <v>8000.0</v>
      </c>
      <c r="J366" s="13"/>
      <c r="K366" s="15">
        <f>IF(I366&gt;0, J366/I366, 0)</f>
        <v>0</v>
      </c>
      <c r="L366" s="13">
        <v>8000.0</v>
      </c>
      <c r="M366" s="13"/>
      <c r="N366" s="13">
        <f>L366-M366</f>
        <v>8000</v>
      </c>
      <c r="O366" s="8" t="s">
        <v>40</v>
      </c>
      <c r="P366" s="8" t="s">
        <v>41</v>
      </c>
      <c r="Q366" s="8" t="s">
        <v>42</v>
      </c>
      <c r="R366" s="6" t="s">
        <v>2196</v>
      </c>
      <c r="S366" s="6" t="s">
        <v>42</v>
      </c>
    </row>
    <row r="367" spans="1:19">
      <c r="A367" s="9">
        <v>360</v>
      </c>
      <c r="B367" s="9" t="s">
        <v>606</v>
      </c>
      <c r="C367" s="9" t="s">
        <v>592</v>
      </c>
      <c r="D367" s="9" t="s">
        <v>198</v>
      </c>
      <c r="E367" s="9" t="s">
        <v>33</v>
      </c>
      <c r="F367" s="7" t="s">
        <v>39</v>
      </c>
      <c r="G367" s="11">
        <v>1</v>
      </c>
      <c r="H367" s="11">
        <v>1</v>
      </c>
      <c r="I367" s="14">
        <v>7000.0</v>
      </c>
      <c r="J367" s="14"/>
      <c r="K367" s="16">
        <f>IF(I367&gt;0, J367/I367, 0)</f>
        <v>0</v>
      </c>
      <c r="L367" s="14">
        <v>7000.0</v>
      </c>
      <c r="M367" s="14"/>
      <c r="N367" s="14">
        <f>L367-M367</f>
        <v>7000</v>
      </c>
      <c r="O367" s="9" t="s">
        <v>40</v>
      </c>
      <c r="P367" s="9" t="s">
        <v>41</v>
      </c>
      <c r="Q367" s="9" t="s">
        <v>42</v>
      </c>
      <c r="R367" s="7" t="s">
        <v>2142</v>
      </c>
      <c r="S367" s="7" t="s">
        <v>42</v>
      </c>
    </row>
    <row r="368" spans="1:19">
      <c r="A368" s="8">
        <v>361</v>
      </c>
      <c r="B368" s="8" t="s">
        <v>607</v>
      </c>
      <c r="C368" s="8" t="s">
        <v>592</v>
      </c>
      <c r="D368" s="8" t="s">
        <v>198</v>
      </c>
      <c r="E368" s="8" t="s">
        <v>33</v>
      </c>
      <c r="F368" s="6" t="s">
        <v>39</v>
      </c>
      <c r="G368" s="10">
        <v>1</v>
      </c>
      <c r="H368" s="10">
        <v>1</v>
      </c>
      <c r="I368" s="13">
        <v>5000.0</v>
      </c>
      <c r="J368" s="13"/>
      <c r="K368" s="15">
        <f>IF(I368&gt;0, J368/I368, 0)</f>
        <v>0</v>
      </c>
      <c r="L368" s="13">
        <v>5000.0</v>
      </c>
      <c r="M368" s="13"/>
      <c r="N368" s="13">
        <f>L368-M368</f>
        <v>5000</v>
      </c>
      <c r="O368" s="8" t="s">
        <v>40</v>
      </c>
      <c r="P368" s="8" t="s">
        <v>41</v>
      </c>
      <c r="Q368" s="8" t="s">
        <v>42</v>
      </c>
      <c r="R368" s="6" t="s">
        <v>2197</v>
      </c>
      <c r="S368" s="6" t="s">
        <v>42</v>
      </c>
    </row>
    <row r="369" spans="1:19">
      <c r="A369" s="9">
        <v>362</v>
      </c>
      <c r="B369" s="9" t="s">
        <v>610</v>
      </c>
      <c r="C369" s="9" t="s">
        <v>592</v>
      </c>
      <c r="D369" s="9" t="s">
        <v>198</v>
      </c>
      <c r="E369" s="9" t="s">
        <v>33</v>
      </c>
      <c r="F369" s="7" t="s">
        <v>39</v>
      </c>
      <c r="G369" s="11">
        <v>1</v>
      </c>
      <c r="H369" s="11">
        <v>1</v>
      </c>
      <c r="I369" s="14">
        <v>9000.0</v>
      </c>
      <c r="J369" s="14"/>
      <c r="K369" s="16">
        <f>IF(I369&gt;0, J369/I369, 0)</f>
        <v>0</v>
      </c>
      <c r="L369" s="14">
        <v>9000.0</v>
      </c>
      <c r="M369" s="14"/>
      <c r="N369" s="14">
        <f>L369-M369</f>
        <v>9000</v>
      </c>
      <c r="O369" s="9" t="s">
        <v>40</v>
      </c>
      <c r="P369" s="9" t="s">
        <v>41</v>
      </c>
      <c r="Q369" s="9" t="s">
        <v>42</v>
      </c>
      <c r="R369" s="7" t="s">
        <v>2121</v>
      </c>
      <c r="S369" s="7" t="s">
        <v>42</v>
      </c>
    </row>
    <row r="370" spans="1:19">
      <c r="A370" s="8">
        <v>363</v>
      </c>
      <c r="B370" s="8" t="s">
        <v>611</v>
      </c>
      <c r="C370" s="8" t="s">
        <v>592</v>
      </c>
      <c r="D370" s="8" t="s">
        <v>198</v>
      </c>
      <c r="E370" s="8" t="s">
        <v>33</v>
      </c>
      <c r="F370" s="6" t="s">
        <v>39</v>
      </c>
      <c r="G370" s="10">
        <v>1</v>
      </c>
      <c r="H370" s="10">
        <v>1</v>
      </c>
      <c r="I370" s="13">
        <v>8000.0</v>
      </c>
      <c r="J370" s="13"/>
      <c r="K370" s="15">
        <f>IF(I370&gt;0, J370/I370, 0)</f>
        <v>0</v>
      </c>
      <c r="L370" s="13">
        <v>8000.0</v>
      </c>
      <c r="M370" s="13"/>
      <c r="N370" s="13">
        <f>L370-M370</f>
        <v>8000</v>
      </c>
      <c r="O370" s="8" t="s">
        <v>40</v>
      </c>
      <c r="P370" s="8" t="s">
        <v>41</v>
      </c>
      <c r="Q370" s="8" t="s">
        <v>42</v>
      </c>
      <c r="R370" s="6" t="s">
        <v>2152</v>
      </c>
      <c r="S370" s="6" t="s">
        <v>42</v>
      </c>
    </row>
    <row r="371" spans="1:19">
      <c r="A371" s="9">
        <v>364</v>
      </c>
      <c r="B371" s="9" t="s">
        <v>612</v>
      </c>
      <c r="C371" s="9" t="s">
        <v>592</v>
      </c>
      <c r="D371" s="9" t="s">
        <v>198</v>
      </c>
      <c r="E371" s="9" t="s">
        <v>33</v>
      </c>
      <c r="F371" s="7" t="s">
        <v>39</v>
      </c>
      <c r="G371" s="11">
        <v>1</v>
      </c>
      <c r="H371" s="11">
        <v>1</v>
      </c>
      <c r="I371" s="14">
        <v>18000.0</v>
      </c>
      <c r="J371" s="14"/>
      <c r="K371" s="16">
        <f>IF(I371&gt;0, J371/I371, 0)</f>
        <v>0</v>
      </c>
      <c r="L371" s="14">
        <v>18000.0</v>
      </c>
      <c r="M371" s="14"/>
      <c r="N371" s="14">
        <f>L371-M371</f>
        <v>18000</v>
      </c>
      <c r="O371" s="9" t="s">
        <v>40</v>
      </c>
      <c r="P371" s="9" t="s">
        <v>41</v>
      </c>
      <c r="Q371" s="9" t="s">
        <v>42</v>
      </c>
      <c r="R371" s="7" t="s">
        <v>2075</v>
      </c>
      <c r="S371" s="7" t="s">
        <v>42</v>
      </c>
    </row>
    <row r="372" spans="1:19">
      <c r="A372" s="8">
        <v>365</v>
      </c>
      <c r="B372" s="8" t="s">
        <v>613</v>
      </c>
      <c r="C372" s="8" t="s">
        <v>592</v>
      </c>
      <c r="D372" s="8" t="s">
        <v>198</v>
      </c>
      <c r="E372" s="8" t="s">
        <v>33</v>
      </c>
      <c r="F372" s="6" t="s">
        <v>39</v>
      </c>
      <c r="G372" s="10">
        <v>1</v>
      </c>
      <c r="H372" s="10">
        <v>2</v>
      </c>
      <c r="I372" s="13">
        <v>18000.0</v>
      </c>
      <c r="J372" s="13"/>
      <c r="K372" s="15">
        <f>IF(I372&gt;0, J372/I372, 0)</f>
        <v>0</v>
      </c>
      <c r="L372" s="13">
        <v>18000.0</v>
      </c>
      <c r="M372" s="13"/>
      <c r="N372" s="13">
        <f>L372-M372</f>
        <v>18000</v>
      </c>
      <c r="O372" s="8" t="s">
        <v>40</v>
      </c>
      <c r="P372" s="8" t="s">
        <v>41</v>
      </c>
      <c r="Q372" s="8" t="s">
        <v>42</v>
      </c>
      <c r="R372" s="6" t="s">
        <v>2143</v>
      </c>
      <c r="S372" s="6" t="s">
        <v>42</v>
      </c>
    </row>
    <row r="373" spans="1:19">
      <c r="A373" s="9">
        <v>366</v>
      </c>
      <c r="B373" s="9" t="s">
        <v>614</v>
      </c>
      <c r="C373" s="9" t="s">
        <v>592</v>
      </c>
      <c r="D373" s="9" t="s">
        <v>198</v>
      </c>
      <c r="E373" s="9" t="s">
        <v>68</v>
      </c>
      <c r="F373" s="7" t="s">
        <v>39</v>
      </c>
      <c r="G373" s="11">
        <v>1</v>
      </c>
      <c r="H373" s="11">
        <v>1</v>
      </c>
      <c r="I373" s="14">
        <v>5000.0</v>
      </c>
      <c r="J373" s="14"/>
      <c r="K373" s="16">
        <f>IF(I373&gt;0, J373/I373, 0)</f>
        <v>0</v>
      </c>
      <c r="L373" s="14">
        <v>5000.0</v>
      </c>
      <c r="M373" s="14"/>
      <c r="N373" s="14">
        <f>L373-M373</f>
        <v>5000</v>
      </c>
      <c r="O373" s="9" t="s">
        <v>40</v>
      </c>
      <c r="P373" s="9" t="s">
        <v>71</v>
      </c>
      <c r="Q373" s="9" t="s">
        <v>42</v>
      </c>
      <c r="R373" s="7" t="s">
        <v>2188</v>
      </c>
      <c r="S373" s="7" t="s">
        <v>42</v>
      </c>
    </row>
    <row r="374" spans="1:19">
      <c r="A374" s="8">
        <v>367</v>
      </c>
      <c r="B374" s="8" t="s">
        <v>615</v>
      </c>
      <c r="C374" s="8" t="s">
        <v>592</v>
      </c>
      <c r="D374" s="8" t="s">
        <v>198</v>
      </c>
      <c r="E374" s="8" t="s">
        <v>33</v>
      </c>
      <c r="F374" s="6" t="s">
        <v>39</v>
      </c>
      <c r="G374" s="10">
        <v>1</v>
      </c>
      <c r="H374" s="10">
        <v>2</v>
      </c>
      <c r="I374" s="13">
        <v>14000.0</v>
      </c>
      <c r="J374" s="13"/>
      <c r="K374" s="15">
        <f>IF(I374&gt;0, J374/I374, 0)</f>
        <v>0</v>
      </c>
      <c r="L374" s="13">
        <v>14000.0</v>
      </c>
      <c r="M374" s="13"/>
      <c r="N374" s="13">
        <f>L374-M374</f>
        <v>14000</v>
      </c>
      <c r="O374" s="8" t="s">
        <v>40</v>
      </c>
      <c r="P374" s="8" t="s">
        <v>41</v>
      </c>
      <c r="Q374" s="8" t="s">
        <v>42</v>
      </c>
      <c r="R374" s="6" t="s">
        <v>2198</v>
      </c>
      <c r="S374" s="6" t="s">
        <v>42</v>
      </c>
    </row>
    <row r="375" spans="1:19">
      <c r="A375" s="9">
        <v>368</v>
      </c>
      <c r="B375" s="9" t="s">
        <v>616</v>
      </c>
      <c r="C375" s="9" t="s">
        <v>592</v>
      </c>
      <c r="D375" s="9" t="s">
        <v>198</v>
      </c>
      <c r="E375" s="9" t="s">
        <v>33</v>
      </c>
      <c r="F375" s="7" t="s">
        <v>39</v>
      </c>
      <c r="G375" s="11">
        <v>1</v>
      </c>
      <c r="H375" s="11">
        <v>1</v>
      </c>
      <c r="I375" s="14">
        <v>18000.0</v>
      </c>
      <c r="J375" s="14"/>
      <c r="K375" s="16">
        <f>IF(I375&gt;0, J375/I375, 0)</f>
        <v>0</v>
      </c>
      <c r="L375" s="14">
        <v>18000.0</v>
      </c>
      <c r="M375" s="14"/>
      <c r="N375" s="14">
        <f>L375-M375</f>
        <v>18000</v>
      </c>
      <c r="O375" s="9" t="s">
        <v>40</v>
      </c>
      <c r="P375" s="9" t="s">
        <v>41</v>
      </c>
      <c r="Q375" s="9" t="s">
        <v>42</v>
      </c>
      <c r="R375" s="7" t="s">
        <v>2166</v>
      </c>
      <c r="S375" s="7" t="s">
        <v>42</v>
      </c>
    </row>
    <row r="376" spans="1:19">
      <c r="A376" s="8">
        <v>369</v>
      </c>
      <c r="B376" s="8" t="s">
        <v>617</v>
      </c>
      <c r="C376" s="8" t="s">
        <v>592</v>
      </c>
      <c r="D376" s="8" t="s">
        <v>198</v>
      </c>
      <c r="E376" s="8" t="s">
        <v>33</v>
      </c>
      <c r="F376" s="6" t="s">
        <v>39</v>
      </c>
      <c r="G376" s="10">
        <v>1</v>
      </c>
      <c r="H376" s="10">
        <v>1</v>
      </c>
      <c r="I376" s="13">
        <v>8000.0</v>
      </c>
      <c r="J376" s="13"/>
      <c r="K376" s="15">
        <f>IF(I376&gt;0, J376/I376, 0)</f>
        <v>0</v>
      </c>
      <c r="L376" s="13">
        <v>8000.0</v>
      </c>
      <c r="M376" s="13"/>
      <c r="N376" s="13">
        <f>L376-M376</f>
        <v>8000</v>
      </c>
      <c r="O376" s="8" t="s">
        <v>40</v>
      </c>
      <c r="P376" s="8" t="s">
        <v>41</v>
      </c>
      <c r="Q376" s="8" t="s">
        <v>42</v>
      </c>
      <c r="R376" s="6" t="s">
        <v>2167</v>
      </c>
      <c r="S376" s="6" t="s">
        <v>42</v>
      </c>
    </row>
    <row r="377" spans="1:19">
      <c r="A377" s="9">
        <v>370</v>
      </c>
      <c r="B377" s="9" t="s">
        <v>618</v>
      </c>
      <c r="C377" s="9" t="s">
        <v>592</v>
      </c>
      <c r="D377" s="9" t="s">
        <v>198</v>
      </c>
      <c r="E377" s="9" t="s">
        <v>33</v>
      </c>
      <c r="F377" s="7" t="s">
        <v>39</v>
      </c>
      <c r="G377" s="11">
        <v>1</v>
      </c>
      <c r="H377" s="11">
        <v>2</v>
      </c>
      <c r="I377" s="14">
        <v>14000.0</v>
      </c>
      <c r="J377" s="14"/>
      <c r="K377" s="16">
        <f>IF(I377&gt;0, J377/I377, 0)</f>
        <v>0</v>
      </c>
      <c r="L377" s="14">
        <v>14000.0</v>
      </c>
      <c r="M377" s="14"/>
      <c r="N377" s="14">
        <f>L377-M377</f>
        <v>14000</v>
      </c>
      <c r="O377" s="9" t="s">
        <v>40</v>
      </c>
      <c r="P377" s="9" t="s">
        <v>41</v>
      </c>
      <c r="Q377" s="9" t="s">
        <v>42</v>
      </c>
      <c r="R377" s="7" t="s">
        <v>2117</v>
      </c>
      <c r="S377" s="7" t="s">
        <v>42</v>
      </c>
    </row>
    <row r="378" spans="1:19">
      <c r="A378" s="8">
        <v>371</v>
      </c>
      <c r="B378" s="8" t="s">
        <v>619</v>
      </c>
      <c r="C378" s="8" t="s">
        <v>592</v>
      </c>
      <c r="D378" s="8" t="s">
        <v>198</v>
      </c>
      <c r="E378" s="8" t="s">
        <v>68</v>
      </c>
      <c r="F378" s="6" t="s">
        <v>39</v>
      </c>
      <c r="G378" s="10">
        <v>1</v>
      </c>
      <c r="H378" s="10">
        <v>1</v>
      </c>
      <c r="I378" s="13">
        <v>8000.0</v>
      </c>
      <c r="J378" s="13"/>
      <c r="K378" s="15">
        <f>IF(I378&gt;0, J378/I378, 0)</f>
        <v>0</v>
      </c>
      <c r="L378" s="13">
        <v>8000.0</v>
      </c>
      <c r="M378" s="13"/>
      <c r="N378" s="13">
        <f>L378-M378</f>
        <v>8000</v>
      </c>
      <c r="O378" s="8" t="s">
        <v>40</v>
      </c>
      <c r="P378" s="8" t="s">
        <v>71</v>
      </c>
      <c r="Q378" s="8" t="s">
        <v>42</v>
      </c>
      <c r="R378" s="6" t="s">
        <v>2194</v>
      </c>
      <c r="S378" s="6" t="s">
        <v>42</v>
      </c>
    </row>
    <row r="379" spans="1:19">
      <c r="A379" s="9">
        <v>372</v>
      </c>
      <c r="B379" s="9" t="s">
        <v>620</v>
      </c>
      <c r="C379" s="9" t="s">
        <v>592</v>
      </c>
      <c r="D379" s="9" t="s">
        <v>198</v>
      </c>
      <c r="E379" s="9" t="s">
        <v>33</v>
      </c>
      <c r="F379" s="7" t="s">
        <v>39</v>
      </c>
      <c r="G379" s="11">
        <v>1</v>
      </c>
      <c r="H379" s="11">
        <v>1</v>
      </c>
      <c r="I379" s="14">
        <v>16000.0</v>
      </c>
      <c r="J379" s="14"/>
      <c r="K379" s="16">
        <f>IF(I379&gt;0, J379/I379, 0)</f>
        <v>0</v>
      </c>
      <c r="L379" s="14">
        <v>16000.0</v>
      </c>
      <c r="M379" s="14"/>
      <c r="N379" s="14">
        <f>L379-M379</f>
        <v>16000</v>
      </c>
      <c r="O379" s="9" t="s">
        <v>40</v>
      </c>
      <c r="P379" s="9" t="s">
        <v>41</v>
      </c>
      <c r="Q379" s="9" t="s">
        <v>42</v>
      </c>
      <c r="R379" s="7" t="s">
        <v>2144</v>
      </c>
      <c r="S379" s="7" t="s">
        <v>42</v>
      </c>
    </row>
    <row r="380" spans="1:19">
      <c r="A380" s="8">
        <v>373</v>
      </c>
      <c r="B380" s="8" t="s">
        <v>621</v>
      </c>
      <c r="C380" s="8" t="s">
        <v>592</v>
      </c>
      <c r="D380" s="8" t="s">
        <v>198</v>
      </c>
      <c r="E380" s="8" t="s">
        <v>33</v>
      </c>
      <c r="F380" s="6" t="s">
        <v>39</v>
      </c>
      <c r="G380" s="10">
        <v>1</v>
      </c>
      <c r="H380" s="10">
        <v>1</v>
      </c>
      <c r="I380" s="13">
        <v>8000.0</v>
      </c>
      <c r="J380" s="13"/>
      <c r="K380" s="15">
        <f>IF(I380&gt;0, J380/I380, 0)</f>
        <v>0</v>
      </c>
      <c r="L380" s="13">
        <v>8000.0</v>
      </c>
      <c r="M380" s="13"/>
      <c r="N380" s="13">
        <f>L380-M380</f>
        <v>8000</v>
      </c>
      <c r="O380" s="8" t="s">
        <v>40</v>
      </c>
      <c r="P380" s="8" t="s">
        <v>41</v>
      </c>
      <c r="Q380" s="8" t="s">
        <v>42</v>
      </c>
      <c r="R380" s="6" t="s">
        <v>2163</v>
      </c>
      <c r="S380" s="6" t="s">
        <v>42</v>
      </c>
    </row>
    <row r="381" spans="1:19">
      <c r="A381" s="9">
        <v>374</v>
      </c>
      <c r="B381" s="9" t="s">
        <v>622</v>
      </c>
      <c r="C381" s="9" t="s">
        <v>592</v>
      </c>
      <c r="D381" s="9" t="s">
        <v>198</v>
      </c>
      <c r="E381" s="9" t="s">
        <v>33</v>
      </c>
      <c r="F381" s="7" t="s">
        <v>39</v>
      </c>
      <c r="G381" s="11">
        <v>1</v>
      </c>
      <c r="H381" s="11">
        <v>1</v>
      </c>
      <c r="I381" s="14">
        <v>8000.0</v>
      </c>
      <c r="J381" s="14"/>
      <c r="K381" s="16">
        <f>IF(I381&gt;0, J381/I381, 0)</f>
        <v>0</v>
      </c>
      <c r="L381" s="14">
        <v>8000.0</v>
      </c>
      <c r="M381" s="14"/>
      <c r="N381" s="14">
        <f>L381-M381</f>
        <v>8000</v>
      </c>
      <c r="O381" s="9" t="s">
        <v>40</v>
      </c>
      <c r="P381" s="9" t="s">
        <v>41</v>
      </c>
      <c r="Q381" s="9" t="s">
        <v>42</v>
      </c>
      <c r="R381" s="7" t="s">
        <v>2159</v>
      </c>
      <c r="S381" s="7" t="s">
        <v>42</v>
      </c>
    </row>
    <row r="382" spans="1:19">
      <c r="A382" s="8">
        <v>375</v>
      </c>
      <c r="B382" s="8" t="s">
        <v>623</v>
      </c>
      <c r="C382" s="8" t="s">
        <v>592</v>
      </c>
      <c r="D382" s="8" t="s">
        <v>198</v>
      </c>
      <c r="E382" s="8" t="s">
        <v>33</v>
      </c>
      <c r="F382" s="6" t="s">
        <v>39</v>
      </c>
      <c r="G382" s="10">
        <v>1</v>
      </c>
      <c r="H382" s="10">
        <v>2</v>
      </c>
      <c r="I382" s="13">
        <v>14000.0</v>
      </c>
      <c r="J382" s="13"/>
      <c r="K382" s="15">
        <f>IF(I382&gt;0, J382/I382, 0)</f>
        <v>0</v>
      </c>
      <c r="L382" s="13">
        <v>14000.0</v>
      </c>
      <c r="M382" s="13"/>
      <c r="N382" s="13">
        <f>L382-M382</f>
        <v>14000</v>
      </c>
      <c r="O382" s="8" t="s">
        <v>40</v>
      </c>
      <c r="P382" s="8" t="s">
        <v>41</v>
      </c>
      <c r="Q382" s="8" t="s">
        <v>42</v>
      </c>
      <c r="R382" s="6" t="s">
        <v>2198</v>
      </c>
      <c r="S382" s="6" t="s">
        <v>42</v>
      </c>
    </row>
    <row r="383" spans="1:19">
      <c r="A383" s="9">
        <v>376</v>
      </c>
      <c r="B383" s="9" t="s">
        <v>624</v>
      </c>
      <c r="C383" s="9" t="s">
        <v>592</v>
      </c>
      <c r="D383" s="9" t="s">
        <v>198</v>
      </c>
      <c r="E383" s="9" t="s">
        <v>68</v>
      </c>
      <c r="F383" s="7" t="s">
        <v>39</v>
      </c>
      <c r="G383" s="11">
        <v>1</v>
      </c>
      <c r="H383" s="11">
        <v>1</v>
      </c>
      <c r="I383" s="14">
        <v>8000.0</v>
      </c>
      <c r="J383" s="14"/>
      <c r="K383" s="16">
        <f>IF(I383&gt;0, J383/I383, 0)</f>
        <v>0</v>
      </c>
      <c r="L383" s="14">
        <v>8000.0</v>
      </c>
      <c r="M383" s="14"/>
      <c r="N383" s="14">
        <f>L383-M383</f>
        <v>8000</v>
      </c>
      <c r="O383" s="9" t="s">
        <v>40</v>
      </c>
      <c r="P383" s="9" t="s">
        <v>71</v>
      </c>
      <c r="Q383" s="9" t="s">
        <v>42</v>
      </c>
      <c r="R383" s="7" t="s">
        <v>2191</v>
      </c>
      <c r="S383" s="7" t="s">
        <v>42</v>
      </c>
    </row>
    <row r="384" spans="1:19">
      <c r="A384" s="8">
        <v>377</v>
      </c>
      <c r="B384" s="8" t="s">
        <v>625</v>
      </c>
      <c r="C384" s="8" t="s">
        <v>592</v>
      </c>
      <c r="D384" s="8" t="s">
        <v>198</v>
      </c>
      <c r="E384" s="8" t="s">
        <v>33</v>
      </c>
      <c r="F384" s="6" t="s">
        <v>39</v>
      </c>
      <c r="G384" s="10">
        <v>1</v>
      </c>
      <c r="H384" s="10">
        <v>1</v>
      </c>
      <c r="I384" s="13">
        <v>16000.0</v>
      </c>
      <c r="J384" s="13"/>
      <c r="K384" s="15">
        <f>IF(I384&gt;0, J384/I384, 0)</f>
        <v>0</v>
      </c>
      <c r="L384" s="13">
        <v>16000.0</v>
      </c>
      <c r="M384" s="13"/>
      <c r="N384" s="13">
        <f>L384-M384</f>
        <v>16000</v>
      </c>
      <c r="O384" s="8" t="s">
        <v>40</v>
      </c>
      <c r="P384" s="8" t="s">
        <v>41</v>
      </c>
      <c r="Q384" s="8" t="s">
        <v>42</v>
      </c>
      <c r="R384" s="6" t="s">
        <v>2094</v>
      </c>
      <c r="S384" s="6" t="s">
        <v>42</v>
      </c>
    </row>
    <row r="385" spans="1:19">
      <c r="A385" s="9">
        <v>378</v>
      </c>
      <c r="B385" s="9" t="s">
        <v>626</v>
      </c>
      <c r="C385" s="9" t="s">
        <v>592</v>
      </c>
      <c r="D385" s="9" t="s">
        <v>198</v>
      </c>
      <c r="E385" s="9" t="s">
        <v>33</v>
      </c>
      <c r="F385" s="7" t="s">
        <v>39</v>
      </c>
      <c r="G385" s="11">
        <v>1</v>
      </c>
      <c r="H385" s="11">
        <v>2</v>
      </c>
      <c r="I385" s="14">
        <v>14000.0</v>
      </c>
      <c r="J385" s="14"/>
      <c r="K385" s="16">
        <f>IF(I385&gt;0, J385/I385, 0)</f>
        <v>0</v>
      </c>
      <c r="L385" s="14">
        <v>14000.0</v>
      </c>
      <c r="M385" s="14"/>
      <c r="N385" s="14">
        <f>L385-M385</f>
        <v>14000</v>
      </c>
      <c r="O385" s="9" t="s">
        <v>40</v>
      </c>
      <c r="P385" s="9" t="s">
        <v>41</v>
      </c>
      <c r="Q385" s="9" t="s">
        <v>42</v>
      </c>
      <c r="R385" s="7" t="s">
        <v>2117</v>
      </c>
      <c r="S385" s="7" t="s">
        <v>42</v>
      </c>
    </row>
    <row r="386" spans="1:19">
      <c r="A386" s="8">
        <v>379</v>
      </c>
      <c r="B386" s="8" t="s">
        <v>627</v>
      </c>
      <c r="C386" s="8" t="s">
        <v>592</v>
      </c>
      <c r="D386" s="8" t="s">
        <v>198</v>
      </c>
      <c r="E386" s="8" t="s">
        <v>33</v>
      </c>
      <c r="F386" s="6" t="s">
        <v>39</v>
      </c>
      <c r="G386" s="10">
        <v>1</v>
      </c>
      <c r="H386" s="10">
        <v>3</v>
      </c>
      <c r="I386" s="13">
        <v>21000.0</v>
      </c>
      <c r="J386" s="13"/>
      <c r="K386" s="15">
        <f>IF(I386&gt;0, J386/I386, 0)</f>
        <v>0</v>
      </c>
      <c r="L386" s="13">
        <v>21000.0</v>
      </c>
      <c r="M386" s="13"/>
      <c r="N386" s="13">
        <f>L386-M386</f>
        <v>21000</v>
      </c>
      <c r="O386" s="8" t="s">
        <v>40</v>
      </c>
      <c r="P386" s="8" t="s">
        <v>41</v>
      </c>
      <c r="Q386" s="8" t="s">
        <v>42</v>
      </c>
      <c r="R386" s="6" t="s">
        <v>2150</v>
      </c>
      <c r="S386" s="6" t="s">
        <v>42</v>
      </c>
    </row>
    <row r="387" spans="1:19">
      <c r="A387" s="9">
        <v>380</v>
      </c>
      <c r="B387" s="9" t="s">
        <v>628</v>
      </c>
      <c r="C387" s="9" t="s">
        <v>592</v>
      </c>
      <c r="D387" s="9" t="s">
        <v>198</v>
      </c>
      <c r="E387" s="9" t="s">
        <v>33</v>
      </c>
      <c r="F387" s="7" t="s">
        <v>39</v>
      </c>
      <c r="G387" s="11">
        <v>1</v>
      </c>
      <c r="H387" s="11">
        <v>1</v>
      </c>
      <c r="I387" s="14">
        <v>16000.0</v>
      </c>
      <c r="J387" s="14"/>
      <c r="K387" s="16">
        <f>IF(I387&gt;0, J387/I387, 0)</f>
        <v>0</v>
      </c>
      <c r="L387" s="14">
        <v>16000.0</v>
      </c>
      <c r="M387" s="14"/>
      <c r="N387" s="14">
        <f>L387-M387</f>
        <v>16000</v>
      </c>
      <c r="O387" s="9" t="s">
        <v>40</v>
      </c>
      <c r="P387" s="9" t="s">
        <v>41</v>
      </c>
      <c r="Q387" s="9" t="s">
        <v>42</v>
      </c>
      <c r="R387" s="7" t="s">
        <v>2144</v>
      </c>
      <c r="S387" s="7" t="s">
        <v>42</v>
      </c>
    </row>
    <row r="388" spans="1:19">
      <c r="A388" s="8">
        <v>381</v>
      </c>
      <c r="B388" s="8" t="s">
        <v>629</v>
      </c>
      <c r="C388" s="8" t="s">
        <v>630</v>
      </c>
      <c r="D388" s="8" t="s">
        <v>198</v>
      </c>
      <c r="E388" s="8" t="s">
        <v>33</v>
      </c>
      <c r="F388" s="6" t="s">
        <v>39</v>
      </c>
      <c r="G388" s="10">
        <v>1</v>
      </c>
      <c r="H388" s="10">
        <v>1</v>
      </c>
      <c r="I388" s="13">
        <v>9000.0</v>
      </c>
      <c r="J388" s="13"/>
      <c r="K388" s="15">
        <f>IF(I388&gt;0, J388/I388, 0)</f>
        <v>0</v>
      </c>
      <c r="L388" s="13">
        <v>9000.0</v>
      </c>
      <c r="M388" s="13"/>
      <c r="N388" s="13">
        <f>L388-M388</f>
        <v>9000</v>
      </c>
      <c r="O388" s="8" t="s">
        <v>40</v>
      </c>
      <c r="P388" s="8" t="s">
        <v>41</v>
      </c>
      <c r="Q388" s="8" t="s">
        <v>42</v>
      </c>
      <c r="R388" s="6" t="s">
        <v>2194</v>
      </c>
      <c r="S388" s="6" t="s">
        <v>42</v>
      </c>
    </row>
    <row r="389" spans="1:19">
      <c r="A389" s="9">
        <v>382</v>
      </c>
      <c r="B389" s="9" t="s">
        <v>631</v>
      </c>
      <c r="C389" s="9" t="s">
        <v>630</v>
      </c>
      <c r="D389" s="9" t="s">
        <v>198</v>
      </c>
      <c r="E389" s="9" t="s">
        <v>68</v>
      </c>
      <c r="F389" s="7" t="s">
        <v>39</v>
      </c>
      <c r="G389" s="11">
        <v>1</v>
      </c>
      <c r="H389" s="11">
        <v>1</v>
      </c>
      <c r="I389" s="14">
        <v>11000.0</v>
      </c>
      <c r="J389" s="14"/>
      <c r="K389" s="16">
        <f>IF(I389&gt;0, J389/I389, 0)</f>
        <v>0</v>
      </c>
      <c r="L389" s="14">
        <v>11000.0</v>
      </c>
      <c r="M389" s="14"/>
      <c r="N389" s="14">
        <f>L389-M389</f>
        <v>11000</v>
      </c>
      <c r="O389" s="9" t="s">
        <v>40</v>
      </c>
      <c r="P389" s="9" t="s">
        <v>71</v>
      </c>
      <c r="Q389" s="9" t="s">
        <v>42</v>
      </c>
      <c r="R389" s="7" t="s">
        <v>2159</v>
      </c>
      <c r="S389" s="7" t="s">
        <v>42</v>
      </c>
    </row>
    <row r="390" spans="1:19">
      <c r="A390" s="8">
        <v>383</v>
      </c>
      <c r="B390" s="8" t="s">
        <v>633</v>
      </c>
      <c r="C390" s="8" t="s">
        <v>630</v>
      </c>
      <c r="D390" s="8" t="s">
        <v>198</v>
      </c>
      <c r="E390" s="8" t="s">
        <v>33</v>
      </c>
      <c r="F390" s="6" t="s">
        <v>39</v>
      </c>
      <c r="G390" s="10">
        <v>1</v>
      </c>
      <c r="H390" s="10">
        <v>1</v>
      </c>
      <c r="I390" s="13">
        <v>9000.0</v>
      </c>
      <c r="J390" s="13"/>
      <c r="K390" s="15">
        <f>IF(I390&gt;0, J390/I390, 0)</f>
        <v>0</v>
      </c>
      <c r="L390" s="13">
        <v>9000.0</v>
      </c>
      <c r="M390" s="13"/>
      <c r="N390" s="13">
        <f>L390-M390</f>
        <v>9000</v>
      </c>
      <c r="O390" s="8" t="s">
        <v>40</v>
      </c>
      <c r="P390" s="8" t="s">
        <v>41</v>
      </c>
      <c r="Q390" s="8" t="s">
        <v>42</v>
      </c>
      <c r="R390" s="6" t="s">
        <v>2081</v>
      </c>
      <c r="S390" s="6" t="s">
        <v>42</v>
      </c>
    </row>
    <row r="391" spans="1:19">
      <c r="A391" s="9">
        <v>384</v>
      </c>
      <c r="B391" s="9" t="s">
        <v>634</v>
      </c>
      <c r="C391" s="9" t="s">
        <v>630</v>
      </c>
      <c r="D391" s="9" t="s">
        <v>198</v>
      </c>
      <c r="E391" s="9" t="s">
        <v>33</v>
      </c>
      <c r="F391" s="7" t="s">
        <v>39</v>
      </c>
      <c r="G391" s="11">
        <v>1</v>
      </c>
      <c r="H391" s="11">
        <v>1</v>
      </c>
      <c r="I391" s="14">
        <v>16500.0</v>
      </c>
      <c r="J391" s="14"/>
      <c r="K391" s="16">
        <f>IF(I391&gt;0, J391/I391, 0)</f>
        <v>0</v>
      </c>
      <c r="L391" s="14">
        <v>16500.0</v>
      </c>
      <c r="M391" s="14"/>
      <c r="N391" s="14">
        <f>L391-M391</f>
        <v>16500</v>
      </c>
      <c r="O391" s="9" t="s">
        <v>40</v>
      </c>
      <c r="P391" s="9" t="s">
        <v>41</v>
      </c>
      <c r="Q391" s="9" t="s">
        <v>42</v>
      </c>
      <c r="R391" s="7" t="s">
        <v>2126</v>
      </c>
      <c r="S391" s="7" t="s">
        <v>42</v>
      </c>
    </row>
    <row r="392" spans="1:19">
      <c r="A392" s="8">
        <v>385</v>
      </c>
      <c r="B392" s="8" t="s">
        <v>635</v>
      </c>
      <c r="C392" s="8" t="s">
        <v>630</v>
      </c>
      <c r="D392" s="8" t="s">
        <v>198</v>
      </c>
      <c r="E392" s="8" t="s">
        <v>33</v>
      </c>
      <c r="F392" s="6" t="s">
        <v>39</v>
      </c>
      <c r="G392" s="10">
        <v>1</v>
      </c>
      <c r="H392" s="10">
        <v>1</v>
      </c>
      <c r="I392" s="13">
        <v>16000.0</v>
      </c>
      <c r="J392" s="13"/>
      <c r="K392" s="15">
        <f>IF(I392&gt;0, J392/I392, 0)</f>
        <v>0</v>
      </c>
      <c r="L392" s="13">
        <v>16000.0</v>
      </c>
      <c r="M392" s="13"/>
      <c r="N392" s="13">
        <f>L392-M392</f>
        <v>16000</v>
      </c>
      <c r="O392" s="8" t="s">
        <v>40</v>
      </c>
      <c r="P392" s="8" t="s">
        <v>41</v>
      </c>
      <c r="Q392" s="8" t="s">
        <v>42</v>
      </c>
      <c r="R392" s="6" t="s">
        <v>2144</v>
      </c>
      <c r="S392" s="6" t="s">
        <v>42</v>
      </c>
    </row>
    <row r="393" spans="1:19">
      <c r="A393" s="9">
        <v>386</v>
      </c>
      <c r="B393" s="9" t="s">
        <v>636</v>
      </c>
      <c r="C393" s="9" t="s">
        <v>630</v>
      </c>
      <c r="D393" s="9" t="s">
        <v>198</v>
      </c>
      <c r="E393" s="9" t="s">
        <v>33</v>
      </c>
      <c r="F393" s="7" t="s">
        <v>39</v>
      </c>
      <c r="G393" s="11">
        <v>1</v>
      </c>
      <c r="H393" s="11">
        <v>1</v>
      </c>
      <c r="I393" s="14">
        <v>8000.0</v>
      </c>
      <c r="J393" s="14"/>
      <c r="K393" s="16">
        <f>IF(I393&gt;0, J393/I393, 0)</f>
        <v>0</v>
      </c>
      <c r="L393" s="14">
        <v>8000.0</v>
      </c>
      <c r="M393" s="14"/>
      <c r="N393" s="14">
        <f>L393-M393</f>
        <v>8000</v>
      </c>
      <c r="O393" s="9" t="s">
        <v>40</v>
      </c>
      <c r="P393" s="9" t="s">
        <v>41</v>
      </c>
      <c r="Q393" s="9" t="s">
        <v>42</v>
      </c>
      <c r="R393" s="7" t="s">
        <v>2159</v>
      </c>
      <c r="S393" s="7" t="s">
        <v>42</v>
      </c>
    </row>
    <row r="394" spans="1:19">
      <c r="A394" s="8">
        <v>387</v>
      </c>
      <c r="B394" s="8" t="s">
        <v>637</v>
      </c>
      <c r="C394" s="8" t="s">
        <v>630</v>
      </c>
      <c r="D394" s="8" t="s">
        <v>198</v>
      </c>
      <c r="E394" s="8" t="s">
        <v>33</v>
      </c>
      <c r="F394" s="6" t="s">
        <v>39</v>
      </c>
      <c r="G394" s="10">
        <v>1</v>
      </c>
      <c r="H394" s="10">
        <v>2</v>
      </c>
      <c r="I394" s="13">
        <v>14000.0</v>
      </c>
      <c r="J394" s="13"/>
      <c r="K394" s="15">
        <f>IF(I394&gt;0, J394/I394, 0)</f>
        <v>0</v>
      </c>
      <c r="L394" s="13">
        <v>14000.0</v>
      </c>
      <c r="M394" s="13"/>
      <c r="N394" s="13">
        <f>L394-M394</f>
        <v>14000</v>
      </c>
      <c r="O394" s="8" t="s">
        <v>40</v>
      </c>
      <c r="P394" s="8" t="s">
        <v>41</v>
      </c>
      <c r="Q394" s="8" t="s">
        <v>42</v>
      </c>
      <c r="R394" s="6" t="s">
        <v>2168</v>
      </c>
      <c r="S394" s="6" t="s">
        <v>42</v>
      </c>
    </row>
    <row r="395" spans="1:19">
      <c r="A395" s="9">
        <v>388</v>
      </c>
      <c r="B395" s="9" t="s">
        <v>638</v>
      </c>
      <c r="C395" s="9" t="s">
        <v>630</v>
      </c>
      <c r="D395" s="9" t="s">
        <v>198</v>
      </c>
      <c r="E395" s="9" t="s">
        <v>33</v>
      </c>
      <c r="F395" s="7" t="s">
        <v>39</v>
      </c>
      <c r="G395" s="11">
        <v>1</v>
      </c>
      <c r="H395" s="11">
        <v>1</v>
      </c>
      <c r="I395" s="14">
        <v>8500.0</v>
      </c>
      <c r="J395" s="14"/>
      <c r="K395" s="16">
        <f>IF(I395&gt;0, J395/I395, 0)</f>
        <v>0</v>
      </c>
      <c r="L395" s="14">
        <v>8500.0</v>
      </c>
      <c r="M395" s="14"/>
      <c r="N395" s="14">
        <f>L395-M395</f>
        <v>8500</v>
      </c>
      <c r="O395" s="9" t="s">
        <v>40</v>
      </c>
      <c r="P395" s="9" t="s">
        <v>41</v>
      </c>
      <c r="Q395" s="9" t="s">
        <v>42</v>
      </c>
      <c r="R395" s="7" t="s">
        <v>2099</v>
      </c>
      <c r="S395" s="7" t="s">
        <v>42</v>
      </c>
    </row>
    <row r="396" spans="1:19">
      <c r="A396" s="8">
        <v>389</v>
      </c>
      <c r="B396" s="8" t="s">
        <v>639</v>
      </c>
      <c r="C396" s="8" t="s">
        <v>630</v>
      </c>
      <c r="D396" s="8" t="s">
        <v>198</v>
      </c>
      <c r="E396" s="8" t="s">
        <v>33</v>
      </c>
      <c r="F396" s="6" t="s">
        <v>39</v>
      </c>
      <c r="G396" s="10">
        <v>1</v>
      </c>
      <c r="H396" s="10">
        <v>2</v>
      </c>
      <c r="I396" s="13">
        <v>16000.0</v>
      </c>
      <c r="J396" s="13"/>
      <c r="K396" s="15">
        <f>IF(I396&gt;0, J396/I396, 0)</f>
        <v>0</v>
      </c>
      <c r="L396" s="13">
        <v>16000.0</v>
      </c>
      <c r="M396" s="13"/>
      <c r="N396" s="13">
        <f>L396-M396</f>
        <v>16000</v>
      </c>
      <c r="O396" s="8" t="s">
        <v>40</v>
      </c>
      <c r="P396" s="8" t="s">
        <v>41</v>
      </c>
      <c r="Q396" s="8" t="s">
        <v>42</v>
      </c>
      <c r="R396" s="6" t="s">
        <v>2199</v>
      </c>
      <c r="S396" s="6" t="s">
        <v>42</v>
      </c>
    </row>
    <row r="397" spans="1:19">
      <c r="A397" s="9">
        <v>390</v>
      </c>
      <c r="B397" s="9" t="s">
        <v>640</v>
      </c>
      <c r="C397" s="9" t="s">
        <v>630</v>
      </c>
      <c r="D397" s="9" t="s">
        <v>198</v>
      </c>
      <c r="E397" s="9" t="s">
        <v>68</v>
      </c>
      <c r="F397" s="7" t="s">
        <v>39</v>
      </c>
      <c r="G397" s="11">
        <v>1</v>
      </c>
      <c r="H397" s="11">
        <v>1</v>
      </c>
      <c r="I397" s="14">
        <v>18000.0</v>
      </c>
      <c r="J397" s="14"/>
      <c r="K397" s="16">
        <f>IF(I397&gt;0, J397/I397, 0)</f>
        <v>0</v>
      </c>
      <c r="L397" s="14">
        <v>18000.0</v>
      </c>
      <c r="M397" s="14"/>
      <c r="N397" s="14">
        <f>L397-M397</f>
        <v>18000</v>
      </c>
      <c r="O397" s="9" t="s">
        <v>40</v>
      </c>
      <c r="P397" s="9" t="s">
        <v>71</v>
      </c>
      <c r="Q397" s="9" t="s">
        <v>42</v>
      </c>
      <c r="R397" s="7" t="s">
        <v>2124</v>
      </c>
      <c r="S397" s="7" t="s">
        <v>42</v>
      </c>
    </row>
    <row r="398" spans="1:19">
      <c r="A398" s="8">
        <v>391</v>
      </c>
      <c r="B398" s="8" t="s">
        <v>641</v>
      </c>
      <c r="C398" s="8" t="s">
        <v>630</v>
      </c>
      <c r="D398" s="8" t="s">
        <v>198</v>
      </c>
      <c r="E398" s="8" t="s">
        <v>33</v>
      </c>
      <c r="F398" s="6" t="s">
        <v>39</v>
      </c>
      <c r="G398" s="10">
        <v>1</v>
      </c>
      <c r="H398" s="10">
        <v>1</v>
      </c>
      <c r="I398" s="13">
        <v>8000.0</v>
      </c>
      <c r="J398" s="13"/>
      <c r="K398" s="15">
        <f>IF(I398&gt;0, J398/I398, 0)</f>
        <v>0</v>
      </c>
      <c r="L398" s="13">
        <v>8000.0</v>
      </c>
      <c r="M398" s="13"/>
      <c r="N398" s="13">
        <f>L398-M398</f>
        <v>8000</v>
      </c>
      <c r="O398" s="8" t="s">
        <v>40</v>
      </c>
      <c r="P398" s="8" t="s">
        <v>41</v>
      </c>
      <c r="Q398" s="8" t="s">
        <v>42</v>
      </c>
      <c r="R398" s="6" t="s">
        <v>2122</v>
      </c>
      <c r="S398" s="6" t="s">
        <v>42</v>
      </c>
    </row>
    <row r="399" spans="1:19">
      <c r="A399" s="9">
        <v>392</v>
      </c>
      <c r="B399" s="9" t="s">
        <v>643</v>
      </c>
      <c r="C399" s="9" t="s">
        <v>630</v>
      </c>
      <c r="D399" s="9" t="s">
        <v>198</v>
      </c>
      <c r="E399" s="9" t="s">
        <v>33</v>
      </c>
      <c r="F399" s="7" t="s">
        <v>39</v>
      </c>
      <c r="G399" s="11">
        <v>1</v>
      </c>
      <c r="H399" s="11">
        <v>1</v>
      </c>
      <c r="I399" s="14">
        <v>7500.0</v>
      </c>
      <c r="J399" s="14"/>
      <c r="K399" s="16">
        <f>IF(I399&gt;0, J399/I399, 0)</f>
        <v>0</v>
      </c>
      <c r="L399" s="14">
        <v>7500.0</v>
      </c>
      <c r="M399" s="14"/>
      <c r="N399" s="14">
        <f>L399-M399</f>
        <v>7500</v>
      </c>
      <c r="O399" s="9" t="s">
        <v>40</v>
      </c>
      <c r="P399" s="9" t="s">
        <v>41</v>
      </c>
      <c r="Q399" s="9" t="s">
        <v>42</v>
      </c>
      <c r="R399" s="7" t="s">
        <v>2077</v>
      </c>
      <c r="S399" s="7" t="s">
        <v>42</v>
      </c>
    </row>
    <row r="400" spans="1:19">
      <c r="A400" s="8">
        <v>393</v>
      </c>
      <c r="B400" s="8" t="s">
        <v>644</v>
      </c>
      <c r="C400" s="8" t="s">
        <v>630</v>
      </c>
      <c r="D400" s="8" t="s">
        <v>198</v>
      </c>
      <c r="E400" s="8" t="s">
        <v>33</v>
      </c>
      <c r="F400" s="6" t="s">
        <v>39</v>
      </c>
      <c r="G400" s="10">
        <v>1</v>
      </c>
      <c r="H400" s="10">
        <v>1</v>
      </c>
      <c r="I400" s="13">
        <v>8500.0</v>
      </c>
      <c r="J400" s="13"/>
      <c r="K400" s="15">
        <f>IF(I400&gt;0, J400/I400, 0)</f>
        <v>0</v>
      </c>
      <c r="L400" s="13">
        <v>8500.0</v>
      </c>
      <c r="M400" s="13"/>
      <c r="N400" s="13">
        <f>L400-M400</f>
        <v>8500</v>
      </c>
      <c r="O400" s="8" t="s">
        <v>40</v>
      </c>
      <c r="P400" s="8" t="s">
        <v>41</v>
      </c>
      <c r="Q400" s="8" t="s">
        <v>42</v>
      </c>
      <c r="R400" s="6" t="s">
        <v>2200</v>
      </c>
      <c r="S400" s="6" t="s">
        <v>42</v>
      </c>
    </row>
    <row r="401" spans="1:19">
      <c r="A401" s="9">
        <v>394</v>
      </c>
      <c r="B401" s="9" t="s">
        <v>646</v>
      </c>
      <c r="C401" s="9" t="s">
        <v>630</v>
      </c>
      <c r="D401" s="9" t="s">
        <v>198</v>
      </c>
      <c r="E401" s="9" t="s">
        <v>33</v>
      </c>
      <c r="F401" s="7" t="s">
        <v>39</v>
      </c>
      <c r="G401" s="11">
        <v>1</v>
      </c>
      <c r="H401" s="11">
        <v>1</v>
      </c>
      <c r="I401" s="14">
        <v>8500.0</v>
      </c>
      <c r="J401" s="14"/>
      <c r="K401" s="16">
        <f>IF(I401&gt;0, J401/I401, 0)</f>
        <v>0</v>
      </c>
      <c r="L401" s="14">
        <v>8500.0</v>
      </c>
      <c r="M401" s="14"/>
      <c r="N401" s="14">
        <f>L401-M401</f>
        <v>8500</v>
      </c>
      <c r="O401" s="9" t="s">
        <v>40</v>
      </c>
      <c r="P401" s="9" t="s">
        <v>41</v>
      </c>
      <c r="Q401" s="9" t="s">
        <v>42</v>
      </c>
      <c r="R401" s="7" t="s">
        <v>2171</v>
      </c>
      <c r="S401" s="7" t="s">
        <v>42</v>
      </c>
    </row>
    <row r="402" spans="1:19">
      <c r="A402" s="8">
        <v>395</v>
      </c>
      <c r="B402" s="8" t="s">
        <v>647</v>
      </c>
      <c r="C402" s="8" t="s">
        <v>630</v>
      </c>
      <c r="D402" s="8" t="s">
        <v>198</v>
      </c>
      <c r="E402" s="8" t="s">
        <v>33</v>
      </c>
      <c r="F402" s="6" t="s">
        <v>39</v>
      </c>
      <c r="G402" s="10">
        <v>1</v>
      </c>
      <c r="H402" s="10">
        <v>1</v>
      </c>
      <c r="I402" s="13">
        <v>9000.0</v>
      </c>
      <c r="J402" s="13"/>
      <c r="K402" s="15">
        <f>IF(I402&gt;0, J402/I402, 0)</f>
        <v>0</v>
      </c>
      <c r="L402" s="13">
        <v>9000.0</v>
      </c>
      <c r="M402" s="13"/>
      <c r="N402" s="13">
        <f>L402-M402</f>
        <v>9000</v>
      </c>
      <c r="O402" s="8" t="s">
        <v>40</v>
      </c>
      <c r="P402" s="8" t="s">
        <v>41</v>
      </c>
      <c r="Q402" s="8" t="s">
        <v>42</v>
      </c>
      <c r="R402" s="6" t="s">
        <v>2200</v>
      </c>
      <c r="S402" s="6" t="s">
        <v>42</v>
      </c>
    </row>
    <row r="403" spans="1:19">
      <c r="A403" s="9">
        <v>396</v>
      </c>
      <c r="B403" s="9" t="s">
        <v>649</v>
      </c>
      <c r="C403" s="9" t="s">
        <v>630</v>
      </c>
      <c r="D403" s="9" t="s">
        <v>198</v>
      </c>
      <c r="E403" s="9" t="s">
        <v>33</v>
      </c>
      <c r="F403" s="7" t="s">
        <v>39</v>
      </c>
      <c r="G403" s="11">
        <v>1</v>
      </c>
      <c r="H403" s="11">
        <v>1</v>
      </c>
      <c r="I403" s="14">
        <v>8000.0</v>
      </c>
      <c r="J403" s="14"/>
      <c r="K403" s="16">
        <f>IF(I403&gt;0, J403/I403, 0)</f>
        <v>0</v>
      </c>
      <c r="L403" s="14">
        <v>8000.0</v>
      </c>
      <c r="M403" s="14"/>
      <c r="N403" s="14">
        <f>L403-M403</f>
        <v>8000</v>
      </c>
      <c r="O403" s="9" t="s">
        <v>40</v>
      </c>
      <c r="P403" s="9" t="s">
        <v>41</v>
      </c>
      <c r="Q403" s="9" t="s">
        <v>42</v>
      </c>
      <c r="R403" s="7" t="s">
        <v>2122</v>
      </c>
      <c r="S403" s="7" t="s">
        <v>42</v>
      </c>
    </row>
    <row r="404" spans="1:19">
      <c r="A404" s="8">
        <v>397</v>
      </c>
      <c r="B404" s="8" t="s">
        <v>650</v>
      </c>
      <c r="C404" s="8" t="s">
        <v>651</v>
      </c>
      <c r="D404" s="8" t="s">
        <v>652</v>
      </c>
      <c r="E404" s="8" t="s">
        <v>33</v>
      </c>
      <c r="F404" s="6" t="s">
        <v>39</v>
      </c>
      <c r="G404" s="10">
        <v>1</v>
      </c>
      <c r="H404" s="10">
        <v>1</v>
      </c>
      <c r="I404" s="13">
        <v>18000.0</v>
      </c>
      <c r="J404" s="13"/>
      <c r="K404" s="15">
        <f>IF(I404&gt;0, J404/I404, 0)</f>
        <v>0</v>
      </c>
      <c r="L404" s="13">
        <v>18000.0</v>
      </c>
      <c r="M404" s="13"/>
      <c r="N404" s="13">
        <f>L404-M404</f>
        <v>18000</v>
      </c>
      <c r="O404" s="8" t="s">
        <v>40</v>
      </c>
      <c r="P404" s="8" t="s">
        <v>41</v>
      </c>
      <c r="Q404" s="8" t="s">
        <v>42</v>
      </c>
      <c r="R404" s="6" t="s">
        <v>2103</v>
      </c>
      <c r="S404" s="6" t="s">
        <v>42</v>
      </c>
    </row>
    <row r="405" spans="1:19">
      <c r="A405" s="9">
        <v>398</v>
      </c>
      <c r="B405" s="9" t="s">
        <v>653</v>
      </c>
      <c r="C405" s="9" t="s">
        <v>651</v>
      </c>
      <c r="D405" s="9" t="s">
        <v>652</v>
      </c>
      <c r="E405" s="9" t="s">
        <v>33</v>
      </c>
      <c r="F405" s="7" t="s">
        <v>39</v>
      </c>
      <c r="G405" s="11">
        <v>1</v>
      </c>
      <c r="H405" s="11">
        <v>1</v>
      </c>
      <c r="I405" s="14">
        <v>16000.0</v>
      </c>
      <c r="J405" s="14"/>
      <c r="K405" s="16">
        <f>IF(I405&gt;0, J405/I405, 0)</f>
        <v>0</v>
      </c>
      <c r="L405" s="14">
        <v>16000.0</v>
      </c>
      <c r="M405" s="14"/>
      <c r="N405" s="14">
        <f>L405-M405</f>
        <v>16000</v>
      </c>
      <c r="O405" s="9" t="s">
        <v>40</v>
      </c>
      <c r="P405" s="9" t="s">
        <v>41</v>
      </c>
      <c r="Q405" s="9" t="s">
        <v>42</v>
      </c>
      <c r="R405" s="7" t="s">
        <v>2144</v>
      </c>
      <c r="S405" s="7" t="s">
        <v>42</v>
      </c>
    </row>
    <row r="406" spans="1:19">
      <c r="A406" s="8">
        <v>399</v>
      </c>
      <c r="B406" s="8" t="s">
        <v>654</v>
      </c>
      <c r="C406" s="8" t="s">
        <v>651</v>
      </c>
      <c r="D406" s="8" t="s">
        <v>652</v>
      </c>
      <c r="E406" s="8" t="s">
        <v>33</v>
      </c>
      <c r="F406" s="6" t="s">
        <v>39</v>
      </c>
      <c r="G406" s="10">
        <v>1</v>
      </c>
      <c r="H406" s="10">
        <v>1</v>
      </c>
      <c r="I406" s="13">
        <v>7000.0</v>
      </c>
      <c r="J406" s="13"/>
      <c r="K406" s="15">
        <f>IF(I406&gt;0, J406/I406, 0)</f>
        <v>0</v>
      </c>
      <c r="L406" s="13">
        <v>7000.0</v>
      </c>
      <c r="M406" s="13"/>
      <c r="N406" s="13">
        <f>L406-M406</f>
        <v>7000</v>
      </c>
      <c r="O406" s="8" t="s">
        <v>40</v>
      </c>
      <c r="P406" s="8" t="s">
        <v>41</v>
      </c>
      <c r="Q406" s="8" t="s">
        <v>42</v>
      </c>
      <c r="R406" s="6" t="s">
        <v>2201</v>
      </c>
      <c r="S406" s="6" t="s">
        <v>42</v>
      </c>
    </row>
    <row r="407" spans="1:19">
      <c r="A407" s="9">
        <v>400</v>
      </c>
      <c r="B407" s="9" t="s">
        <v>656</v>
      </c>
      <c r="C407" s="9" t="s">
        <v>651</v>
      </c>
      <c r="D407" s="9" t="s">
        <v>652</v>
      </c>
      <c r="E407" s="9" t="s">
        <v>33</v>
      </c>
      <c r="F407" s="7" t="s">
        <v>39</v>
      </c>
      <c r="G407" s="11">
        <v>1</v>
      </c>
      <c r="H407" s="11">
        <v>1</v>
      </c>
      <c r="I407" s="14">
        <v>7000.0</v>
      </c>
      <c r="J407" s="14"/>
      <c r="K407" s="16">
        <f>IF(I407&gt;0, J407/I407, 0)</f>
        <v>0</v>
      </c>
      <c r="L407" s="14">
        <v>7000.0</v>
      </c>
      <c r="M407" s="14"/>
      <c r="N407" s="14">
        <f>L407-M407</f>
        <v>7000</v>
      </c>
      <c r="O407" s="9" t="s">
        <v>40</v>
      </c>
      <c r="P407" s="9" t="s">
        <v>41</v>
      </c>
      <c r="Q407" s="9" t="s">
        <v>42</v>
      </c>
      <c r="R407" s="7" t="s">
        <v>2158</v>
      </c>
      <c r="S407" s="7" t="s">
        <v>42</v>
      </c>
    </row>
    <row r="408" spans="1:19">
      <c r="A408" s="8">
        <v>401</v>
      </c>
      <c r="B408" s="8" t="s">
        <v>657</v>
      </c>
      <c r="C408" s="8" t="s">
        <v>651</v>
      </c>
      <c r="D408" s="8" t="s">
        <v>652</v>
      </c>
      <c r="E408" s="8" t="s">
        <v>68</v>
      </c>
      <c r="F408" s="6" t="s">
        <v>39</v>
      </c>
      <c r="G408" s="10">
        <v>1</v>
      </c>
      <c r="H408" s="10">
        <v>1</v>
      </c>
      <c r="I408" s="13">
        <v>10000.0</v>
      </c>
      <c r="J408" s="13"/>
      <c r="K408" s="15">
        <f>IF(I408&gt;0, J408/I408, 0)</f>
        <v>0</v>
      </c>
      <c r="L408" s="13">
        <v>10000.0</v>
      </c>
      <c r="M408" s="13"/>
      <c r="N408" s="13">
        <f>L408-M408</f>
        <v>10000</v>
      </c>
      <c r="O408" s="8" t="s">
        <v>40</v>
      </c>
      <c r="P408" s="8" t="s">
        <v>71</v>
      </c>
      <c r="Q408" s="8" t="s">
        <v>42</v>
      </c>
      <c r="R408" s="6" t="s">
        <v>2074</v>
      </c>
      <c r="S408" s="6" t="s">
        <v>42</v>
      </c>
    </row>
    <row r="409" spans="1:19">
      <c r="A409" s="9">
        <v>402</v>
      </c>
      <c r="B409" s="9" t="s">
        <v>658</v>
      </c>
      <c r="C409" s="9" t="s">
        <v>651</v>
      </c>
      <c r="D409" s="9" t="s">
        <v>652</v>
      </c>
      <c r="E409" s="9" t="s">
        <v>33</v>
      </c>
      <c r="F409" s="7" t="s">
        <v>39</v>
      </c>
      <c r="G409" s="11">
        <v>1</v>
      </c>
      <c r="H409" s="11">
        <v>3</v>
      </c>
      <c r="I409" s="14">
        <v>27000.0</v>
      </c>
      <c r="J409" s="14"/>
      <c r="K409" s="16">
        <f>IF(I409&gt;0, J409/I409, 0)</f>
        <v>0</v>
      </c>
      <c r="L409" s="14">
        <v>27000.0</v>
      </c>
      <c r="M409" s="14"/>
      <c r="N409" s="14">
        <f>L409-M409</f>
        <v>27000</v>
      </c>
      <c r="O409" s="9" t="s">
        <v>40</v>
      </c>
      <c r="P409" s="9" t="s">
        <v>41</v>
      </c>
      <c r="Q409" s="9" t="s">
        <v>42</v>
      </c>
      <c r="R409" s="7" t="s">
        <v>2202</v>
      </c>
      <c r="S409" s="7" t="s">
        <v>42</v>
      </c>
    </row>
    <row r="410" spans="1:19">
      <c r="A410" s="8">
        <v>403</v>
      </c>
      <c r="B410" s="8" t="s">
        <v>659</v>
      </c>
      <c r="C410" s="8" t="s">
        <v>660</v>
      </c>
      <c r="D410" s="8" t="s">
        <v>652</v>
      </c>
      <c r="E410" s="8" t="s">
        <v>33</v>
      </c>
      <c r="F410" s="6" t="s">
        <v>39</v>
      </c>
      <c r="G410" s="10">
        <v>1</v>
      </c>
      <c r="H410" s="10">
        <v>1</v>
      </c>
      <c r="I410" s="13">
        <v>9500.0</v>
      </c>
      <c r="J410" s="13"/>
      <c r="K410" s="15">
        <f>IF(I410&gt;0, J410/I410, 0)</f>
        <v>0</v>
      </c>
      <c r="L410" s="13">
        <v>9500.0</v>
      </c>
      <c r="M410" s="13"/>
      <c r="N410" s="13">
        <f>L410-M410</f>
        <v>9500</v>
      </c>
      <c r="O410" s="8" t="s">
        <v>40</v>
      </c>
      <c r="P410" s="8" t="s">
        <v>41</v>
      </c>
      <c r="Q410" s="8" t="s">
        <v>42</v>
      </c>
      <c r="R410" s="6" t="s">
        <v>2135</v>
      </c>
      <c r="S410" s="6" t="s">
        <v>42</v>
      </c>
    </row>
    <row r="411" spans="1:19">
      <c r="A411" s="9">
        <v>404</v>
      </c>
      <c r="B411" s="9" t="s">
        <v>661</v>
      </c>
      <c r="C411" s="9" t="s">
        <v>660</v>
      </c>
      <c r="D411" s="9" t="s">
        <v>652</v>
      </c>
      <c r="E411" s="9" t="s">
        <v>33</v>
      </c>
      <c r="F411" s="7" t="s">
        <v>39</v>
      </c>
      <c r="G411" s="11">
        <v>1</v>
      </c>
      <c r="H411" s="11">
        <v>1</v>
      </c>
      <c r="I411" s="14">
        <v>9000.0</v>
      </c>
      <c r="J411" s="14"/>
      <c r="K411" s="16">
        <f>IF(I411&gt;0, J411/I411, 0)</f>
        <v>0</v>
      </c>
      <c r="L411" s="14">
        <v>9000.0</v>
      </c>
      <c r="M411" s="14"/>
      <c r="N411" s="14">
        <f>L411-M411</f>
        <v>9000</v>
      </c>
      <c r="O411" s="9" t="s">
        <v>40</v>
      </c>
      <c r="P411" s="9" t="s">
        <v>41</v>
      </c>
      <c r="Q411" s="9" t="s">
        <v>42</v>
      </c>
      <c r="R411" s="7" t="s">
        <v>2162</v>
      </c>
      <c r="S411" s="7" t="s">
        <v>42</v>
      </c>
    </row>
    <row r="412" spans="1:19">
      <c r="A412" s="8">
        <v>405</v>
      </c>
      <c r="B412" s="8" t="s">
        <v>662</v>
      </c>
      <c r="C412" s="8" t="s">
        <v>660</v>
      </c>
      <c r="D412" s="8" t="s">
        <v>652</v>
      </c>
      <c r="E412" s="8" t="s">
        <v>33</v>
      </c>
      <c r="F412" s="6" t="s">
        <v>39</v>
      </c>
      <c r="G412" s="10">
        <v>1</v>
      </c>
      <c r="H412" s="10">
        <v>1</v>
      </c>
      <c r="I412" s="13">
        <v>7500.0</v>
      </c>
      <c r="J412" s="13"/>
      <c r="K412" s="15">
        <f>IF(I412&gt;0, J412/I412, 0)</f>
        <v>0</v>
      </c>
      <c r="L412" s="13">
        <v>7500.0</v>
      </c>
      <c r="M412" s="13"/>
      <c r="N412" s="13">
        <f>L412-M412</f>
        <v>7500</v>
      </c>
      <c r="O412" s="8" t="s">
        <v>40</v>
      </c>
      <c r="P412" s="8" t="s">
        <v>41</v>
      </c>
      <c r="Q412" s="8" t="s">
        <v>42</v>
      </c>
      <c r="R412" s="6" t="s">
        <v>2161</v>
      </c>
      <c r="S412" s="6" t="s">
        <v>42</v>
      </c>
    </row>
    <row r="413" spans="1:19">
      <c r="A413" s="9">
        <v>406</v>
      </c>
      <c r="B413" s="9" t="s">
        <v>663</v>
      </c>
      <c r="C413" s="9" t="s">
        <v>660</v>
      </c>
      <c r="D413" s="9" t="s">
        <v>652</v>
      </c>
      <c r="E413" s="9" t="s">
        <v>33</v>
      </c>
      <c r="F413" s="7" t="s">
        <v>39</v>
      </c>
      <c r="G413" s="11">
        <v>1</v>
      </c>
      <c r="H413" s="11">
        <v>1</v>
      </c>
      <c r="I413" s="14">
        <v>16500.0</v>
      </c>
      <c r="J413" s="14"/>
      <c r="K413" s="16">
        <f>IF(I413&gt;0, J413/I413, 0)</f>
        <v>0</v>
      </c>
      <c r="L413" s="14">
        <v>16500.0</v>
      </c>
      <c r="M413" s="14"/>
      <c r="N413" s="14">
        <f>L413-M413</f>
        <v>16500</v>
      </c>
      <c r="O413" s="9" t="s">
        <v>40</v>
      </c>
      <c r="P413" s="9" t="s">
        <v>41</v>
      </c>
      <c r="Q413" s="9" t="s">
        <v>42</v>
      </c>
      <c r="R413" s="7" t="s">
        <v>2173</v>
      </c>
      <c r="S413" s="7" t="s">
        <v>42</v>
      </c>
    </row>
    <row r="414" spans="1:19">
      <c r="A414" s="8">
        <v>407</v>
      </c>
      <c r="B414" s="8" t="s">
        <v>664</v>
      </c>
      <c r="C414" s="8" t="s">
        <v>660</v>
      </c>
      <c r="D414" s="8" t="s">
        <v>652</v>
      </c>
      <c r="E414" s="8" t="s">
        <v>33</v>
      </c>
      <c r="F414" s="6" t="s">
        <v>39</v>
      </c>
      <c r="G414" s="10">
        <v>1</v>
      </c>
      <c r="H414" s="10">
        <v>1</v>
      </c>
      <c r="I414" s="13">
        <v>7500.0</v>
      </c>
      <c r="J414" s="13"/>
      <c r="K414" s="15">
        <f>IF(I414&gt;0, J414/I414, 0)</f>
        <v>0</v>
      </c>
      <c r="L414" s="13">
        <v>7500.0</v>
      </c>
      <c r="M414" s="13"/>
      <c r="N414" s="13">
        <f>L414-M414</f>
        <v>7500</v>
      </c>
      <c r="O414" s="8" t="s">
        <v>40</v>
      </c>
      <c r="P414" s="8" t="s">
        <v>41</v>
      </c>
      <c r="Q414" s="8" t="s">
        <v>42</v>
      </c>
      <c r="R414" s="6" t="s">
        <v>2203</v>
      </c>
      <c r="S414" s="6" t="s">
        <v>42</v>
      </c>
    </row>
    <row r="415" spans="1:19">
      <c r="A415" s="9">
        <v>408</v>
      </c>
      <c r="B415" s="9" t="s">
        <v>666</v>
      </c>
      <c r="C415" s="9" t="s">
        <v>660</v>
      </c>
      <c r="D415" s="9" t="s">
        <v>652</v>
      </c>
      <c r="E415" s="9" t="s">
        <v>33</v>
      </c>
      <c r="F415" s="7" t="s">
        <v>39</v>
      </c>
      <c r="G415" s="11">
        <v>1</v>
      </c>
      <c r="H415" s="11">
        <v>1</v>
      </c>
      <c r="I415" s="14">
        <v>8500.0</v>
      </c>
      <c r="J415" s="14"/>
      <c r="K415" s="16">
        <f>IF(I415&gt;0, J415/I415, 0)</f>
        <v>0</v>
      </c>
      <c r="L415" s="14">
        <v>8500.0</v>
      </c>
      <c r="M415" s="14"/>
      <c r="N415" s="14">
        <f>L415-M415</f>
        <v>8500</v>
      </c>
      <c r="O415" s="9" t="s">
        <v>40</v>
      </c>
      <c r="P415" s="9" t="s">
        <v>41</v>
      </c>
      <c r="Q415" s="9" t="s">
        <v>42</v>
      </c>
      <c r="R415" s="7" t="s">
        <v>2157</v>
      </c>
      <c r="S415" s="7" t="s">
        <v>42</v>
      </c>
    </row>
    <row r="416" spans="1:19">
      <c r="A416" s="8">
        <v>409</v>
      </c>
      <c r="B416" s="8" t="s">
        <v>668</v>
      </c>
      <c r="C416" s="8" t="s">
        <v>660</v>
      </c>
      <c r="D416" s="8" t="s">
        <v>652</v>
      </c>
      <c r="E416" s="8" t="s">
        <v>33</v>
      </c>
      <c r="F416" s="6" t="s">
        <v>39</v>
      </c>
      <c r="G416" s="10">
        <v>1</v>
      </c>
      <c r="H416" s="10">
        <v>1</v>
      </c>
      <c r="I416" s="13">
        <v>7000.0</v>
      </c>
      <c r="J416" s="13"/>
      <c r="K416" s="15">
        <f>IF(I416&gt;0, J416/I416, 0)</f>
        <v>0</v>
      </c>
      <c r="L416" s="13">
        <v>7000.0</v>
      </c>
      <c r="M416" s="13"/>
      <c r="N416" s="13">
        <f>L416-M416</f>
        <v>7000</v>
      </c>
      <c r="O416" s="8" t="s">
        <v>40</v>
      </c>
      <c r="P416" s="8" t="s">
        <v>41</v>
      </c>
      <c r="Q416" s="8" t="s">
        <v>42</v>
      </c>
      <c r="R416" s="6" t="s">
        <v>2154</v>
      </c>
      <c r="S416" s="6" t="s">
        <v>42</v>
      </c>
    </row>
    <row r="417" spans="1:19">
      <c r="A417" s="9">
        <v>410</v>
      </c>
      <c r="B417" s="9" t="s">
        <v>669</v>
      </c>
      <c r="C417" s="9" t="s">
        <v>660</v>
      </c>
      <c r="D417" s="9" t="s">
        <v>652</v>
      </c>
      <c r="E417" s="9" t="s">
        <v>33</v>
      </c>
      <c r="F417" s="7" t="s">
        <v>39</v>
      </c>
      <c r="G417" s="11">
        <v>1</v>
      </c>
      <c r="H417" s="11">
        <v>1</v>
      </c>
      <c r="I417" s="14">
        <v>8000.0</v>
      </c>
      <c r="J417" s="14"/>
      <c r="K417" s="16">
        <f>IF(I417&gt;0, J417/I417, 0)</f>
        <v>0</v>
      </c>
      <c r="L417" s="14">
        <v>8000.0</v>
      </c>
      <c r="M417" s="14"/>
      <c r="N417" s="14">
        <f>L417-M417</f>
        <v>8000</v>
      </c>
      <c r="O417" s="9" t="s">
        <v>40</v>
      </c>
      <c r="P417" s="9" t="s">
        <v>41</v>
      </c>
      <c r="Q417" s="9" t="s">
        <v>42</v>
      </c>
      <c r="R417" s="7" t="s">
        <v>2196</v>
      </c>
      <c r="S417" s="7" t="s">
        <v>42</v>
      </c>
    </row>
    <row r="418" spans="1:19">
      <c r="A418" s="8">
        <v>411</v>
      </c>
      <c r="B418" s="8" t="s">
        <v>670</v>
      </c>
      <c r="C418" s="8" t="s">
        <v>660</v>
      </c>
      <c r="D418" s="8" t="s">
        <v>652</v>
      </c>
      <c r="E418" s="8" t="s">
        <v>33</v>
      </c>
      <c r="F418" s="6" t="s">
        <v>39</v>
      </c>
      <c r="G418" s="10">
        <v>1</v>
      </c>
      <c r="H418" s="10">
        <v>1</v>
      </c>
      <c r="I418" s="13">
        <v>8000.0</v>
      </c>
      <c r="J418" s="13"/>
      <c r="K418" s="15">
        <f>IF(I418&gt;0, J418/I418, 0)</f>
        <v>0</v>
      </c>
      <c r="L418" s="13">
        <v>8000.0</v>
      </c>
      <c r="M418" s="13"/>
      <c r="N418" s="13">
        <f>L418-M418</f>
        <v>8000</v>
      </c>
      <c r="O418" s="8" t="s">
        <v>40</v>
      </c>
      <c r="P418" s="8" t="s">
        <v>41</v>
      </c>
      <c r="Q418" s="8" t="s">
        <v>42</v>
      </c>
      <c r="R418" s="6" t="s">
        <v>2099</v>
      </c>
      <c r="S418" s="6" t="s">
        <v>42</v>
      </c>
    </row>
    <row r="419" spans="1:19">
      <c r="A419" s="9">
        <v>412</v>
      </c>
      <c r="B419" s="9" t="s">
        <v>671</v>
      </c>
      <c r="C419" s="9" t="s">
        <v>660</v>
      </c>
      <c r="D419" s="9" t="s">
        <v>652</v>
      </c>
      <c r="E419" s="9" t="s">
        <v>33</v>
      </c>
      <c r="F419" s="7" t="s">
        <v>39</v>
      </c>
      <c r="G419" s="11">
        <v>1</v>
      </c>
      <c r="H419" s="11">
        <v>1</v>
      </c>
      <c r="I419" s="14">
        <v>16000.0</v>
      </c>
      <c r="J419" s="14"/>
      <c r="K419" s="16">
        <f>IF(I419&gt;0, J419/I419, 0)</f>
        <v>0</v>
      </c>
      <c r="L419" s="14">
        <v>16000.0</v>
      </c>
      <c r="M419" s="14"/>
      <c r="N419" s="14">
        <f>L419-M419</f>
        <v>16000</v>
      </c>
      <c r="O419" s="9" t="s">
        <v>40</v>
      </c>
      <c r="P419" s="9" t="s">
        <v>41</v>
      </c>
      <c r="Q419" s="9" t="s">
        <v>42</v>
      </c>
      <c r="R419" s="7" t="s">
        <v>2126</v>
      </c>
      <c r="S419" s="7" t="s">
        <v>42</v>
      </c>
    </row>
    <row r="420" spans="1:19">
      <c r="A420" s="8">
        <v>413</v>
      </c>
      <c r="B420" s="8" t="s">
        <v>672</v>
      </c>
      <c r="C420" s="8" t="s">
        <v>660</v>
      </c>
      <c r="D420" s="8" t="s">
        <v>652</v>
      </c>
      <c r="E420" s="8" t="s">
        <v>33</v>
      </c>
      <c r="F420" s="6" t="s">
        <v>39</v>
      </c>
      <c r="G420" s="10">
        <v>1</v>
      </c>
      <c r="H420" s="10">
        <v>1</v>
      </c>
      <c r="I420" s="13">
        <v>7000.0</v>
      </c>
      <c r="J420" s="13"/>
      <c r="K420" s="15">
        <f>IF(I420&gt;0, J420/I420, 0)</f>
        <v>0</v>
      </c>
      <c r="L420" s="13">
        <v>7000.0</v>
      </c>
      <c r="M420" s="13"/>
      <c r="N420" s="13">
        <f>L420-M420</f>
        <v>7000</v>
      </c>
      <c r="O420" s="8" t="s">
        <v>40</v>
      </c>
      <c r="P420" s="8" t="s">
        <v>41</v>
      </c>
      <c r="Q420" s="8" t="s">
        <v>42</v>
      </c>
      <c r="R420" s="6" t="s">
        <v>2074</v>
      </c>
      <c r="S420" s="6" t="s">
        <v>42</v>
      </c>
    </row>
    <row r="421" spans="1:19">
      <c r="A421" s="9">
        <v>414</v>
      </c>
      <c r="B421" s="9" t="s">
        <v>673</v>
      </c>
      <c r="C421" s="9" t="s">
        <v>660</v>
      </c>
      <c r="D421" s="9" t="s">
        <v>652</v>
      </c>
      <c r="E421" s="9" t="s">
        <v>33</v>
      </c>
      <c r="F421" s="7" t="s">
        <v>39</v>
      </c>
      <c r="G421" s="11">
        <v>1</v>
      </c>
      <c r="H421" s="11">
        <v>1</v>
      </c>
      <c r="I421" s="14">
        <v>16000.0</v>
      </c>
      <c r="J421" s="14"/>
      <c r="K421" s="16">
        <f>IF(I421&gt;0, J421/I421, 0)</f>
        <v>0</v>
      </c>
      <c r="L421" s="14">
        <v>16000.0</v>
      </c>
      <c r="M421" s="14"/>
      <c r="N421" s="14">
        <f>L421-M421</f>
        <v>16000</v>
      </c>
      <c r="O421" s="9" t="s">
        <v>40</v>
      </c>
      <c r="P421" s="9" t="s">
        <v>41</v>
      </c>
      <c r="Q421" s="9" t="s">
        <v>42</v>
      </c>
      <c r="R421" s="7" t="s">
        <v>2132</v>
      </c>
      <c r="S421" s="7" t="s">
        <v>42</v>
      </c>
    </row>
    <row r="422" spans="1:19">
      <c r="A422" s="8">
        <v>415</v>
      </c>
      <c r="B422" s="8" t="s">
        <v>674</v>
      </c>
      <c r="C422" s="8" t="s">
        <v>660</v>
      </c>
      <c r="D422" s="8" t="s">
        <v>652</v>
      </c>
      <c r="E422" s="8" t="s">
        <v>33</v>
      </c>
      <c r="F422" s="6" t="s">
        <v>39</v>
      </c>
      <c r="G422" s="10">
        <v>1</v>
      </c>
      <c r="H422" s="10">
        <v>1</v>
      </c>
      <c r="I422" s="13">
        <v>8000.0</v>
      </c>
      <c r="J422" s="13"/>
      <c r="K422" s="15">
        <f>IF(I422&gt;0, J422/I422, 0)</f>
        <v>0</v>
      </c>
      <c r="L422" s="13">
        <v>8000.0</v>
      </c>
      <c r="M422" s="13"/>
      <c r="N422" s="13">
        <f>L422-M422</f>
        <v>8000</v>
      </c>
      <c r="O422" s="8" t="s">
        <v>40</v>
      </c>
      <c r="P422" s="8" t="s">
        <v>41</v>
      </c>
      <c r="Q422" s="8" t="s">
        <v>42</v>
      </c>
      <c r="R422" s="6" t="s">
        <v>2189</v>
      </c>
      <c r="S422" s="6" t="s">
        <v>42</v>
      </c>
    </row>
    <row r="423" spans="1:19">
      <c r="A423" s="9">
        <v>416</v>
      </c>
      <c r="B423" s="9" t="s">
        <v>675</v>
      </c>
      <c r="C423" s="9" t="s">
        <v>660</v>
      </c>
      <c r="D423" s="9" t="s">
        <v>652</v>
      </c>
      <c r="E423" s="9" t="s">
        <v>33</v>
      </c>
      <c r="F423" s="7" t="s">
        <v>39</v>
      </c>
      <c r="G423" s="11">
        <v>1</v>
      </c>
      <c r="H423" s="11">
        <v>1</v>
      </c>
      <c r="I423" s="14">
        <v>8000.0</v>
      </c>
      <c r="J423" s="14"/>
      <c r="K423" s="16">
        <f>IF(I423&gt;0, J423/I423, 0)</f>
        <v>0</v>
      </c>
      <c r="L423" s="14">
        <v>8000.0</v>
      </c>
      <c r="M423" s="14"/>
      <c r="N423" s="14">
        <f>L423-M423</f>
        <v>8000</v>
      </c>
      <c r="O423" s="9" t="s">
        <v>40</v>
      </c>
      <c r="P423" s="9" t="s">
        <v>41</v>
      </c>
      <c r="Q423" s="9" t="s">
        <v>42</v>
      </c>
      <c r="R423" s="7" t="s">
        <v>2141</v>
      </c>
      <c r="S423" s="7" t="s">
        <v>42</v>
      </c>
    </row>
    <row r="424" spans="1:19">
      <c r="A424" s="8">
        <v>417</v>
      </c>
      <c r="B424" s="8" t="s">
        <v>676</v>
      </c>
      <c r="C424" s="8" t="s">
        <v>660</v>
      </c>
      <c r="D424" s="8" t="s">
        <v>652</v>
      </c>
      <c r="E424" s="8" t="s">
        <v>33</v>
      </c>
      <c r="F424" s="6" t="s">
        <v>39</v>
      </c>
      <c r="G424" s="10">
        <v>1</v>
      </c>
      <c r="H424" s="10">
        <v>1</v>
      </c>
      <c r="I424" s="13">
        <v>7000.0</v>
      </c>
      <c r="J424" s="13"/>
      <c r="K424" s="15">
        <f>IF(I424&gt;0, J424/I424, 0)</f>
        <v>0</v>
      </c>
      <c r="L424" s="13">
        <v>7000.0</v>
      </c>
      <c r="M424" s="13"/>
      <c r="N424" s="13">
        <f>L424-M424</f>
        <v>7000</v>
      </c>
      <c r="O424" s="8" t="s">
        <v>40</v>
      </c>
      <c r="P424" s="8" t="s">
        <v>41</v>
      </c>
      <c r="Q424" s="8" t="s">
        <v>42</v>
      </c>
      <c r="R424" s="6" t="s">
        <v>2142</v>
      </c>
      <c r="S424" s="6" t="s">
        <v>42</v>
      </c>
    </row>
    <row r="425" spans="1:19">
      <c r="A425" s="9">
        <v>418</v>
      </c>
      <c r="B425" s="9" t="s">
        <v>677</v>
      </c>
      <c r="C425" s="9" t="s">
        <v>678</v>
      </c>
      <c r="D425" s="9" t="s">
        <v>652</v>
      </c>
      <c r="E425" s="9" t="s">
        <v>33</v>
      </c>
      <c r="F425" s="7" t="s">
        <v>39</v>
      </c>
      <c r="G425" s="11">
        <v>1</v>
      </c>
      <c r="H425" s="11">
        <v>1</v>
      </c>
      <c r="I425" s="14">
        <v>8000.0</v>
      </c>
      <c r="J425" s="14"/>
      <c r="K425" s="16">
        <f>IF(I425&gt;0, J425/I425, 0)</f>
        <v>0</v>
      </c>
      <c r="L425" s="14">
        <v>8000.0</v>
      </c>
      <c r="M425" s="14"/>
      <c r="N425" s="14">
        <f>L425-M425</f>
        <v>8000</v>
      </c>
      <c r="O425" s="9" t="s">
        <v>40</v>
      </c>
      <c r="P425" s="9" t="s">
        <v>41</v>
      </c>
      <c r="Q425" s="9" t="s">
        <v>42</v>
      </c>
      <c r="R425" s="7" t="s">
        <v>2159</v>
      </c>
      <c r="S425" s="7" t="s">
        <v>42</v>
      </c>
    </row>
    <row r="426" spans="1:19">
      <c r="A426" s="8">
        <v>419</v>
      </c>
      <c r="B426" s="8" t="s">
        <v>679</v>
      </c>
      <c r="C426" s="8" t="s">
        <v>678</v>
      </c>
      <c r="D426" s="8" t="s">
        <v>652</v>
      </c>
      <c r="E426" s="8" t="s">
        <v>33</v>
      </c>
      <c r="F426" s="6" t="s">
        <v>39</v>
      </c>
      <c r="G426" s="10">
        <v>1</v>
      </c>
      <c r="H426" s="10">
        <v>1</v>
      </c>
      <c r="I426" s="13">
        <v>8000.0</v>
      </c>
      <c r="J426" s="13"/>
      <c r="K426" s="15">
        <f>IF(I426&gt;0, J426/I426, 0)</f>
        <v>0</v>
      </c>
      <c r="L426" s="13">
        <v>8000.0</v>
      </c>
      <c r="M426" s="13"/>
      <c r="N426" s="13">
        <f>L426-M426</f>
        <v>8000</v>
      </c>
      <c r="O426" s="8" t="s">
        <v>40</v>
      </c>
      <c r="P426" s="8" t="s">
        <v>41</v>
      </c>
      <c r="Q426" s="8" t="s">
        <v>42</v>
      </c>
      <c r="R426" s="6" t="s">
        <v>2163</v>
      </c>
      <c r="S426" s="6" t="s">
        <v>42</v>
      </c>
    </row>
    <row r="427" spans="1:19">
      <c r="A427" s="9">
        <v>420</v>
      </c>
      <c r="B427" s="9" t="s">
        <v>681</v>
      </c>
      <c r="C427" s="9" t="s">
        <v>678</v>
      </c>
      <c r="D427" s="9" t="s">
        <v>652</v>
      </c>
      <c r="E427" s="9" t="s">
        <v>33</v>
      </c>
      <c r="F427" s="7" t="s">
        <v>39</v>
      </c>
      <c r="G427" s="11">
        <v>1</v>
      </c>
      <c r="H427" s="11">
        <v>1</v>
      </c>
      <c r="I427" s="14">
        <v>16000.0</v>
      </c>
      <c r="J427" s="14"/>
      <c r="K427" s="16">
        <f>IF(I427&gt;0, J427/I427, 0)</f>
        <v>0</v>
      </c>
      <c r="L427" s="14">
        <v>16000.0</v>
      </c>
      <c r="M427" s="14"/>
      <c r="N427" s="14">
        <f>L427-M427</f>
        <v>16000</v>
      </c>
      <c r="O427" s="9" t="s">
        <v>40</v>
      </c>
      <c r="P427" s="9" t="s">
        <v>41</v>
      </c>
      <c r="Q427" s="9" t="s">
        <v>42</v>
      </c>
      <c r="R427" s="7" t="s">
        <v>2144</v>
      </c>
      <c r="S427" s="7" t="s">
        <v>42</v>
      </c>
    </row>
    <row r="428" spans="1:19">
      <c r="A428" s="8">
        <v>421</v>
      </c>
      <c r="B428" s="8" t="s">
        <v>682</v>
      </c>
      <c r="C428" s="8" t="s">
        <v>678</v>
      </c>
      <c r="D428" s="8" t="s">
        <v>652</v>
      </c>
      <c r="E428" s="8" t="s">
        <v>33</v>
      </c>
      <c r="F428" s="6" t="s">
        <v>39</v>
      </c>
      <c r="G428" s="10">
        <v>1</v>
      </c>
      <c r="H428" s="10">
        <v>1</v>
      </c>
      <c r="I428" s="13">
        <v>7000.0</v>
      </c>
      <c r="J428" s="13"/>
      <c r="K428" s="15">
        <f>IF(I428&gt;0, J428/I428, 0)</f>
        <v>0</v>
      </c>
      <c r="L428" s="13">
        <v>7000.0</v>
      </c>
      <c r="M428" s="13"/>
      <c r="N428" s="13">
        <f>L428-M428</f>
        <v>7000</v>
      </c>
      <c r="O428" s="8" t="s">
        <v>40</v>
      </c>
      <c r="P428" s="8" t="s">
        <v>41</v>
      </c>
      <c r="Q428" s="8" t="s">
        <v>42</v>
      </c>
      <c r="R428" s="6" t="s">
        <v>2142</v>
      </c>
      <c r="S428" s="6" t="s">
        <v>42</v>
      </c>
    </row>
    <row r="429" spans="1:19">
      <c r="A429" s="9">
        <v>422</v>
      </c>
      <c r="B429" s="9" t="s">
        <v>683</v>
      </c>
      <c r="C429" s="9" t="s">
        <v>678</v>
      </c>
      <c r="D429" s="9" t="s">
        <v>652</v>
      </c>
      <c r="E429" s="9" t="s">
        <v>33</v>
      </c>
      <c r="F429" s="7" t="s">
        <v>39</v>
      </c>
      <c r="G429" s="11">
        <v>1</v>
      </c>
      <c r="H429" s="11">
        <v>1</v>
      </c>
      <c r="I429" s="14">
        <v>16500.0</v>
      </c>
      <c r="J429" s="14"/>
      <c r="K429" s="16">
        <f>IF(I429&gt;0, J429/I429, 0)</f>
        <v>0</v>
      </c>
      <c r="L429" s="14">
        <v>16500.0</v>
      </c>
      <c r="M429" s="14"/>
      <c r="N429" s="14">
        <f>L429-M429</f>
        <v>16500</v>
      </c>
      <c r="O429" s="9" t="s">
        <v>40</v>
      </c>
      <c r="P429" s="9" t="s">
        <v>41</v>
      </c>
      <c r="Q429" s="9" t="s">
        <v>42</v>
      </c>
      <c r="R429" s="7" t="s">
        <v>2126</v>
      </c>
      <c r="S429" s="7" t="s">
        <v>42</v>
      </c>
    </row>
    <row r="430" spans="1:19">
      <c r="A430" s="8">
        <v>423</v>
      </c>
      <c r="B430" s="8" t="s">
        <v>684</v>
      </c>
      <c r="C430" s="8" t="s">
        <v>678</v>
      </c>
      <c r="D430" s="8" t="s">
        <v>652</v>
      </c>
      <c r="E430" s="8" t="s">
        <v>33</v>
      </c>
      <c r="F430" s="6" t="s">
        <v>39</v>
      </c>
      <c r="G430" s="10">
        <v>1</v>
      </c>
      <c r="H430" s="10">
        <v>1</v>
      </c>
      <c r="I430" s="13">
        <v>7000.0</v>
      </c>
      <c r="J430" s="13"/>
      <c r="K430" s="15">
        <f>IF(I430&gt;0, J430/I430, 0)</f>
        <v>0</v>
      </c>
      <c r="L430" s="13">
        <v>7000.0</v>
      </c>
      <c r="M430" s="13"/>
      <c r="N430" s="13">
        <f>L430-M430</f>
        <v>7000</v>
      </c>
      <c r="O430" s="8" t="s">
        <v>40</v>
      </c>
      <c r="P430" s="8" t="s">
        <v>41</v>
      </c>
      <c r="Q430" s="8" t="s">
        <v>42</v>
      </c>
      <c r="R430" s="6" t="s">
        <v>2204</v>
      </c>
      <c r="S430" s="6" t="s">
        <v>42</v>
      </c>
    </row>
    <row r="431" spans="1:19">
      <c r="A431" s="9">
        <v>424</v>
      </c>
      <c r="B431" s="9" t="s">
        <v>686</v>
      </c>
      <c r="C431" s="9" t="s">
        <v>678</v>
      </c>
      <c r="D431" s="9" t="s">
        <v>652</v>
      </c>
      <c r="E431" s="9" t="s">
        <v>33</v>
      </c>
      <c r="F431" s="7" t="s">
        <v>39</v>
      </c>
      <c r="G431" s="11">
        <v>1</v>
      </c>
      <c r="H431" s="11">
        <v>1</v>
      </c>
      <c r="I431" s="14">
        <v>8000.0</v>
      </c>
      <c r="J431" s="14"/>
      <c r="K431" s="16">
        <f>IF(I431&gt;0, J431/I431, 0)</f>
        <v>0</v>
      </c>
      <c r="L431" s="14">
        <v>8000.0</v>
      </c>
      <c r="M431" s="14"/>
      <c r="N431" s="14">
        <f>L431-M431</f>
        <v>8000</v>
      </c>
      <c r="O431" s="9" t="s">
        <v>40</v>
      </c>
      <c r="P431" s="9" t="s">
        <v>41</v>
      </c>
      <c r="Q431" s="9" t="s">
        <v>42</v>
      </c>
      <c r="R431" s="7" t="s">
        <v>2082</v>
      </c>
      <c r="S431" s="7" t="s">
        <v>42</v>
      </c>
    </row>
    <row r="432" spans="1:19">
      <c r="A432" s="8">
        <v>425</v>
      </c>
      <c r="B432" s="8" t="s">
        <v>687</v>
      </c>
      <c r="C432" s="8" t="s">
        <v>678</v>
      </c>
      <c r="D432" s="8" t="s">
        <v>652</v>
      </c>
      <c r="E432" s="8" t="s">
        <v>33</v>
      </c>
      <c r="F432" s="6" t="s">
        <v>39</v>
      </c>
      <c r="G432" s="10">
        <v>1</v>
      </c>
      <c r="H432" s="10">
        <v>1</v>
      </c>
      <c r="I432" s="13">
        <v>8500.0</v>
      </c>
      <c r="J432" s="13"/>
      <c r="K432" s="15">
        <f>IF(I432&gt;0, J432/I432, 0)</f>
        <v>0</v>
      </c>
      <c r="L432" s="13">
        <v>8500.0</v>
      </c>
      <c r="M432" s="13"/>
      <c r="N432" s="13">
        <f>L432-M432</f>
        <v>8500</v>
      </c>
      <c r="O432" s="8" t="s">
        <v>40</v>
      </c>
      <c r="P432" s="8" t="s">
        <v>41</v>
      </c>
      <c r="Q432" s="8" t="s">
        <v>42</v>
      </c>
      <c r="R432" s="6" t="s">
        <v>2099</v>
      </c>
      <c r="S432" s="6" t="s">
        <v>42</v>
      </c>
    </row>
    <row r="433" spans="1:19">
      <c r="A433" s="9">
        <v>426</v>
      </c>
      <c r="B433" s="9" t="s">
        <v>688</v>
      </c>
      <c r="C433" s="9" t="s">
        <v>678</v>
      </c>
      <c r="D433" s="9" t="s">
        <v>652</v>
      </c>
      <c r="E433" s="9" t="s">
        <v>33</v>
      </c>
      <c r="F433" s="7" t="s">
        <v>39</v>
      </c>
      <c r="G433" s="11">
        <v>1</v>
      </c>
      <c r="H433" s="11">
        <v>1</v>
      </c>
      <c r="I433" s="14">
        <v>18000.0</v>
      </c>
      <c r="J433" s="14"/>
      <c r="K433" s="16">
        <f>IF(I433&gt;0, J433/I433, 0)</f>
        <v>0</v>
      </c>
      <c r="L433" s="14">
        <v>18000.0</v>
      </c>
      <c r="M433" s="14"/>
      <c r="N433" s="14">
        <f>L433-M433</f>
        <v>18000</v>
      </c>
      <c r="O433" s="9" t="s">
        <v>40</v>
      </c>
      <c r="P433" s="9" t="s">
        <v>41</v>
      </c>
      <c r="Q433" s="9" t="s">
        <v>42</v>
      </c>
      <c r="R433" s="7" t="s">
        <v>2160</v>
      </c>
      <c r="S433" s="7" t="s">
        <v>42</v>
      </c>
    </row>
    <row r="434" spans="1:19">
      <c r="A434" s="8">
        <v>427</v>
      </c>
      <c r="B434" s="8" t="s">
        <v>689</v>
      </c>
      <c r="C434" s="8" t="s">
        <v>678</v>
      </c>
      <c r="D434" s="8" t="s">
        <v>652</v>
      </c>
      <c r="E434" s="8" t="s">
        <v>33</v>
      </c>
      <c r="F434" s="6" t="s">
        <v>39</v>
      </c>
      <c r="G434" s="10">
        <v>1</v>
      </c>
      <c r="H434" s="10">
        <v>1</v>
      </c>
      <c r="I434" s="13">
        <v>16500.0</v>
      </c>
      <c r="J434" s="13"/>
      <c r="K434" s="15">
        <f>IF(I434&gt;0, J434/I434, 0)</f>
        <v>0</v>
      </c>
      <c r="L434" s="13">
        <v>16500.0</v>
      </c>
      <c r="M434" s="13"/>
      <c r="N434" s="13">
        <f>L434-M434</f>
        <v>16500</v>
      </c>
      <c r="O434" s="8" t="s">
        <v>40</v>
      </c>
      <c r="P434" s="8" t="s">
        <v>41</v>
      </c>
      <c r="Q434" s="8" t="s">
        <v>42</v>
      </c>
      <c r="R434" s="6" t="s">
        <v>2126</v>
      </c>
      <c r="S434" s="6" t="s">
        <v>42</v>
      </c>
    </row>
    <row r="435" spans="1:19">
      <c r="A435" s="9">
        <v>428</v>
      </c>
      <c r="B435" s="9" t="s">
        <v>690</v>
      </c>
      <c r="C435" s="9" t="s">
        <v>678</v>
      </c>
      <c r="D435" s="9" t="s">
        <v>652</v>
      </c>
      <c r="E435" s="9" t="s">
        <v>33</v>
      </c>
      <c r="F435" s="7" t="s">
        <v>39</v>
      </c>
      <c r="G435" s="11">
        <v>1</v>
      </c>
      <c r="H435" s="11">
        <v>2</v>
      </c>
      <c r="I435" s="14">
        <v>33000.0</v>
      </c>
      <c r="J435" s="14"/>
      <c r="K435" s="16">
        <f>IF(I435&gt;0, J435/I435, 0)</f>
        <v>0</v>
      </c>
      <c r="L435" s="14">
        <v>33000.0</v>
      </c>
      <c r="M435" s="14"/>
      <c r="N435" s="14">
        <f>L435-M435</f>
        <v>33000</v>
      </c>
      <c r="O435" s="9" t="s">
        <v>40</v>
      </c>
      <c r="P435" s="9" t="s">
        <v>41</v>
      </c>
      <c r="Q435" s="9" t="s">
        <v>42</v>
      </c>
      <c r="R435" s="7" t="s">
        <v>2205</v>
      </c>
      <c r="S435" s="7" t="s">
        <v>42</v>
      </c>
    </row>
    <row r="436" spans="1:19">
      <c r="A436" s="8">
        <v>429</v>
      </c>
      <c r="B436" s="8" t="s">
        <v>691</v>
      </c>
      <c r="C436" s="8" t="s">
        <v>678</v>
      </c>
      <c r="D436" s="8" t="s">
        <v>652</v>
      </c>
      <c r="E436" s="8" t="s">
        <v>33</v>
      </c>
      <c r="F436" s="6" t="s">
        <v>39</v>
      </c>
      <c r="G436" s="10">
        <v>1</v>
      </c>
      <c r="H436" s="10">
        <v>2</v>
      </c>
      <c r="I436" s="13">
        <v>15000.0</v>
      </c>
      <c r="J436" s="13"/>
      <c r="K436" s="15">
        <f>IF(I436&gt;0, J436/I436, 0)</f>
        <v>0</v>
      </c>
      <c r="L436" s="13">
        <v>15000.0</v>
      </c>
      <c r="M436" s="13"/>
      <c r="N436" s="13">
        <f>L436-M436</f>
        <v>15000</v>
      </c>
      <c r="O436" s="8" t="s">
        <v>40</v>
      </c>
      <c r="P436" s="8" t="s">
        <v>41</v>
      </c>
      <c r="Q436" s="8" t="s">
        <v>42</v>
      </c>
      <c r="R436" s="6" t="s">
        <v>2206</v>
      </c>
      <c r="S436" s="6" t="s">
        <v>42</v>
      </c>
    </row>
    <row r="437" spans="1:19">
      <c r="A437" s="9">
        <v>430</v>
      </c>
      <c r="B437" s="9" t="s">
        <v>692</v>
      </c>
      <c r="C437" s="9" t="s">
        <v>678</v>
      </c>
      <c r="D437" s="9" t="s">
        <v>652</v>
      </c>
      <c r="E437" s="9" t="s">
        <v>33</v>
      </c>
      <c r="F437" s="7" t="s">
        <v>39</v>
      </c>
      <c r="G437" s="11">
        <v>1</v>
      </c>
      <c r="H437" s="11">
        <v>2</v>
      </c>
      <c r="I437" s="14">
        <v>19000.0</v>
      </c>
      <c r="J437" s="14"/>
      <c r="K437" s="16">
        <f>IF(I437&gt;0, J437/I437, 0)</f>
        <v>0</v>
      </c>
      <c r="L437" s="14">
        <v>19000.0</v>
      </c>
      <c r="M437" s="14"/>
      <c r="N437" s="14">
        <f>L437-M437</f>
        <v>19000</v>
      </c>
      <c r="O437" s="9" t="s">
        <v>40</v>
      </c>
      <c r="P437" s="9" t="s">
        <v>41</v>
      </c>
      <c r="Q437" s="9" t="s">
        <v>42</v>
      </c>
      <c r="R437" s="7" t="s">
        <v>2182</v>
      </c>
      <c r="S437" s="7" t="s">
        <v>42</v>
      </c>
    </row>
    <row r="438" spans="1:19">
      <c r="A438" s="8">
        <v>431</v>
      </c>
      <c r="B438" s="8" t="s">
        <v>693</v>
      </c>
      <c r="C438" s="8" t="s">
        <v>678</v>
      </c>
      <c r="D438" s="8" t="s">
        <v>652</v>
      </c>
      <c r="E438" s="8" t="s">
        <v>33</v>
      </c>
      <c r="F438" s="6" t="s">
        <v>39</v>
      </c>
      <c r="G438" s="10">
        <v>1</v>
      </c>
      <c r="H438" s="10">
        <v>2</v>
      </c>
      <c r="I438" s="13">
        <v>18000.0</v>
      </c>
      <c r="J438" s="13"/>
      <c r="K438" s="15">
        <f>IF(I438&gt;0, J438/I438, 0)</f>
        <v>0</v>
      </c>
      <c r="L438" s="13">
        <v>18000.0</v>
      </c>
      <c r="M438" s="13"/>
      <c r="N438" s="13">
        <f>L438-M438</f>
        <v>18000</v>
      </c>
      <c r="O438" s="8" t="s">
        <v>40</v>
      </c>
      <c r="P438" s="8" t="s">
        <v>41</v>
      </c>
      <c r="Q438" s="8" t="s">
        <v>42</v>
      </c>
      <c r="R438" s="6" t="s">
        <v>2183</v>
      </c>
      <c r="S438" s="6" t="s">
        <v>42</v>
      </c>
    </row>
    <row r="439" spans="1:19">
      <c r="A439" s="9">
        <v>432</v>
      </c>
      <c r="B439" s="9" t="s">
        <v>694</v>
      </c>
      <c r="C439" s="9" t="s">
        <v>678</v>
      </c>
      <c r="D439" s="9" t="s">
        <v>652</v>
      </c>
      <c r="E439" s="9" t="s">
        <v>33</v>
      </c>
      <c r="F439" s="7" t="s">
        <v>39</v>
      </c>
      <c r="G439" s="11">
        <v>1</v>
      </c>
      <c r="H439" s="11">
        <v>2</v>
      </c>
      <c r="I439" s="14">
        <v>16000.0</v>
      </c>
      <c r="J439" s="14"/>
      <c r="K439" s="16">
        <f>IF(I439&gt;0, J439/I439, 0)</f>
        <v>0</v>
      </c>
      <c r="L439" s="14">
        <v>16000.0</v>
      </c>
      <c r="M439" s="14"/>
      <c r="N439" s="14">
        <f>L439-M439</f>
        <v>16000</v>
      </c>
      <c r="O439" s="9" t="s">
        <v>40</v>
      </c>
      <c r="P439" s="9" t="s">
        <v>41</v>
      </c>
      <c r="Q439" s="9" t="s">
        <v>42</v>
      </c>
      <c r="R439" s="7" t="s">
        <v>2184</v>
      </c>
      <c r="S439" s="7" t="s">
        <v>42</v>
      </c>
    </row>
    <row r="440" spans="1:19">
      <c r="A440" s="8">
        <v>433</v>
      </c>
      <c r="B440" s="8" t="s">
        <v>696</v>
      </c>
      <c r="C440" s="8" t="s">
        <v>678</v>
      </c>
      <c r="D440" s="8" t="s">
        <v>652</v>
      </c>
      <c r="E440" s="8" t="s">
        <v>33</v>
      </c>
      <c r="F440" s="6" t="s">
        <v>39</v>
      </c>
      <c r="G440" s="10">
        <v>1</v>
      </c>
      <c r="H440" s="10">
        <v>2</v>
      </c>
      <c r="I440" s="13">
        <v>17000.0</v>
      </c>
      <c r="J440" s="13"/>
      <c r="K440" s="15">
        <f>IF(I440&gt;0, J440/I440, 0)</f>
        <v>0</v>
      </c>
      <c r="L440" s="13">
        <v>17000.0</v>
      </c>
      <c r="M440" s="13"/>
      <c r="N440" s="13">
        <f>L440-M440</f>
        <v>17000</v>
      </c>
      <c r="O440" s="8" t="s">
        <v>40</v>
      </c>
      <c r="P440" s="8" t="s">
        <v>41</v>
      </c>
      <c r="Q440" s="8" t="s">
        <v>42</v>
      </c>
      <c r="R440" s="6" t="s">
        <v>2207</v>
      </c>
      <c r="S440" s="6" t="s">
        <v>42</v>
      </c>
    </row>
    <row r="441" spans="1:19">
      <c r="A441" s="9">
        <v>434</v>
      </c>
      <c r="B441" s="9" t="s">
        <v>697</v>
      </c>
      <c r="C441" s="9" t="s">
        <v>698</v>
      </c>
      <c r="D441" s="9" t="s">
        <v>652</v>
      </c>
      <c r="E441" s="9" t="s">
        <v>33</v>
      </c>
      <c r="F441" s="7" t="s">
        <v>39</v>
      </c>
      <c r="G441" s="11">
        <v>1</v>
      </c>
      <c r="H441" s="11">
        <v>1</v>
      </c>
      <c r="I441" s="14">
        <v>7500.0</v>
      </c>
      <c r="J441" s="14"/>
      <c r="K441" s="16">
        <f>IF(I441&gt;0, J441/I441, 0)</f>
        <v>0</v>
      </c>
      <c r="L441" s="14">
        <v>7500.0</v>
      </c>
      <c r="M441" s="14"/>
      <c r="N441" s="14">
        <f>L441-M441</f>
        <v>7500</v>
      </c>
      <c r="O441" s="9" t="s">
        <v>40</v>
      </c>
      <c r="P441" s="9" t="s">
        <v>41</v>
      </c>
      <c r="Q441" s="9" t="s">
        <v>42</v>
      </c>
      <c r="R441" s="7" t="s">
        <v>2128</v>
      </c>
      <c r="S441" s="7" t="s">
        <v>42</v>
      </c>
    </row>
    <row r="442" spans="1:19">
      <c r="A442" s="8">
        <v>435</v>
      </c>
      <c r="B442" s="8" t="s">
        <v>700</v>
      </c>
      <c r="C442" s="8" t="s">
        <v>698</v>
      </c>
      <c r="D442" s="8" t="s">
        <v>652</v>
      </c>
      <c r="E442" s="8" t="s">
        <v>33</v>
      </c>
      <c r="F442" s="6" t="s">
        <v>39</v>
      </c>
      <c r="G442" s="10">
        <v>1</v>
      </c>
      <c r="H442" s="10">
        <v>2</v>
      </c>
      <c r="I442" s="13">
        <v>16000.0</v>
      </c>
      <c r="J442" s="13"/>
      <c r="K442" s="15">
        <f>IF(I442&gt;0, J442/I442, 0)</f>
        <v>0</v>
      </c>
      <c r="L442" s="13">
        <v>16000.0</v>
      </c>
      <c r="M442" s="13"/>
      <c r="N442" s="13">
        <f>L442-M442</f>
        <v>16000</v>
      </c>
      <c r="O442" s="8" t="s">
        <v>40</v>
      </c>
      <c r="P442" s="8" t="s">
        <v>41</v>
      </c>
      <c r="Q442" s="8" t="s">
        <v>42</v>
      </c>
      <c r="R442" s="6" t="s">
        <v>2208</v>
      </c>
      <c r="S442" s="6" t="s">
        <v>42</v>
      </c>
    </row>
    <row r="443" spans="1:19">
      <c r="A443" s="9">
        <v>436</v>
      </c>
      <c r="B443" s="9" t="s">
        <v>702</v>
      </c>
      <c r="C443" s="9" t="s">
        <v>698</v>
      </c>
      <c r="D443" s="9" t="s">
        <v>652</v>
      </c>
      <c r="E443" s="9" t="s">
        <v>33</v>
      </c>
      <c r="F443" s="7" t="s">
        <v>39</v>
      </c>
      <c r="G443" s="11">
        <v>1</v>
      </c>
      <c r="H443" s="11">
        <v>1</v>
      </c>
      <c r="I443" s="14">
        <v>8000.0</v>
      </c>
      <c r="J443" s="14"/>
      <c r="K443" s="16">
        <f>IF(I443&gt;0, J443/I443, 0)</f>
        <v>0</v>
      </c>
      <c r="L443" s="14">
        <v>8000.0</v>
      </c>
      <c r="M443" s="14"/>
      <c r="N443" s="14">
        <f>L443-M443</f>
        <v>8000</v>
      </c>
      <c r="O443" s="9" t="s">
        <v>40</v>
      </c>
      <c r="P443" s="9" t="s">
        <v>41</v>
      </c>
      <c r="Q443" s="9" t="s">
        <v>42</v>
      </c>
      <c r="R443" s="7" t="s">
        <v>2190</v>
      </c>
      <c r="S443" s="7" t="s">
        <v>42</v>
      </c>
    </row>
    <row r="444" spans="1:19">
      <c r="A444" s="8">
        <v>437</v>
      </c>
      <c r="B444" s="8" t="s">
        <v>703</v>
      </c>
      <c r="C444" s="8" t="s">
        <v>698</v>
      </c>
      <c r="D444" s="8" t="s">
        <v>652</v>
      </c>
      <c r="E444" s="8" t="s">
        <v>68</v>
      </c>
      <c r="F444" s="6" t="s">
        <v>39</v>
      </c>
      <c r="G444" s="10">
        <v>1</v>
      </c>
      <c r="H444" s="10">
        <v>1</v>
      </c>
      <c r="I444" s="13">
        <v>10000.0</v>
      </c>
      <c r="J444" s="13"/>
      <c r="K444" s="15">
        <f>IF(I444&gt;0, J444/I444, 0)</f>
        <v>0</v>
      </c>
      <c r="L444" s="13">
        <v>10000.0</v>
      </c>
      <c r="M444" s="13"/>
      <c r="N444" s="13">
        <f>L444-M444</f>
        <v>10000</v>
      </c>
      <c r="O444" s="8" t="s">
        <v>40</v>
      </c>
      <c r="P444" s="8" t="s">
        <v>71</v>
      </c>
      <c r="Q444" s="8" t="s">
        <v>42</v>
      </c>
      <c r="R444" s="6" t="s">
        <v>2138</v>
      </c>
      <c r="S444" s="6" t="s">
        <v>42</v>
      </c>
    </row>
    <row r="445" spans="1:19">
      <c r="A445" s="9">
        <v>438</v>
      </c>
      <c r="B445" s="9" t="s">
        <v>704</v>
      </c>
      <c r="C445" s="9" t="s">
        <v>698</v>
      </c>
      <c r="D445" s="9" t="s">
        <v>652</v>
      </c>
      <c r="E445" s="9" t="s">
        <v>33</v>
      </c>
      <c r="F445" s="7" t="s">
        <v>39</v>
      </c>
      <c r="G445" s="11">
        <v>1</v>
      </c>
      <c r="H445" s="11">
        <v>1</v>
      </c>
      <c r="I445" s="14">
        <v>16000.0</v>
      </c>
      <c r="J445" s="14"/>
      <c r="K445" s="16">
        <f>IF(I445&gt;0, J445/I445, 0)</f>
        <v>0</v>
      </c>
      <c r="L445" s="14">
        <v>16000.0</v>
      </c>
      <c r="M445" s="14"/>
      <c r="N445" s="14">
        <f>L445-M445</f>
        <v>16000</v>
      </c>
      <c r="O445" s="9" t="s">
        <v>40</v>
      </c>
      <c r="P445" s="9" t="s">
        <v>41</v>
      </c>
      <c r="Q445" s="9" t="s">
        <v>42</v>
      </c>
      <c r="R445" s="7" t="s">
        <v>2132</v>
      </c>
      <c r="S445" s="7" t="s">
        <v>42</v>
      </c>
    </row>
    <row r="446" spans="1:19">
      <c r="A446" s="8">
        <v>439</v>
      </c>
      <c r="B446" s="8" t="s">
        <v>705</v>
      </c>
      <c r="C446" s="8" t="s">
        <v>698</v>
      </c>
      <c r="D446" s="8" t="s">
        <v>652</v>
      </c>
      <c r="E446" s="8" t="s">
        <v>33</v>
      </c>
      <c r="F446" s="6" t="s">
        <v>39</v>
      </c>
      <c r="G446" s="10">
        <v>1</v>
      </c>
      <c r="H446" s="10">
        <v>1</v>
      </c>
      <c r="I446" s="13">
        <v>10000.0</v>
      </c>
      <c r="J446" s="13"/>
      <c r="K446" s="15">
        <f>IF(I446&gt;0, J446/I446, 0)</f>
        <v>0</v>
      </c>
      <c r="L446" s="13">
        <v>10000.0</v>
      </c>
      <c r="M446" s="13"/>
      <c r="N446" s="13">
        <f>L446-M446</f>
        <v>10000</v>
      </c>
      <c r="O446" s="8" t="s">
        <v>40</v>
      </c>
      <c r="P446" s="8" t="s">
        <v>41</v>
      </c>
      <c r="Q446" s="8" t="s">
        <v>42</v>
      </c>
      <c r="R446" s="6" t="s">
        <v>2138</v>
      </c>
      <c r="S446" s="6" t="s">
        <v>42</v>
      </c>
    </row>
    <row r="447" spans="1:19">
      <c r="A447" s="9">
        <v>440</v>
      </c>
      <c r="B447" s="9" t="s">
        <v>706</v>
      </c>
      <c r="C447" s="9" t="s">
        <v>698</v>
      </c>
      <c r="D447" s="9" t="s">
        <v>652</v>
      </c>
      <c r="E447" s="9" t="s">
        <v>33</v>
      </c>
      <c r="F447" s="7" t="s">
        <v>39</v>
      </c>
      <c r="G447" s="11">
        <v>1</v>
      </c>
      <c r="H447" s="11">
        <v>1</v>
      </c>
      <c r="I447" s="14">
        <v>18000.0</v>
      </c>
      <c r="J447" s="14"/>
      <c r="K447" s="16">
        <f>IF(I447&gt;0, J447/I447, 0)</f>
        <v>0</v>
      </c>
      <c r="L447" s="14">
        <v>18000.0</v>
      </c>
      <c r="M447" s="14"/>
      <c r="N447" s="14">
        <f>L447-M447</f>
        <v>18000</v>
      </c>
      <c r="O447" s="9" t="s">
        <v>40</v>
      </c>
      <c r="P447" s="9" t="s">
        <v>41</v>
      </c>
      <c r="Q447" s="9" t="s">
        <v>42</v>
      </c>
      <c r="R447" s="7" t="s">
        <v>2103</v>
      </c>
      <c r="S447" s="7" t="s">
        <v>42</v>
      </c>
    </row>
    <row r="448" spans="1:19">
      <c r="A448" s="8">
        <v>441</v>
      </c>
      <c r="B448" s="8" t="s">
        <v>708</v>
      </c>
      <c r="C448" s="8" t="s">
        <v>698</v>
      </c>
      <c r="D448" s="8" t="s">
        <v>652</v>
      </c>
      <c r="E448" s="8" t="s">
        <v>33</v>
      </c>
      <c r="F448" s="6" t="s">
        <v>39</v>
      </c>
      <c r="G448" s="10">
        <v>1</v>
      </c>
      <c r="H448" s="10">
        <v>1</v>
      </c>
      <c r="I448" s="13">
        <v>8000.0</v>
      </c>
      <c r="J448" s="13"/>
      <c r="K448" s="15">
        <f>IF(I448&gt;0, J448/I448, 0)</f>
        <v>0</v>
      </c>
      <c r="L448" s="13">
        <v>8000.0</v>
      </c>
      <c r="M448" s="13"/>
      <c r="N448" s="13">
        <f>L448-M448</f>
        <v>8000</v>
      </c>
      <c r="O448" s="8" t="s">
        <v>40</v>
      </c>
      <c r="P448" s="8" t="s">
        <v>41</v>
      </c>
      <c r="Q448" s="8" t="s">
        <v>42</v>
      </c>
      <c r="R448" s="6" t="s">
        <v>2163</v>
      </c>
      <c r="S448" s="6" t="s">
        <v>42</v>
      </c>
    </row>
    <row r="449" spans="1:19">
      <c r="A449" s="9">
        <v>442</v>
      </c>
      <c r="B449" s="9" t="s">
        <v>709</v>
      </c>
      <c r="C449" s="9" t="s">
        <v>698</v>
      </c>
      <c r="D449" s="9" t="s">
        <v>652</v>
      </c>
      <c r="E449" s="9" t="s">
        <v>33</v>
      </c>
      <c r="F449" s="7" t="s">
        <v>39</v>
      </c>
      <c r="G449" s="11">
        <v>1</v>
      </c>
      <c r="H449" s="11">
        <v>2</v>
      </c>
      <c r="I449" s="14">
        <v>16000.0</v>
      </c>
      <c r="J449" s="14"/>
      <c r="K449" s="16">
        <f>IF(I449&gt;0, J449/I449, 0)</f>
        <v>0</v>
      </c>
      <c r="L449" s="14">
        <v>16000.0</v>
      </c>
      <c r="M449" s="14"/>
      <c r="N449" s="14">
        <f>L449-M449</f>
        <v>16000</v>
      </c>
      <c r="O449" s="9" t="s">
        <v>40</v>
      </c>
      <c r="P449" s="9" t="s">
        <v>41</v>
      </c>
      <c r="Q449" s="9" t="s">
        <v>42</v>
      </c>
      <c r="R449" s="7" t="s">
        <v>2209</v>
      </c>
      <c r="S449" s="7" t="s">
        <v>42</v>
      </c>
    </row>
    <row r="450" spans="1:19">
      <c r="A450" s="8">
        <v>443</v>
      </c>
      <c r="B450" s="8" t="s">
        <v>711</v>
      </c>
      <c r="C450" s="8" t="s">
        <v>698</v>
      </c>
      <c r="D450" s="8" t="s">
        <v>652</v>
      </c>
      <c r="E450" s="8" t="s">
        <v>33</v>
      </c>
      <c r="F450" s="6" t="s">
        <v>39</v>
      </c>
      <c r="G450" s="10">
        <v>1</v>
      </c>
      <c r="H450" s="10">
        <v>1</v>
      </c>
      <c r="I450" s="13">
        <v>14000.0</v>
      </c>
      <c r="J450" s="13"/>
      <c r="K450" s="15">
        <f>IF(I450&gt;0, J450/I450, 0)</f>
        <v>0</v>
      </c>
      <c r="L450" s="13">
        <v>14000.0</v>
      </c>
      <c r="M450" s="13"/>
      <c r="N450" s="13">
        <f>L450-M450</f>
        <v>14000</v>
      </c>
      <c r="O450" s="8" t="s">
        <v>40</v>
      </c>
      <c r="P450" s="8" t="s">
        <v>41</v>
      </c>
      <c r="Q450" s="8" t="s">
        <v>42</v>
      </c>
      <c r="R450" s="6" t="s">
        <v>2131</v>
      </c>
      <c r="S450" s="6" t="s">
        <v>42</v>
      </c>
    </row>
    <row r="451" spans="1:19">
      <c r="A451" s="9">
        <v>444</v>
      </c>
      <c r="B451" s="9" t="s">
        <v>712</v>
      </c>
      <c r="C451" s="9" t="s">
        <v>698</v>
      </c>
      <c r="D451" s="9" t="s">
        <v>652</v>
      </c>
      <c r="E451" s="9" t="s">
        <v>33</v>
      </c>
      <c r="F451" s="7" t="s">
        <v>39</v>
      </c>
      <c r="G451" s="11">
        <v>1</v>
      </c>
      <c r="H451" s="11">
        <v>1</v>
      </c>
      <c r="I451" s="14">
        <v>8000.0</v>
      </c>
      <c r="J451" s="14"/>
      <c r="K451" s="16">
        <f>IF(I451&gt;0, J451/I451, 0)</f>
        <v>0</v>
      </c>
      <c r="L451" s="14">
        <v>8000.0</v>
      </c>
      <c r="M451" s="14"/>
      <c r="N451" s="14">
        <f>L451-M451</f>
        <v>8000</v>
      </c>
      <c r="O451" s="9" t="s">
        <v>40</v>
      </c>
      <c r="P451" s="9" t="s">
        <v>41</v>
      </c>
      <c r="Q451" s="9" t="s">
        <v>42</v>
      </c>
      <c r="R451" s="7" t="s">
        <v>2134</v>
      </c>
      <c r="S451" s="7" t="s">
        <v>42</v>
      </c>
    </row>
    <row r="452" spans="1:19">
      <c r="A452" s="8">
        <v>445</v>
      </c>
      <c r="B452" s="8" t="s">
        <v>713</v>
      </c>
      <c r="C452" s="8" t="s">
        <v>698</v>
      </c>
      <c r="D452" s="8" t="s">
        <v>652</v>
      </c>
      <c r="E452" s="8" t="s">
        <v>33</v>
      </c>
      <c r="F452" s="6" t="s">
        <v>39</v>
      </c>
      <c r="G452" s="10">
        <v>1</v>
      </c>
      <c r="H452" s="10">
        <v>1</v>
      </c>
      <c r="I452" s="13">
        <v>7000.0</v>
      </c>
      <c r="J452" s="13"/>
      <c r="K452" s="15">
        <f>IF(I452&gt;0, J452/I452, 0)</f>
        <v>0</v>
      </c>
      <c r="L452" s="13">
        <v>7000.0</v>
      </c>
      <c r="M452" s="13"/>
      <c r="N452" s="13">
        <f>L452-M452</f>
        <v>7000</v>
      </c>
      <c r="O452" s="8" t="s">
        <v>40</v>
      </c>
      <c r="P452" s="8" t="s">
        <v>41</v>
      </c>
      <c r="Q452" s="8" t="s">
        <v>42</v>
      </c>
      <c r="R452" s="6" t="s">
        <v>2088</v>
      </c>
      <c r="S452" s="6" t="s">
        <v>42</v>
      </c>
    </row>
    <row r="453" spans="1:19">
      <c r="A453" s="9">
        <v>446</v>
      </c>
      <c r="B453" s="9" t="s">
        <v>714</v>
      </c>
      <c r="C453" s="9" t="s">
        <v>698</v>
      </c>
      <c r="D453" s="9" t="s">
        <v>652</v>
      </c>
      <c r="E453" s="9" t="s">
        <v>33</v>
      </c>
      <c r="F453" s="7" t="s">
        <v>39</v>
      </c>
      <c r="G453" s="11">
        <v>1</v>
      </c>
      <c r="H453" s="11">
        <v>2</v>
      </c>
      <c r="I453" s="14">
        <v>18000.0</v>
      </c>
      <c r="J453" s="14"/>
      <c r="K453" s="16">
        <f>IF(I453&gt;0, J453/I453, 0)</f>
        <v>0</v>
      </c>
      <c r="L453" s="14">
        <v>18000.0</v>
      </c>
      <c r="M453" s="14"/>
      <c r="N453" s="14">
        <f>L453-M453</f>
        <v>18000</v>
      </c>
      <c r="O453" s="9" t="s">
        <v>40</v>
      </c>
      <c r="P453" s="9" t="s">
        <v>41</v>
      </c>
      <c r="Q453" s="9" t="s">
        <v>42</v>
      </c>
      <c r="R453" s="7" t="s">
        <v>2210</v>
      </c>
      <c r="S453" s="7" t="s">
        <v>42</v>
      </c>
    </row>
    <row r="454" spans="1:19">
      <c r="A454" s="8">
        <v>447</v>
      </c>
      <c r="B454" s="8" t="s">
        <v>715</v>
      </c>
      <c r="C454" s="8" t="s">
        <v>698</v>
      </c>
      <c r="D454" s="8" t="s">
        <v>652</v>
      </c>
      <c r="E454" s="8" t="s">
        <v>33</v>
      </c>
      <c r="F454" s="6" t="s">
        <v>39</v>
      </c>
      <c r="G454" s="10">
        <v>1</v>
      </c>
      <c r="H454" s="10">
        <v>2</v>
      </c>
      <c r="I454" s="13">
        <v>16000.0</v>
      </c>
      <c r="J454" s="13"/>
      <c r="K454" s="15">
        <f>IF(I454&gt;0, J454/I454, 0)</f>
        <v>0</v>
      </c>
      <c r="L454" s="13">
        <v>16000.0</v>
      </c>
      <c r="M454" s="13"/>
      <c r="N454" s="13">
        <f>L454-M454</f>
        <v>16000</v>
      </c>
      <c r="O454" s="8" t="s">
        <v>40</v>
      </c>
      <c r="P454" s="8" t="s">
        <v>41</v>
      </c>
      <c r="Q454" s="8" t="s">
        <v>42</v>
      </c>
      <c r="R454" s="6" t="s">
        <v>2104</v>
      </c>
      <c r="S454" s="6" t="s">
        <v>42</v>
      </c>
    </row>
    <row r="455" spans="1:19">
      <c r="A455" s="9">
        <v>448</v>
      </c>
      <c r="B455" s="9" t="s">
        <v>716</v>
      </c>
      <c r="C455" s="9" t="s">
        <v>698</v>
      </c>
      <c r="D455" s="9" t="s">
        <v>652</v>
      </c>
      <c r="E455" s="9" t="s">
        <v>33</v>
      </c>
      <c r="F455" s="7" t="s">
        <v>39</v>
      </c>
      <c r="G455" s="11">
        <v>1</v>
      </c>
      <c r="H455" s="11">
        <v>1</v>
      </c>
      <c r="I455" s="14">
        <v>9000.0</v>
      </c>
      <c r="J455" s="14"/>
      <c r="K455" s="16">
        <f>IF(I455&gt;0, J455/I455, 0)</f>
        <v>0</v>
      </c>
      <c r="L455" s="14">
        <v>9000.0</v>
      </c>
      <c r="M455" s="14"/>
      <c r="N455" s="14">
        <f>L455-M455</f>
        <v>9000</v>
      </c>
      <c r="O455" s="9" t="s">
        <v>40</v>
      </c>
      <c r="P455" s="9" t="s">
        <v>41</v>
      </c>
      <c r="Q455" s="9" t="s">
        <v>42</v>
      </c>
      <c r="R455" s="7" t="s">
        <v>2137</v>
      </c>
      <c r="S455" s="7" t="s">
        <v>42</v>
      </c>
    </row>
    <row r="456" spans="1:19">
      <c r="A456" s="8">
        <v>449</v>
      </c>
      <c r="B456" s="8" t="s">
        <v>717</v>
      </c>
      <c r="C456" s="8" t="s">
        <v>698</v>
      </c>
      <c r="D456" s="8" t="s">
        <v>652</v>
      </c>
      <c r="E456" s="8" t="s">
        <v>33</v>
      </c>
      <c r="F456" s="6" t="s">
        <v>39</v>
      </c>
      <c r="G456" s="10">
        <v>1</v>
      </c>
      <c r="H456" s="10">
        <v>1</v>
      </c>
      <c r="I456" s="13">
        <v>8000.0</v>
      </c>
      <c r="J456" s="13"/>
      <c r="K456" s="15">
        <f>IF(I456&gt;0, J456/I456, 0)</f>
        <v>0</v>
      </c>
      <c r="L456" s="13">
        <v>8000.0</v>
      </c>
      <c r="M456" s="13"/>
      <c r="N456" s="13">
        <f>L456-M456</f>
        <v>8000</v>
      </c>
      <c r="O456" s="8" t="s">
        <v>40</v>
      </c>
      <c r="P456" s="8" t="s">
        <v>41</v>
      </c>
      <c r="Q456" s="8" t="s">
        <v>42</v>
      </c>
      <c r="R456" s="6" t="s">
        <v>2167</v>
      </c>
      <c r="S456" s="6" t="s">
        <v>42</v>
      </c>
    </row>
    <row r="457" spans="1:19">
      <c r="A457" s="9">
        <v>450</v>
      </c>
      <c r="B457" s="9" t="s">
        <v>718</v>
      </c>
      <c r="C457" s="9" t="s">
        <v>698</v>
      </c>
      <c r="D457" s="9" t="s">
        <v>652</v>
      </c>
      <c r="E457" s="9" t="s">
        <v>68</v>
      </c>
      <c r="F457" s="7" t="s">
        <v>39</v>
      </c>
      <c r="G457" s="11">
        <v>1</v>
      </c>
      <c r="H457" s="11">
        <v>1</v>
      </c>
      <c r="I457" s="14">
        <v>10000.0</v>
      </c>
      <c r="J457" s="14"/>
      <c r="K457" s="16">
        <f>IF(I457&gt;0, J457/I457, 0)</f>
        <v>0</v>
      </c>
      <c r="L457" s="14">
        <v>10000.0</v>
      </c>
      <c r="M457" s="14"/>
      <c r="N457" s="14">
        <f>L457-M457</f>
        <v>10000</v>
      </c>
      <c r="O457" s="9" t="s">
        <v>40</v>
      </c>
      <c r="P457" s="9" t="s">
        <v>71</v>
      </c>
      <c r="Q457" s="9" t="s">
        <v>42</v>
      </c>
      <c r="R457" s="7" t="s">
        <v>2121</v>
      </c>
      <c r="S457" s="7" t="s">
        <v>42</v>
      </c>
    </row>
    <row r="458" spans="1:19">
      <c r="A458" s="8">
        <v>451</v>
      </c>
      <c r="B458" s="8" t="s">
        <v>719</v>
      </c>
      <c r="C458" s="8" t="s">
        <v>698</v>
      </c>
      <c r="D458" s="8" t="s">
        <v>652</v>
      </c>
      <c r="E458" s="8" t="s">
        <v>33</v>
      </c>
      <c r="F458" s="6" t="s">
        <v>39</v>
      </c>
      <c r="G458" s="10">
        <v>1</v>
      </c>
      <c r="H458" s="10">
        <v>3</v>
      </c>
      <c r="I458" s="13">
        <v>24000.0</v>
      </c>
      <c r="J458" s="13"/>
      <c r="K458" s="15">
        <f>IF(I458&gt;0, J458/I458, 0)</f>
        <v>0</v>
      </c>
      <c r="L458" s="13">
        <v>24000.0</v>
      </c>
      <c r="M458" s="13"/>
      <c r="N458" s="13">
        <f>L458-M458</f>
        <v>24000</v>
      </c>
      <c r="O458" s="8" t="s">
        <v>40</v>
      </c>
      <c r="P458" s="8" t="s">
        <v>41</v>
      </c>
      <c r="Q458" s="8" t="s">
        <v>42</v>
      </c>
      <c r="R458" s="6" t="s">
        <v>2211</v>
      </c>
      <c r="S458" s="6" t="s">
        <v>42</v>
      </c>
    </row>
    <row r="459" spans="1:19">
      <c r="A459" s="9">
        <v>452</v>
      </c>
      <c r="B459" s="9" t="s">
        <v>721</v>
      </c>
      <c r="C459" s="9" t="s">
        <v>698</v>
      </c>
      <c r="D459" s="9" t="s">
        <v>652</v>
      </c>
      <c r="E459" s="9" t="s">
        <v>33</v>
      </c>
      <c r="F459" s="7" t="s">
        <v>39</v>
      </c>
      <c r="G459" s="11">
        <v>1</v>
      </c>
      <c r="H459" s="11">
        <v>4</v>
      </c>
      <c r="I459" s="14">
        <v>28000.0</v>
      </c>
      <c r="J459" s="14"/>
      <c r="K459" s="16">
        <f>IF(I459&gt;0, J459/I459, 0)</f>
        <v>0</v>
      </c>
      <c r="L459" s="14">
        <v>28000.0</v>
      </c>
      <c r="M459" s="14"/>
      <c r="N459" s="14">
        <f>L459-M459</f>
        <v>28000</v>
      </c>
      <c r="O459" s="9" t="s">
        <v>40</v>
      </c>
      <c r="P459" s="9" t="s">
        <v>41</v>
      </c>
      <c r="Q459" s="9" t="s">
        <v>42</v>
      </c>
      <c r="R459" s="7" t="s">
        <v>2212</v>
      </c>
      <c r="S459" s="7" t="s">
        <v>42</v>
      </c>
    </row>
    <row r="460" spans="1:19">
      <c r="A460" s="8">
        <v>453</v>
      </c>
      <c r="B460" s="8" t="s">
        <v>723</v>
      </c>
      <c r="C460" s="8" t="s">
        <v>698</v>
      </c>
      <c r="D460" s="8" t="s">
        <v>652</v>
      </c>
      <c r="E460" s="8" t="s">
        <v>33</v>
      </c>
      <c r="F460" s="6" t="s">
        <v>39</v>
      </c>
      <c r="G460" s="10">
        <v>1</v>
      </c>
      <c r="H460" s="10">
        <v>1</v>
      </c>
      <c r="I460" s="13">
        <v>8000.0</v>
      </c>
      <c r="J460" s="13"/>
      <c r="K460" s="15">
        <f>IF(I460&gt;0, J460/I460, 0)</f>
        <v>0</v>
      </c>
      <c r="L460" s="13">
        <v>8000.0</v>
      </c>
      <c r="M460" s="13"/>
      <c r="N460" s="13">
        <f>L460-M460</f>
        <v>8000</v>
      </c>
      <c r="O460" s="8" t="s">
        <v>40</v>
      </c>
      <c r="P460" s="8" t="s">
        <v>41</v>
      </c>
      <c r="Q460" s="8" t="s">
        <v>42</v>
      </c>
      <c r="R460" s="6" t="s">
        <v>2167</v>
      </c>
      <c r="S460" s="6" t="s">
        <v>42</v>
      </c>
    </row>
    <row r="461" spans="1:19">
      <c r="A461" s="9">
        <v>454</v>
      </c>
      <c r="B461" s="9" t="s">
        <v>725</v>
      </c>
      <c r="C461" s="9" t="s">
        <v>698</v>
      </c>
      <c r="D461" s="9" t="s">
        <v>652</v>
      </c>
      <c r="E461" s="9" t="s">
        <v>33</v>
      </c>
      <c r="F461" s="7" t="s">
        <v>39</v>
      </c>
      <c r="G461" s="11">
        <v>1</v>
      </c>
      <c r="H461" s="11">
        <v>1</v>
      </c>
      <c r="I461" s="14">
        <v>7000.0</v>
      </c>
      <c r="J461" s="14"/>
      <c r="K461" s="16">
        <f>IF(I461&gt;0, J461/I461, 0)</f>
        <v>0</v>
      </c>
      <c r="L461" s="14">
        <v>7000.0</v>
      </c>
      <c r="M461" s="14"/>
      <c r="N461" s="14">
        <f>L461-M461</f>
        <v>7000</v>
      </c>
      <c r="O461" s="9" t="s">
        <v>40</v>
      </c>
      <c r="P461" s="9" t="s">
        <v>41</v>
      </c>
      <c r="Q461" s="9" t="s">
        <v>42</v>
      </c>
      <c r="R461" s="7" t="s">
        <v>2107</v>
      </c>
      <c r="S461" s="7" t="s">
        <v>42</v>
      </c>
    </row>
    <row r="462" spans="1:19">
      <c r="A462" s="8">
        <v>455</v>
      </c>
      <c r="B462" s="8" t="s">
        <v>727</v>
      </c>
      <c r="C462" s="8" t="s">
        <v>698</v>
      </c>
      <c r="D462" s="8" t="s">
        <v>652</v>
      </c>
      <c r="E462" s="8" t="s">
        <v>33</v>
      </c>
      <c r="F462" s="6" t="s">
        <v>39</v>
      </c>
      <c r="G462" s="10">
        <v>1</v>
      </c>
      <c r="H462" s="10">
        <v>4</v>
      </c>
      <c r="I462" s="13">
        <v>28000.0</v>
      </c>
      <c r="J462" s="13"/>
      <c r="K462" s="15">
        <f>IF(I462&gt;0, J462/I462, 0)</f>
        <v>0</v>
      </c>
      <c r="L462" s="13">
        <v>28000.0</v>
      </c>
      <c r="M462" s="13"/>
      <c r="N462" s="13">
        <f>L462-M462</f>
        <v>28000</v>
      </c>
      <c r="O462" s="8" t="s">
        <v>40</v>
      </c>
      <c r="P462" s="8" t="s">
        <v>41</v>
      </c>
      <c r="Q462" s="8" t="s">
        <v>42</v>
      </c>
      <c r="R462" s="6" t="s">
        <v>2212</v>
      </c>
      <c r="S462" s="6" t="s">
        <v>42</v>
      </c>
    </row>
    <row r="463" spans="1:19">
      <c r="A463" s="9">
        <v>456</v>
      </c>
      <c r="B463" s="9" t="s">
        <v>728</v>
      </c>
      <c r="C463" s="9" t="s">
        <v>698</v>
      </c>
      <c r="D463" s="9" t="s">
        <v>652</v>
      </c>
      <c r="E463" s="9" t="s">
        <v>33</v>
      </c>
      <c r="F463" s="7" t="s">
        <v>39</v>
      </c>
      <c r="G463" s="11">
        <v>1</v>
      </c>
      <c r="H463" s="11">
        <v>1</v>
      </c>
      <c r="I463" s="14">
        <v>8000.0</v>
      </c>
      <c r="J463" s="14"/>
      <c r="K463" s="16">
        <f>IF(I463&gt;0, J463/I463, 0)</f>
        <v>0</v>
      </c>
      <c r="L463" s="14">
        <v>8000.0</v>
      </c>
      <c r="M463" s="14"/>
      <c r="N463" s="14">
        <f>L463-M463</f>
        <v>8000</v>
      </c>
      <c r="O463" s="9" t="s">
        <v>40</v>
      </c>
      <c r="P463" s="9" t="s">
        <v>41</v>
      </c>
      <c r="Q463" s="9" t="s">
        <v>42</v>
      </c>
      <c r="R463" s="7" t="s">
        <v>2167</v>
      </c>
      <c r="S463" s="7" t="s">
        <v>42</v>
      </c>
    </row>
    <row r="464" spans="1:19">
      <c r="A464" s="8">
        <v>457</v>
      </c>
      <c r="B464" s="8" t="s">
        <v>729</v>
      </c>
      <c r="C464" s="8" t="s">
        <v>698</v>
      </c>
      <c r="D464" s="8" t="s">
        <v>652</v>
      </c>
      <c r="E464" s="8" t="s">
        <v>33</v>
      </c>
      <c r="F464" s="6" t="s">
        <v>39</v>
      </c>
      <c r="G464" s="10">
        <v>1</v>
      </c>
      <c r="H464" s="10">
        <v>1</v>
      </c>
      <c r="I464" s="13">
        <v>7000.0</v>
      </c>
      <c r="J464" s="13"/>
      <c r="K464" s="15">
        <f>IF(I464&gt;0, J464/I464, 0)</f>
        <v>0</v>
      </c>
      <c r="L464" s="13">
        <v>7000.0</v>
      </c>
      <c r="M464" s="13"/>
      <c r="N464" s="13">
        <f>L464-M464</f>
        <v>7000</v>
      </c>
      <c r="O464" s="8" t="s">
        <v>40</v>
      </c>
      <c r="P464" s="8" t="s">
        <v>41</v>
      </c>
      <c r="Q464" s="8" t="s">
        <v>42</v>
      </c>
      <c r="R464" s="6" t="s">
        <v>2107</v>
      </c>
      <c r="S464" s="6" t="s">
        <v>42</v>
      </c>
    </row>
    <row r="465" spans="1:19">
      <c r="A465" s="9">
        <v>458</v>
      </c>
      <c r="B465" s="9" t="s">
        <v>730</v>
      </c>
      <c r="C465" s="9" t="s">
        <v>698</v>
      </c>
      <c r="D465" s="9" t="s">
        <v>652</v>
      </c>
      <c r="E465" s="9" t="s">
        <v>33</v>
      </c>
      <c r="F465" s="7" t="s">
        <v>39</v>
      </c>
      <c r="G465" s="11">
        <v>1</v>
      </c>
      <c r="H465" s="11">
        <v>1</v>
      </c>
      <c r="I465" s="14">
        <v>7000.0</v>
      </c>
      <c r="J465" s="14"/>
      <c r="K465" s="16">
        <f>IF(I465&gt;0, J465/I465, 0)</f>
        <v>0</v>
      </c>
      <c r="L465" s="14">
        <v>7000.0</v>
      </c>
      <c r="M465" s="14"/>
      <c r="N465" s="14">
        <f>L465-M465</f>
        <v>7000</v>
      </c>
      <c r="O465" s="9" t="s">
        <v>40</v>
      </c>
      <c r="P465" s="9" t="s">
        <v>41</v>
      </c>
      <c r="Q465" s="9" t="s">
        <v>42</v>
      </c>
      <c r="R465" s="7" t="s">
        <v>2142</v>
      </c>
      <c r="S465" s="7" t="s">
        <v>42</v>
      </c>
    </row>
    <row r="466" spans="1:19">
      <c r="A466" s="8">
        <v>459</v>
      </c>
      <c r="B466" s="8" t="s">
        <v>731</v>
      </c>
      <c r="C466" s="8" t="s">
        <v>698</v>
      </c>
      <c r="D466" s="8" t="s">
        <v>652</v>
      </c>
      <c r="E466" s="8" t="s">
        <v>33</v>
      </c>
      <c r="F466" s="6" t="s">
        <v>39</v>
      </c>
      <c r="G466" s="10">
        <v>1</v>
      </c>
      <c r="H466" s="10">
        <v>1</v>
      </c>
      <c r="I466" s="13">
        <v>18000.0</v>
      </c>
      <c r="J466" s="13"/>
      <c r="K466" s="15">
        <f>IF(I466&gt;0, J466/I466, 0)</f>
        <v>0</v>
      </c>
      <c r="L466" s="13">
        <v>18000.0</v>
      </c>
      <c r="M466" s="13"/>
      <c r="N466" s="13">
        <f>L466-M466</f>
        <v>18000</v>
      </c>
      <c r="O466" s="8" t="s">
        <v>40</v>
      </c>
      <c r="P466" s="8" t="s">
        <v>41</v>
      </c>
      <c r="Q466" s="8" t="s">
        <v>42</v>
      </c>
      <c r="R466" s="6" t="s">
        <v>2103</v>
      </c>
      <c r="S466" s="6" t="s">
        <v>42</v>
      </c>
    </row>
    <row r="467" spans="1:19">
      <c r="A467" s="9">
        <v>460</v>
      </c>
      <c r="B467" s="9" t="s">
        <v>732</v>
      </c>
      <c r="C467" s="9" t="s">
        <v>698</v>
      </c>
      <c r="D467" s="9" t="s">
        <v>652</v>
      </c>
      <c r="E467" s="9" t="s">
        <v>33</v>
      </c>
      <c r="F467" s="7" t="s">
        <v>39</v>
      </c>
      <c r="G467" s="11">
        <v>1</v>
      </c>
      <c r="H467" s="11">
        <v>1</v>
      </c>
      <c r="I467" s="14">
        <v>18000.0</v>
      </c>
      <c r="J467" s="14"/>
      <c r="K467" s="16">
        <f>IF(I467&gt;0, J467/I467, 0)</f>
        <v>0</v>
      </c>
      <c r="L467" s="14">
        <v>18000.0</v>
      </c>
      <c r="M467" s="14"/>
      <c r="N467" s="14">
        <f>L467-M467</f>
        <v>18000</v>
      </c>
      <c r="O467" s="9" t="s">
        <v>40</v>
      </c>
      <c r="P467" s="9" t="s">
        <v>41</v>
      </c>
      <c r="Q467" s="9" t="s">
        <v>42</v>
      </c>
      <c r="R467" s="7" t="s">
        <v>2160</v>
      </c>
      <c r="S467" s="7" t="s">
        <v>42</v>
      </c>
    </row>
    <row r="468" spans="1:19">
      <c r="A468" s="8">
        <v>461</v>
      </c>
      <c r="B468" s="8" t="s">
        <v>733</v>
      </c>
      <c r="C468" s="8" t="s">
        <v>698</v>
      </c>
      <c r="D468" s="8" t="s">
        <v>652</v>
      </c>
      <c r="E468" s="8" t="s">
        <v>68</v>
      </c>
      <c r="F468" s="6" t="s">
        <v>39</v>
      </c>
      <c r="G468" s="10">
        <v>1</v>
      </c>
      <c r="H468" s="10">
        <v>1</v>
      </c>
      <c r="I468" s="13">
        <v>10000.0</v>
      </c>
      <c r="J468" s="13"/>
      <c r="K468" s="15">
        <f>IF(I468&gt;0, J468/I468, 0)</f>
        <v>0</v>
      </c>
      <c r="L468" s="13">
        <v>10000.0</v>
      </c>
      <c r="M468" s="13"/>
      <c r="N468" s="13">
        <f>L468-M468</f>
        <v>10000</v>
      </c>
      <c r="O468" s="8" t="s">
        <v>40</v>
      </c>
      <c r="P468" s="8" t="s">
        <v>71</v>
      </c>
      <c r="Q468" s="8" t="s">
        <v>42</v>
      </c>
      <c r="R468" s="6" t="s">
        <v>2213</v>
      </c>
      <c r="S468" s="6" t="s">
        <v>42</v>
      </c>
    </row>
    <row r="469" spans="1:19">
      <c r="A469" s="9">
        <v>462</v>
      </c>
      <c r="B469" s="9" t="s">
        <v>735</v>
      </c>
      <c r="C469" s="9" t="s">
        <v>698</v>
      </c>
      <c r="D469" s="9" t="s">
        <v>652</v>
      </c>
      <c r="E469" s="9" t="s">
        <v>33</v>
      </c>
      <c r="F469" s="7" t="s">
        <v>39</v>
      </c>
      <c r="G469" s="11">
        <v>1</v>
      </c>
      <c r="H469" s="11">
        <v>1</v>
      </c>
      <c r="I469" s="14">
        <v>7500.0</v>
      </c>
      <c r="J469" s="14"/>
      <c r="K469" s="16">
        <f>IF(I469&gt;0, J469/I469, 0)</f>
        <v>0</v>
      </c>
      <c r="L469" s="14">
        <v>7500.0</v>
      </c>
      <c r="M469" s="14"/>
      <c r="N469" s="14">
        <f>L469-M469</f>
        <v>7500</v>
      </c>
      <c r="O469" s="9" t="s">
        <v>40</v>
      </c>
      <c r="P469" s="9" t="s">
        <v>41</v>
      </c>
      <c r="Q469" s="9" t="s">
        <v>42</v>
      </c>
      <c r="R469" s="7" t="s">
        <v>2203</v>
      </c>
      <c r="S469" s="7" t="s">
        <v>42</v>
      </c>
    </row>
    <row r="470" spans="1:19">
      <c r="A470" s="8">
        <v>463</v>
      </c>
      <c r="B470" s="8" t="s">
        <v>736</v>
      </c>
      <c r="C470" s="8" t="s">
        <v>698</v>
      </c>
      <c r="D470" s="8" t="s">
        <v>652</v>
      </c>
      <c r="E470" s="8" t="s">
        <v>33</v>
      </c>
      <c r="F470" s="6" t="s">
        <v>39</v>
      </c>
      <c r="G470" s="10">
        <v>1</v>
      </c>
      <c r="H470" s="10">
        <v>1</v>
      </c>
      <c r="I470" s="13">
        <v>7500.0</v>
      </c>
      <c r="J470" s="13"/>
      <c r="K470" s="15">
        <f>IF(I470&gt;0, J470/I470, 0)</f>
        <v>0</v>
      </c>
      <c r="L470" s="13">
        <v>7500.0</v>
      </c>
      <c r="M470" s="13"/>
      <c r="N470" s="13">
        <f>L470-M470</f>
        <v>7500</v>
      </c>
      <c r="O470" s="8" t="s">
        <v>40</v>
      </c>
      <c r="P470" s="8" t="s">
        <v>41</v>
      </c>
      <c r="Q470" s="8" t="s">
        <v>42</v>
      </c>
      <c r="R470" s="6" t="s">
        <v>2201</v>
      </c>
      <c r="S470" s="6" t="s">
        <v>42</v>
      </c>
    </row>
    <row r="471" spans="1:19">
      <c r="A471" s="9">
        <v>464</v>
      </c>
      <c r="B471" s="9" t="s">
        <v>737</v>
      </c>
      <c r="C471" s="9" t="s">
        <v>698</v>
      </c>
      <c r="D471" s="9" t="s">
        <v>652</v>
      </c>
      <c r="E471" s="9" t="s">
        <v>33</v>
      </c>
      <c r="F471" s="7" t="s">
        <v>39</v>
      </c>
      <c r="G471" s="11">
        <v>1</v>
      </c>
      <c r="H471" s="11">
        <v>1</v>
      </c>
      <c r="I471" s="14">
        <v>8000.0</v>
      </c>
      <c r="J471" s="14"/>
      <c r="K471" s="16">
        <f>IF(I471&gt;0, J471/I471, 0)</f>
        <v>0</v>
      </c>
      <c r="L471" s="14">
        <v>8000.0</v>
      </c>
      <c r="M471" s="14"/>
      <c r="N471" s="14">
        <f>L471-M471</f>
        <v>8000</v>
      </c>
      <c r="O471" s="9" t="s">
        <v>40</v>
      </c>
      <c r="P471" s="9" t="s">
        <v>41</v>
      </c>
      <c r="Q471" s="9" t="s">
        <v>42</v>
      </c>
      <c r="R471" s="7" t="s">
        <v>2158</v>
      </c>
      <c r="S471" s="7" t="s">
        <v>42</v>
      </c>
    </row>
    <row r="472" spans="1:19">
      <c r="A472" s="8">
        <v>465</v>
      </c>
      <c r="B472" s="8" t="s">
        <v>738</v>
      </c>
      <c r="C472" s="8" t="s">
        <v>698</v>
      </c>
      <c r="D472" s="8" t="s">
        <v>652</v>
      </c>
      <c r="E472" s="8" t="s">
        <v>33</v>
      </c>
      <c r="F472" s="6" t="s">
        <v>39</v>
      </c>
      <c r="G472" s="10">
        <v>1</v>
      </c>
      <c r="H472" s="10">
        <v>1</v>
      </c>
      <c r="I472" s="13">
        <v>9500.0</v>
      </c>
      <c r="J472" s="13"/>
      <c r="K472" s="15">
        <f>IF(I472&gt;0, J472/I472, 0)</f>
        <v>0</v>
      </c>
      <c r="L472" s="13">
        <v>9500.0</v>
      </c>
      <c r="M472" s="13"/>
      <c r="N472" s="13">
        <f>L472-M472</f>
        <v>9500</v>
      </c>
      <c r="O472" s="8" t="s">
        <v>40</v>
      </c>
      <c r="P472" s="8" t="s">
        <v>41</v>
      </c>
      <c r="Q472" s="8" t="s">
        <v>42</v>
      </c>
      <c r="R472" s="6" t="s">
        <v>2214</v>
      </c>
      <c r="S472" s="6" t="s">
        <v>42</v>
      </c>
    </row>
    <row r="473" spans="1:19">
      <c r="A473" s="9">
        <v>466</v>
      </c>
      <c r="B473" s="9" t="s">
        <v>740</v>
      </c>
      <c r="C473" s="9" t="s">
        <v>698</v>
      </c>
      <c r="D473" s="9" t="s">
        <v>652</v>
      </c>
      <c r="E473" s="9" t="s">
        <v>33</v>
      </c>
      <c r="F473" s="7" t="s">
        <v>39</v>
      </c>
      <c r="G473" s="11">
        <v>1</v>
      </c>
      <c r="H473" s="11">
        <v>1</v>
      </c>
      <c r="I473" s="14">
        <v>7000.0</v>
      </c>
      <c r="J473" s="14"/>
      <c r="K473" s="16">
        <f>IF(I473&gt;0, J473/I473, 0)</f>
        <v>0</v>
      </c>
      <c r="L473" s="14">
        <v>7000.0</v>
      </c>
      <c r="M473" s="14"/>
      <c r="N473" s="14">
        <f>L473-M473</f>
        <v>7000</v>
      </c>
      <c r="O473" s="9" t="s">
        <v>40</v>
      </c>
      <c r="P473" s="9" t="s">
        <v>41</v>
      </c>
      <c r="Q473" s="9" t="s">
        <v>42</v>
      </c>
      <c r="R473" s="7" t="s">
        <v>2107</v>
      </c>
      <c r="S473" s="7" t="s">
        <v>42</v>
      </c>
    </row>
    <row r="474" spans="1:19">
      <c r="A474" s="8">
        <v>467</v>
      </c>
      <c r="B474" s="8" t="s">
        <v>741</v>
      </c>
      <c r="C474" s="8" t="s">
        <v>698</v>
      </c>
      <c r="D474" s="8" t="s">
        <v>652</v>
      </c>
      <c r="E474" s="8" t="s">
        <v>33</v>
      </c>
      <c r="F474" s="6" t="s">
        <v>39</v>
      </c>
      <c r="G474" s="10">
        <v>1</v>
      </c>
      <c r="H474" s="10">
        <v>1</v>
      </c>
      <c r="I474" s="13">
        <v>16000.0</v>
      </c>
      <c r="J474" s="13"/>
      <c r="K474" s="15">
        <f>IF(I474&gt;0, J474/I474, 0)</f>
        <v>0</v>
      </c>
      <c r="L474" s="13">
        <v>16000.0</v>
      </c>
      <c r="M474" s="13"/>
      <c r="N474" s="13">
        <f>L474-M474</f>
        <v>16000</v>
      </c>
      <c r="O474" s="8" t="s">
        <v>40</v>
      </c>
      <c r="P474" s="8" t="s">
        <v>41</v>
      </c>
      <c r="Q474" s="8" t="s">
        <v>42</v>
      </c>
      <c r="R474" s="6" t="s">
        <v>2144</v>
      </c>
      <c r="S474" s="6" t="s">
        <v>742</v>
      </c>
    </row>
    <row r="475" spans="1:19">
      <c r="A475" s="9">
        <v>468</v>
      </c>
      <c r="B475" s="9" t="s">
        <v>743</v>
      </c>
      <c r="C475" s="9" t="s">
        <v>744</v>
      </c>
      <c r="D475" s="9" t="s">
        <v>652</v>
      </c>
      <c r="E475" s="9" t="s">
        <v>68</v>
      </c>
      <c r="F475" s="7" t="s">
        <v>39</v>
      </c>
      <c r="G475" s="11">
        <v>1</v>
      </c>
      <c r="H475" s="11">
        <v>1</v>
      </c>
      <c r="I475" s="14">
        <v>11000.0</v>
      </c>
      <c r="J475" s="14"/>
      <c r="K475" s="16">
        <f>IF(I475&gt;0, J475/I475, 0)</f>
        <v>0</v>
      </c>
      <c r="L475" s="14">
        <v>11000.0</v>
      </c>
      <c r="M475" s="14"/>
      <c r="N475" s="14">
        <f>L475-M475</f>
        <v>11000</v>
      </c>
      <c r="O475" s="9" t="s">
        <v>40</v>
      </c>
      <c r="P475" s="9" t="s">
        <v>71</v>
      </c>
      <c r="Q475" s="9" t="s">
        <v>42</v>
      </c>
      <c r="R475" s="7" t="s">
        <v>2181</v>
      </c>
      <c r="S475" s="7" t="s">
        <v>42</v>
      </c>
    </row>
    <row r="476" spans="1:19">
      <c r="A476" s="8">
        <v>469</v>
      </c>
      <c r="B476" s="8" t="s">
        <v>745</v>
      </c>
      <c r="C476" s="8" t="s">
        <v>744</v>
      </c>
      <c r="D476" s="8" t="s">
        <v>652</v>
      </c>
      <c r="E476" s="8" t="s">
        <v>68</v>
      </c>
      <c r="F476" s="6" t="s">
        <v>39</v>
      </c>
      <c r="G476" s="10">
        <v>1</v>
      </c>
      <c r="H476" s="10">
        <v>1</v>
      </c>
      <c r="I476" s="13">
        <v>11000.0</v>
      </c>
      <c r="J476" s="13"/>
      <c r="K476" s="15">
        <f>IF(I476&gt;0, J476/I476, 0)</f>
        <v>0</v>
      </c>
      <c r="L476" s="13">
        <v>11000.0</v>
      </c>
      <c r="M476" s="13"/>
      <c r="N476" s="13">
        <f>L476-M476</f>
        <v>11000</v>
      </c>
      <c r="O476" s="8" t="s">
        <v>40</v>
      </c>
      <c r="P476" s="8" t="s">
        <v>71</v>
      </c>
      <c r="Q476" s="8" t="s">
        <v>42</v>
      </c>
      <c r="R476" s="6" t="s">
        <v>2140</v>
      </c>
      <c r="S476" s="6" t="s">
        <v>42</v>
      </c>
    </row>
    <row r="477" spans="1:19">
      <c r="A477" s="9">
        <v>470</v>
      </c>
      <c r="B477" s="9" t="s">
        <v>746</v>
      </c>
      <c r="C477" s="9" t="s">
        <v>744</v>
      </c>
      <c r="D477" s="9" t="s">
        <v>652</v>
      </c>
      <c r="E477" s="9" t="s">
        <v>68</v>
      </c>
      <c r="F477" s="7" t="s">
        <v>39</v>
      </c>
      <c r="G477" s="11">
        <v>1</v>
      </c>
      <c r="H477" s="11">
        <v>1</v>
      </c>
      <c r="I477" s="14">
        <v>18000.0</v>
      </c>
      <c r="J477" s="14"/>
      <c r="K477" s="16">
        <f>IF(I477&gt;0, J477/I477, 0)</f>
        <v>0</v>
      </c>
      <c r="L477" s="14">
        <v>18000.0</v>
      </c>
      <c r="M477" s="14"/>
      <c r="N477" s="14">
        <f>L477-M477</f>
        <v>18000</v>
      </c>
      <c r="O477" s="9" t="s">
        <v>40</v>
      </c>
      <c r="P477" s="9" t="s">
        <v>71</v>
      </c>
      <c r="Q477" s="9" t="s">
        <v>42</v>
      </c>
      <c r="R477" s="7" t="s">
        <v>2094</v>
      </c>
      <c r="S477" s="7" t="s">
        <v>42</v>
      </c>
    </row>
    <row r="478" spans="1:19">
      <c r="A478" s="8">
        <v>471</v>
      </c>
      <c r="B478" s="8" t="s">
        <v>747</v>
      </c>
      <c r="C478" s="8" t="s">
        <v>744</v>
      </c>
      <c r="D478" s="8" t="s">
        <v>652</v>
      </c>
      <c r="E478" s="8" t="s">
        <v>68</v>
      </c>
      <c r="F478" s="6" t="s">
        <v>39</v>
      </c>
      <c r="G478" s="10">
        <v>1</v>
      </c>
      <c r="H478" s="10">
        <v>3</v>
      </c>
      <c r="I478" s="13">
        <v>30000.0</v>
      </c>
      <c r="J478" s="13"/>
      <c r="K478" s="15">
        <f>IF(I478&gt;0, J478/I478, 0)</f>
        <v>0</v>
      </c>
      <c r="L478" s="13">
        <v>30000.0</v>
      </c>
      <c r="M478" s="13"/>
      <c r="N478" s="13">
        <f>L478-M478</f>
        <v>30000</v>
      </c>
      <c r="O478" s="8" t="s">
        <v>40</v>
      </c>
      <c r="P478" s="8" t="s">
        <v>71</v>
      </c>
      <c r="Q478" s="8" t="s">
        <v>42</v>
      </c>
      <c r="R478" s="6" t="s">
        <v>2215</v>
      </c>
      <c r="S478" s="6" t="s">
        <v>42</v>
      </c>
    </row>
    <row r="479" spans="1:19">
      <c r="A479" s="9">
        <v>472</v>
      </c>
      <c r="B479" s="9" t="s">
        <v>748</v>
      </c>
      <c r="C479" s="9" t="s">
        <v>744</v>
      </c>
      <c r="D479" s="9" t="s">
        <v>652</v>
      </c>
      <c r="E479" s="9" t="s">
        <v>33</v>
      </c>
      <c r="F479" s="7" t="s">
        <v>39</v>
      </c>
      <c r="G479" s="11">
        <v>1</v>
      </c>
      <c r="H479" s="11">
        <v>1</v>
      </c>
      <c r="I479" s="14">
        <v>18000.0</v>
      </c>
      <c r="J479" s="14"/>
      <c r="K479" s="16">
        <f>IF(I479&gt;0, J479/I479, 0)</f>
        <v>0</v>
      </c>
      <c r="L479" s="14">
        <v>18000.0</v>
      </c>
      <c r="M479" s="14"/>
      <c r="N479" s="14">
        <f>L479-M479</f>
        <v>18000</v>
      </c>
      <c r="O479" s="9" t="s">
        <v>40</v>
      </c>
      <c r="P479" s="9" t="s">
        <v>41</v>
      </c>
      <c r="Q479" s="9" t="s">
        <v>42</v>
      </c>
      <c r="R479" s="7" t="s">
        <v>2075</v>
      </c>
      <c r="S479" s="7" t="s">
        <v>42</v>
      </c>
    </row>
    <row r="480" spans="1:19">
      <c r="A480" s="8">
        <v>473</v>
      </c>
      <c r="B480" s="8" t="s">
        <v>749</v>
      </c>
      <c r="C480" s="8" t="s">
        <v>744</v>
      </c>
      <c r="D480" s="8" t="s">
        <v>652</v>
      </c>
      <c r="E480" s="8" t="s">
        <v>33</v>
      </c>
      <c r="F480" s="6" t="s">
        <v>39</v>
      </c>
      <c r="G480" s="10">
        <v>1</v>
      </c>
      <c r="H480" s="10">
        <v>1</v>
      </c>
      <c r="I480" s="13">
        <v>8500.0</v>
      </c>
      <c r="J480" s="13"/>
      <c r="K480" s="15">
        <f>IF(I480&gt;0, J480/I480, 0)</f>
        <v>0</v>
      </c>
      <c r="L480" s="13">
        <v>8500.0</v>
      </c>
      <c r="M480" s="13"/>
      <c r="N480" s="13">
        <f>L480-M480</f>
        <v>8500</v>
      </c>
      <c r="O480" s="8" t="s">
        <v>40</v>
      </c>
      <c r="P480" s="8" t="s">
        <v>41</v>
      </c>
      <c r="Q480" s="8" t="s">
        <v>42</v>
      </c>
      <c r="R480" s="6" t="s">
        <v>2099</v>
      </c>
      <c r="S480" s="6" t="s">
        <v>42</v>
      </c>
    </row>
    <row r="481" spans="1:19">
      <c r="A481" s="9">
        <v>474</v>
      </c>
      <c r="B481" s="9" t="s">
        <v>750</v>
      </c>
      <c r="C481" s="9" t="s">
        <v>744</v>
      </c>
      <c r="D481" s="9" t="s">
        <v>652</v>
      </c>
      <c r="E481" s="9" t="s">
        <v>68</v>
      </c>
      <c r="F481" s="7" t="s">
        <v>39</v>
      </c>
      <c r="G481" s="11">
        <v>1</v>
      </c>
      <c r="H481" s="11">
        <v>1</v>
      </c>
      <c r="I481" s="14">
        <v>8000.0</v>
      </c>
      <c r="J481" s="14"/>
      <c r="K481" s="16">
        <f>IF(I481&gt;0, J481/I481, 0)</f>
        <v>0</v>
      </c>
      <c r="L481" s="14">
        <v>8000.0</v>
      </c>
      <c r="M481" s="14"/>
      <c r="N481" s="14">
        <f>L481-M481</f>
        <v>8000</v>
      </c>
      <c r="O481" s="9" t="s">
        <v>40</v>
      </c>
      <c r="P481" s="9" t="s">
        <v>71</v>
      </c>
      <c r="Q481" s="9" t="s">
        <v>42</v>
      </c>
      <c r="R481" s="7" t="s">
        <v>2216</v>
      </c>
      <c r="S481" s="7" t="s">
        <v>42</v>
      </c>
    </row>
    <row r="482" spans="1:19">
      <c r="A482" s="8">
        <v>475</v>
      </c>
      <c r="B482" s="8" t="s">
        <v>752</v>
      </c>
      <c r="C482" s="8" t="s">
        <v>744</v>
      </c>
      <c r="D482" s="8" t="s">
        <v>652</v>
      </c>
      <c r="E482" s="8" t="s">
        <v>33</v>
      </c>
      <c r="F482" s="6" t="s">
        <v>39</v>
      </c>
      <c r="G482" s="10">
        <v>1</v>
      </c>
      <c r="H482" s="10">
        <v>1</v>
      </c>
      <c r="I482" s="13">
        <v>8000.0</v>
      </c>
      <c r="J482" s="13"/>
      <c r="K482" s="15">
        <f>IF(I482&gt;0, J482/I482, 0)</f>
        <v>0</v>
      </c>
      <c r="L482" s="13">
        <v>8000.0</v>
      </c>
      <c r="M482" s="13"/>
      <c r="N482" s="13">
        <f>L482-M482</f>
        <v>8000</v>
      </c>
      <c r="O482" s="8" t="s">
        <v>40</v>
      </c>
      <c r="P482" s="8" t="s">
        <v>41</v>
      </c>
      <c r="Q482" s="8" t="s">
        <v>42</v>
      </c>
      <c r="R482" s="6" t="s">
        <v>2191</v>
      </c>
      <c r="S482" s="6" t="s">
        <v>42</v>
      </c>
    </row>
    <row r="483" spans="1:19">
      <c r="A483" s="9">
        <v>476</v>
      </c>
      <c r="B483" s="9" t="s">
        <v>753</v>
      </c>
      <c r="C483" s="9" t="s">
        <v>744</v>
      </c>
      <c r="D483" s="9" t="s">
        <v>652</v>
      </c>
      <c r="E483" s="9" t="s">
        <v>68</v>
      </c>
      <c r="F483" s="7" t="s">
        <v>39</v>
      </c>
      <c r="G483" s="11">
        <v>1</v>
      </c>
      <c r="H483" s="11">
        <v>1</v>
      </c>
      <c r="I483" s="14">
        <v>7000.0</v>
      </c>
      <c r="J483" s="14"/>
      <c r="K483" s="16">
        <f>IF(I483&gt;0, J483/I483, 0)</f>
        <v>0</v>
      </c>
      <c r="L483" s="14">
        <v>7000.0</v>
      </c>
      <c r="M483" s="14"/>
      <c r="N483" s="14">
        <f>L483-M483</f>
        <v>7000</v>
      </c>
      <c r="O483" s="9" t="s">
        <v>40</v>
      </c>
      <c r="P483" s="9" t="s">
        <v>71</v>
      </c>
      <c r="Q483" s="9" t="s">
        <v>42</v>
      </c>
      <c r="R483" s="7" t="s">
        <v>2142</v>
      </c>
      <c r="S483" s="7" t="s">
        <v>42</v>
      </c>
    </row>
    <row r="484" spans="1:19">
      <c r="A484" s="8">
        <v>477</v>
      </c>
      <c r="B484" s="8" t="s">
        <v>754</v>
      </c>
      <c r="C484" s="8" t="s">
        <v>744</v>
      </c>
      <c r="D484" s="8" t="s">
        <v>652</v>
      </c>
      <c r="E484" s="8" t="s">
        <v>33</v>
      </c>
      <c r="F484" s="6" t="s">
        <v>39</v>
      </c>
      <c r="G484" s="10">
        <v>1</v>
      </c>
      <c r="H484" s="10">
        <v>1</v>
      </c>
      <c r="I484" s="13">
        <v>7000.0</v>
      </c>
      <c r="J484" s="13"/>
      <c r="K484" s="15">
        <f>IF(I484&gt;0, J484/I484, 0)</f>
        <v>0</v>
      </c>
      <c r="L484" s="13">
        <v>7000.0</v>
      </c>
      <c r="M484" s="13"/>
      <c r="N484" s="13">
        <f>L484-M484</f>
        <v>7000</v>
      </c>
      <c r="O484" s="8" t="s">
        <v>40</v>
      </c>
      <c r="P484" s="8" t="s">
        <v>41</v>
      </c>
      <c r="Q484" s="8" t="s">
        <v>42</v>
      </c>
      <c r="R484" s="6" t="s">
        <v>2109</v>
      </c>
      <c r="S484" s="6" t="s">
        <v>42</v>
      </c>
    </row>
    <row r="485" spans="1:19">
      <c r="A485" s="9">
        <v>478</v>
      </c>
      <c r="B485" s="9" t="s">
        <v>755</v>
      </c>
      <c r="C485" s="9" t="s">
        <v>744</v>
      </c>
      <c r="D485" s="9" t="s">
        <v>652</v>
      </c>
      <c r="E485" s="9" t="s">
        <v>33</v>
      </c>
      <c r="F485" s="7" t="s">
        <v>39</v>
      </c>
      <c r="G485" s="11">
        <v>1</v>
      </c>
      <c r="H485" s="11">
        <v>1</v>
      </c>
      <c r="I485" s="14">
        <v>7000.0</v>
      </c>
      <c r="J485" s="14"/>
      <c r="K485" s="16">
        <f>IF(I485&gt;0, J485/I485, 0)</f>
        <v>0</v>
      </c>
      <c r="L485" s="14">
        <v>7000.0</v>
      </c>
      <c r="M485" s="14"/>
      <c r="N485" s="14">
        <f>L485-M485</f>
        <v>7000</v>
      </c>
      <c r="O485" s="9" t="s">
        <v>40</v>
      </c>
      <c r="P485" s="9" t="s">
        <v>41</v>
      </c>
      <c r="Q485" s="9" t="s">
        <v>42</v>
      </c>
      <c r="R485" s="7" t="s">
        <v>2154</v>
      </c>
      <c r="S485" s="7" t="s">
        <v>42</v>
      </c>
    </row>
    <row r="486" spans="1:19">
      <c r="A486" s="8">
        <v>479</v>
      </c>
      <c r="B486" s="8" t="s">
        <v>756</v>
      </c>
      <c r="C486" s="8" t="s">
        <v>744</v>
      </c>
      <c r="D486" s="8" t="s">
        <v>652</v>
      </c>
      <c r="E486" s="8" t="s">
        <v>33</v>
      </c>
      <c r="F486" s="6" t="s">
        <v>39</v>
      </c>
      <c r="G486" s="10">
        <v>1</v>
      </c>
      <c r="H486" s="10">
        <v>1</v>
      </c>
      <c r="I486" s="13">
        <v>8000.0</v>
      </c>
      <c r="J486" s="13"/>
      <c r="K486" s="15">
        <f>IF(I486&gt;0, J486/I486, 0)</f>
        <v>0</v>
      </c>
      <c r="L486" s="13">
        <v>8000.0</v>
      </c>
      <c r="M486" s="13"/>
      <c r="N486" s="13">
        <f>L486-M486</f>
        <v>8000</v>
      </c>
      <c r="O486" s="8" t="s">
        <v>40</v>
      </c>
      <c r="P486" s="8" t="s">
        <v>41</v>
      </c>
      <c r="Q486" s="8" t="s">
        <v>42</v>
      </c>
      <c r="R486" s="6" t="s">
        <v>2141</v>
      </c>
      <c r="S486" s="6" t="s">
        <v>42</v>
      </c>
    </row>
    <row r="487" spans="1:19">
      <c r="A487" s="9">
        <v>480</v>
      </c>
      <c r="B487" s="9" t="s">
        <v>757</v>
      </c>
      <c r="C487" s="9" t="s">
        <v>744</v>
      </c>
      <c r="D487" s="9" t="s">
        <v>652</v>
      </c>
      <c r="E487" s="9" t="s">
        <v>33</v>
      </c>
      <c r="F487" s="7" t="s">
        <v>39</v>
      </c>
      <c r="G487" s="11">
        <v>1</v>
      </c>
      <c r="H487" s="11">
        <v>1</v>
      </c>
      <c r="I487" s="14">
        <v>8000.0</v>
      </c>
      <c r="J487" s="14"/>
      <c r="K487" s="16">
        <f>IF(I487&gt;0, J487/I487, 0)</f>
        <v>0</v>
      </c>
      <c r="L487" s="14">
        <v>8000.0</v>
      </c>
      <c r="M487" s="14"/>
      <c r="N487" s="14">
        <f>L487-M487</f>
        <v>8000</v>
      </c>
      <c r="O487" s="9" t="s">
        <v>40</v>
      </c>
      <c r="P487" s="9" t="s">
        <v>41</v>
      </c>
      <c r="Q487" s="9" t="s">
        <v>42</v>
      </c>
      <c r="R487" s="7" t="s">
        <v>2167</v>
      </c>
      <c r="S487" s="7" t="s">
        <v>42</v>
      </c>
    </row>
    <row r="488" spans="1:19">
      <c r="A488" s="8">
        <v>481</v>
      </c>
      <c r="B488" s="8" t="s">
        <v>758</v>
      </c>
      <c r="C488" s="8" t="s">
        <v>759</v>
      </c>
      <c r="D488" s="8" t="s">
        <v>652</v>
      </c>
      <c r="E488" s="8" t="s">
        <v>33</v>
      </c>
      <c r="F488" s="6" t="s">
        <v>39</v>
      </c>
      <c r="G488" s="10">
        <v>1</v>
      </c>
      <c r="H488" s="10">
        <v>1</v>
      </c>
      <c r="I488" s="13">
        <v>8000.0</v>
      </c>
      <c r="J488" s="13"/>
      <c r="K488" s="15">
        <f>IF(I488&gt;0, J488/I488, 0)</f>
        <v>0</v>
      </c>
      <c r="L488" s="13">
        <v>8000.0</v>
      </c>
      <c r="M488" s="13"/>
      <c r="N488" s="13">
        <f>L488-M488</f>
        <v>8000</v>
      </c>
      <c r="O488" s="8" t="s">
        <v>40</v>
      </c>
      <c r="P488" s="8" t="s">
        <v>41</v>
      </c>
      <c r="Q488" s="8" t="s">
        <v>42</v>
      </c>
      <c r="R488" s="6" t="s">
        <v>2141</v>
      </c>
      <c r="S488" s="6" t="s">
        <v>42</v>
      </c>
    </row>
    <row r="489" spans="1:19">
      <c r="A489" s="9">
        <v>482</v>
      </c>
      <c r="B489" s="9" t="s">
        <v>760</v>
      </c>
      <c r="C489" s="9" t="s">
        <v>759</v>
      </c>
      <c r="D489" s="9" t="s">
        <v>652</v>
      </c>
      <c r="E489" s="9" t="s">
        <v>33</v>
      </c>
      <c r="F489" s="7" t="s">
        <v>39</v>
      </c>
      <c r="G489" s="11">
        <v>1</v>
      </c>
      <c r="H489" s="11">
        <v>1</v>
      </c>
      <c r="I489" s="14">
        <v>8000.0</v>
      </c>
      <c r="J489" s="14"/>
      <c r="K489" s="16">
        <f>IF(I489&gt;0, J489/I489, 0)</f>
        <v>0</v>
      </c>
      <c r="L489" s="14">
        <v>8000.0</v>
      </c>
      <c r="M489" s="14"/>
      <c r="N489" s="14">
        <f>L489-M489</f>
        <v>8000</v>
      </c>
      <c r="O489" s="9" t="s">
        <v>40</v>
      </c>
      <c r="P489" s="9" t="s">
        <v>41</v>
      </c>
      <c r="Q489" s="9" t="s">
        <v>42</v>
      </c>
      <c r="R489" s="7" t="s">
        <v>2116</v>
      </c>
      <c r="S489" s="7" t="s">
        <v>42</v>
      </c>
    </row>
    <row r="490" spans="1:19">
      <c r="A490" s="8">
        <v>483</v>
      </c>
      <c r="B490" s="8" t="s">
        <v>761</v>
      </c>
      <c r="C490" s="8" t="s">
        <v>759</v>
      </c>
      <c r="D490" s="8" t="s">
        <v>652</v>
      </c>
      <c r="E490" s="8" t="s">
        <v>33</v>
      </c>
      <c r="F490" s="6" t="s">
        <v>39</v>
      </c>
      <c r="G490" s="10">
        <v>1</v>
      </c>
      <c r="H490" s="10">
        <v>1</v>
      </c>
      <c r="I490" s="13">
        <v>18000.0</v>
      </c>
      <c r="J490" s="13"/>
      <c r="K490" s="15">
        <f>IF(I490&gt;0, J490/I490, 0)</f>
        <v>0</v>
      </c>
      <c r="L490" s="13">
        <v>18000.0</v>
      </c>
      <c r="M490" s="13"/>
      <c r="N490" s="13">
        <f>L490-M490</f>
        <v>18000</v>
      </c>
      <c r="O490" s="8" t="s">
        <v>40</v>
      </c>
      <c r="P490" s="8" t="s">
        <v>41</v>
      </c>
      <c r="Q490" s="8" t="s">
        <v>42</v>
      </c>
      <c r="R490" s="6" t="s">
        <v>2160</v>
      </c>
      <c r="S490" s="6" t="s">
        <v>42</v>
      </c>
    </row>
    <row r="491" spans="1:19">
      <c r="A491" s="9">
        <v>484</v>
      </c>
      <c r="B491" s="9" t="s">
        <v>762</v>
      </c>
      <c r="C491" s="9" t="s">
        <v>759</v>
      </c>
      <c r="D491" s="9" t="s">
        <v>652</v>
      </c>
      <c r="E491" s="9" t="s">
        <v>33</v>
      </c>
      <c r="F491" s="7" t="s">
        <v>39</v>
      </c>
      <c r="G491" s="11">
        <v>1</v>
      </c>
      <c r="H491" s="11">
        <v>1</v>
      </c>
      <c r="I491" s="14">
        <v>18000.0</v>
      </c>
      <c r="J491" s="14"/>
      <c r="K491" s="16">
        <f>IF(I491&gt;0, J491/I491, 0)</f>
        <v>0</v>
      </c>
      <c r="L491" s="14">
        <v>18000.0</v>
      </c>
      <c r="M491" s="14"/>
      <c r="N491" s="14">
        <f>L491-M491</f>
        <v>18000</v>
      </c>
      <c r="O491" s="9" t="s">
        <v>40</v>
      </c>
      <c r="P491" s="9" t="s">
        <v>41</v>
      </c>
      <c r="Q491" s="9" t="s">
        <v>42</v>
      </c>
      <c r="R491" s="7" t="s">
        <v>2170</v>
      </c>
      <c r="S491" s="7" t="s">
        <v>42</v>
      </c>
    </row>
    <row r="492" spans="1:19">
      <c r="A492" s="8">
        <v>485</v>
      </c>
      <c r="B492" s="8" t="s">
        <v>763</v>
      </c>
      <c r="C492" s="8" t="s">
        <v>759</v>
      </c>
      <c r="D492" s="8" t="s">
        <v>652</v>
      </c>
      <c r="E492" s="8" t="s">
        <v>33</v>
      </c>
      <c r="F492" s="6" t="s">
        <v>39</v>
      </c>
      <c r="G492" s="10">
        <v>1</v>
      </c>
      <c r="H492" s="10">
        <v>1</v>
      </c>
      <c r="I492" s="13">
        <v>8500.0</v>
      </c>
      <c r="J492" s="13"/>
      <c r="K492" s="15">
        <f>IF(I492&gt;0, J492/I492, 0)</f>
        <v>0</v>
      </c>
      <c r="L492" s="13">
        <v>8500.0</v>
      </c>
      <c r="M492" s="13"/>
      <c r="N492" s="13">
        <f>L492-M492</f>
        <v>8500</v>
      </c>
      <c r="O492" s="8" t="s">
        <v>40</v>
      </c>
      <c r="P492" s="8" t="s">
        <v>41</v>
      </c>
      <c r="Q492" s="8" t="s">
        <v>42</v>
      </c>
      <c r="R492" s="6" t="s">
        <v>2099</v>
      </c>
      <c r="S492" s="6" t="s">
        <v>42</v>
      </c>
    </row>
    <row r="493" spans="1:19">
      <c r="A493" s="9">
        <v>486</v>
      </c>
      <c r="B493" s="9" t="s">
        <v>764</v>
      </c>
      <c r="C493" s="9" t="s">
        <v>759</v>
      </c>
      <c r="D493" s="9" t="s">
        <v>652</v>
      </c>
      <c r="E493" s="9" t="s">
        <v>33</v>
      </c>
      <c r="F493" s="7" t="s">
        <v>39</v>
      </c>
      <c r="G493" s="11">
        <v>1</v>
      </c>
      <c r="H493" s="11">
        <v>1</v>
      </c>
      <c r="I493" s="14">
        <v>8500.0</v>
      </c>
      <c r="J493" s="14"/>
      <c r="K493" s="16">
        <f>IF(I493&gt;0, J493/I493, 0)</f>
        <v>0</v>
      </c>
      <c r="L493" s="14">
        <v>8500.0</v>
      </c>
      <c r="M493" s="14"/>
      <c r="N493" s="14">
        <f>L493-M493</f>
        <v>8500</v>
      </c>
      <c r="O493" s="9" t="s">
        <v>40</v>
      </c>
      <c r="P493" s="9" t="s">
        <v>41</v>
      </c>
      <c r="Q493" s="9" t="s">
        <v>42</v>
      </c>
      <c r="R493" s="7" t="s">
        <v>2078</v>
      </c>
      <c r="S493" s="7" t="s">
        <v>42</v>
      </c>
    </row>
    <row r="494" spans="1:19">
      <c r="A494" s="8">
        <v>487</v>
      </c>
      <c r="B494" s="8" t="s">
        <v>765</v>
      </c>
      <c r="C494" s="8" t="s">
        <v>759</v>
      </c>
      <c r="D494" s="8" t="s">
        <v>652</v>
      </c>
      <c r="E494" s="8" t="s">
        <v>33</v>
      </c>
      <c r="F494" s="6" t="s">
        <v>39</v>
      </c>
      <c r="G494" s="10">
        <v>1</v>
      </c>
      <c r="H494" s="10">
        <v>1</v>
      </c>
      <c r="I494" s="13">
        <v>9000.0</v>
      </c>
      <c r="J494" s="13"/>
      <c r="K494" s="15">
        <f>IF(I494&gt;0, J494/I494, 0)</f>
        <v>0</v>
      </c>
      <c r="L494" s="13">
        <v>9000.0</v>
      </c>
      <c r="M494" s="13"/>
      <c r="N494" s="13">
        <f>L494-M494</f>
        <v>9000</v>
      </c>
      <c r="O494" s="8" t="s">
        <v>40</v>
      </c>
      <c r="P494" s="8" t="s">
        <v>41</v>
      </c>
      <c r="Q494" s="8" t="s">
        <v>42</v>
      </c>
      <c r="R494" s="6" t="s">
        <v>2133</v>
      </c>
      <c r="S494" s="6" t="s">
        <v>42</v>
      </c>
    </row>
    <row r="495" spans="1:19">
      <c r="A495" s="9">
        <v>488</v>
      </c>
      <c r="B495" s="9" t="s">
        <v>766</v>
      </c>
      <c r="C495" s="9" t="s">
        <v>759</v>
      </c>
      <c r="D495" s="9" t="s">
        <v>652</v>
      </c>
      <c r="E495" s="9" t="s">
        <v>33</v>
      </c>
      <c r="F495" s="7" t="s">
        <v>39</v>
      </c>
      <c r="G495" s="11">
        <v>1</v>
      </c>
      <c r="H495" s="11">
        <v>1</v>
      </c>
      <c r="I495" s="14">
        <v>8000.0</v>
      </c>
      <c r="J495" s="14"/>
      <c r="K495" s="16">
        <f>IF(I495&gt;0, J495/I495, 0)</f>
        <v>0</v>
      </c>
      <c r="L495" s="14">
        <v>8000.0</v>
      </c>
      <c r="M495" s="14"/>
      <c r="N495" s="14">
        <f>L495-M495</f>
        <v>8000</v>
      </c>
      <c r="O495" s="9" t="s">
        <v>40</v>
      </c>
      <c r="P495" s="9" t="s">
        <v>41</v>
      </c>
      <c r="Q495" s="9" t="s">
        <v>42</v>
      </c>
      <c r="R495" s="7" t="s">
        <v>2134</v>
      </c>
      <c r="S495" s="7" t="s">
        <v>42</v>
      </c>
    </row>
    <row r="496" spans="1:19">
      <c r="A496" s="8">
        <v>489</v>
      </c>
      <c r="B496" s="8" t="s">
        <v>767</v>
      </c>
      <c r="C496" s="8" t="s">
        <v>759</v>
      </c>
      <c r="D496" s="8" t="s">
        <v>652</v>
      </c>
      <c r="E496" s="8" t="s">
        <v>33</v>
      </c>
      <c r="F496" s="6" t="s">
        <v>39</v>
      </c>
      <c r="G496" s="10">
        <v>1</v>
      </c>
      <c r="H496" s="10">
        <v>1</v>
      </c>
      <c r="I496" s="13">
        <v>16000.0</v>
      </c>
      <c r="J496" s="13"/>
      <c r="K496" s="15">
        <f>IF(I496&gt;0, J496/I496, 0)</f>
        <v>0</v>
      </c>
      <c r="L496" s="13">
        <v>16000.0</v>
      </c>
      <c r="M496" s="13"/>
      <c r="N496" s="13">
        <f>L496-M496</f>
        <v>16000</v>
      </c>
      <c r="O496" s="8" t="s">
        <v>40</v>
      </c>
      <c r="P496" s="8" t="s">
        <v>41</v>
      </c>
      <c r="Q496" s="8" t="s">
        <v>42</v>
      </c>
      <c r="R496" s="6" t="s">
        <v>2217</v>
      </c>
      <c r="S496" s="6" t="s">
        <v>42</v>
      </c>
    </row>
    <row r="497" spans="1:19">
      <c r="A497" s="9">
        <v>490</v>
      </c>
      <c r="B497" s="9" t="s">
        <v>769</v>
      </c>
      <c r="C497" s="9" t="s">
        <v>759</v>
      </c>
      <c r="D497" s="9" t="s">
        <v>652</v>
      </c>
      <c r="E497" s="9" t="s">
        <v>33</v>
      </c>
      <c r="F497" s="7" t="s">
        <v>39</v>
      </c>
      <c r="G497" s="11">
        <v>1</v>
      </c>
      <c r="H497" s="11">
        <v>1</v>
      </c>
      <c r="I497" s="14">
        <v>18000.0</v>
      </c>
      <c r="J497" s="14"/>
      <c r="K497" s="16">
        <f>IF(I497&gt;0, J497/I497, 0)</f>
        <v>0</v>
      </c>
      <c r="L497" s="14">
        <v>18000.0</v>
      </c>
      <c r="M497" s="14"/>
      <c r="N497" s="14">
        <f>L497-M497</f>
        <v>18000</v>
      </c>
      <c r="O497" s="9" t="s">
        <v>40</v>
      </c>
      <c r="P497" s="9" t="s">
        <v>41</v>
      </c>
      <c r="Q497" s="9" t="s">
        <v>42</v>
      </c>
      <c r="R497" s="7" t="s">
        <v>2218</v>
      </c>
      <c r="S497" s="7" t="s">
        <v>42</v>
      </c>
    </row>
    <row r="498" spans="1:19">
      <c r="A498" s="8">
        <v>491</v>
      </c>
      <c r="B498" s="8" t="s">
        <v>771</v>
      </c>
      <c r="C498" s="8" t="s">
        <v>759</v>
      </c>
      <c r="D498" s="8" t="s">
        <v>652</v>
      </c>
      <c r="E498" s="8" t="s">
        <v>33</v>
      </c>
      <c r="F498" s="6" t="s">
        <v>39</v>
      </c>
      <c r="G498" s="10">
        <v>1</v>
      </c>
      <c r="H498" s="10">
        <v>1</v>
      </c>
      <c r="I498" s="13">
        <v>8000.0</v>
      </c>
      <c r="J498" s="13"/>
      <c r="K498" s="15">
        <f>IF(I498&gt;0, J498/I498, 0)</f>
        <v>0</v>
      </c>
      <c r="L498" s="13">
        <v>8000.0</v>
      </c>
      <c r="M498" s="13"/>
      <c r="N498" s="13">
        <f>L498-M498</f>
        <v>8000</v>
      </c>
      <c r="O498" s="8" t="s">
        <v>40</v>
      </c>
      <c r="P498" s="8" t="s">
        <v>41</v>
      </c>
      <c r="Q498" s="8" t="s">
        <v>42</v>
      </c>
      <c r="R498" s="6" t="s">
        <v>2219</v>
      </c>
      <c r="S498" s="6" t="s">
        <v>42</v>
      </c>
    </row>
    <row r="499" spans="1:19">
      <c r="A499" s="9">
        <v>492</v>
      </c>
      <c r="B499" s="9" t="s">
        <v>773</v>
      </c>
      <c r="C499" s="9" t="s">
        <v>759</v>
      </c>
      <c r="D499" s="9" t="s">
        <v>652</v>
      </c>
      <c r="E499" s="9" t="s">
        <v>33</v>
      </c>
      <c r="F499" s="7" t="s">
        <v>39</v>
      </c>
      <c r="G499" s="11">
        <v>1</v>
      </c>
      <c r="H499" s="11">
        <v>1</v>
      </c>
      <c r="I499" s="14">
        <v>18000.0</v>
      </c>
      <c r="J499" s="14"/>
      <c r="K499" s="16">
        <f>IF(I499&gt;0, J499/I499, 0)</f>
        <v>0</v>
      </c>
      <c r="L499" s="14">
        <v>18000.0</v>
      </c>
      <c r="M499" s="14"/>
      <c r="N499" s="14">
        <f>L499-M499</f>
        <v>18000</v>
      </c>
      <c r="O499" s="9" t="s">
        <v>40</v>
      </c>
      <c r="P499" s="9" t="s">
        <v>41</v>
      </c>
      <c r="Q499" s="9" t="s">
        <v>42</v>
      </c>
      <c r="R499" s="7" t="s">
        <v>2180</v>
      </c>
      <c r="S499" s="7" t="s">
        <v>42</v>
      </c>
    </row>
    <row r="500" spans="1:19">
      <c r="A500" s="8">
        <v>493</v>
      </c>
      <c r="B500" s="8" t="s">
        <v>774</v>
      </c>
      <c r="C500" s="8" t="s">
        <v>759</v>
      </c>
      <c r="D500" s="8" t="s">
        <v>652</v>
      </c>
      <c r="E500" s="8" t="s">
        <v>33</v>
      </c>
      <c r="F500" s="6" t="s">
        <v>39</v>
      </c>
      <c r="G500" s="10">
        <v>1</v>
      </c>
      <c r="H500" s="10">
        <v>1</v>
      </c>
      <c r="I500" s="13">
        <v>18000.0</v>
      </c>
      <c r="J500" s="13"/>
      <c r="K500" s="15">
        <f>IF(I500&gt;0, J500/I500, 0)</f>
        <v>0</v>
      </c>
      <c r="L500" s="13">
        <v>18000.0</v>
      </c>
      <c r="M500" s="13"/>
      <c r="N500" s="13">
        <f>L500-M500</f>
        <v>18000</v>
      </c>
      <c r="O500" s="8" t="s">
        <v>40</v>
      </c>
      <c r="P500" s="8" t="s">
        <v>41</v>
      </c>
      <c r="Q500" s="8" t="s">
        <v>42</v>
      </c>
      <c r="R500" s="6" t="s">
        <v>2119</v>
      </c>
      <c r="S500" s="6" t="s">
        <v>42</v>
      </c>
    </row>
    <row r="501" spans="1:19">
      <c r="A501" s="9">
        <v>494</v>
      </c>
      <c r="B501" s="9" t="s">
        <v>775</v>
      </c>
      <c r="C501" s="9" t="s">
        <v>759</v>
      </c>
      <c r="D501" s="9" t="s">
        <v>652</v>
      </c>
      <c r="E501" s="9" t="s">
        <v>33</v>
      </c>
      <c r="F501" s="7" t="s">
        <v>39</v>
      </c>
      <c r="G501" s="11">
        <v>1</v>
      </c>
      <c r="H501" s="11">
        <v>1</v>
      </c>
      <c r="I501" s="14">
        <v>8500.0</v>
      </c>
      <c r="J501" s="14"/>
      <c r="K501" s="16">
        <f>IF(I501&gt;0, J501/I501, 0)</f>
        <v>0</v>
      </c>
      <c r="L501" s="14">
        <v>8500.0</v>
      </c>
      <c r="M501" s="14"/>
      <c r="N501" s="14">
        <f>L501-M501</f>
        <v>8500</v>
      </c>
      <c r="O501" s="9" t="s">
        <v>40</v>
      </c>
      <c r="P501" s="9" t="s">
        <v>41</v>
      </c>
      <c r="Q501" s="9" t="s">
        <v>42</v>
      </c>
      <c r="R501" s="7" t="s">
        <v>2213</v>
      </c>
      <c r="S501" s="7" t="s">
        <v>42</v>
      </c>
    </row>
    <row r="502" spans="1:19">
      <c r="A502" s="8">
        <v>495</v>
      </c>
      <c r="B502" s="8" t="s">
        <v>776</v>
      </c>
      <c r="C502" s="8" t="s">
        <v>759</v>
      </c>
      <c r="D502" s="8" t="s">
        <v>652</v>
      </c>
      <c r="E502" s="8" t="s">
        <v>33</v>
      </c>
      <c r="F502" s="6" t="s">
        <v>39</v>
      </c>
      <c r="G502" s="10">
        <v>1</v>
      </c>
      <c r="H502" s="10">
        <v>1</v>
      </c>
      <c r="I502" s="13">
        <v>9500.0</v>
      </c>
      <c r="J502" s="13"/>
      <c r="K502" s="15">
        <f>IF(I502&gt;0, J502/I502, 0)</f>
        <v>0</v>
      </c>
      <c r="L502" s="13">
        <v>9500.0</v>
      </c>
      <c r="M502" s="13"/>
      <c r="N502" s="13">
        <f>L502-M502</f>
        <v>9500</v>
      </c>
      <c r="O502" s="8" t="s">
        <v>40</v>
      </c>
      <c r="P502" s="8" t="s">
        <v>41</v>
      </c>
      <c r="Q502" s="8" t="s">
        <v>42</v>
      </c>
      <c r="R502" s="6" t="s">
        <v>2114</v>
      </c>
      <c r="S502" s="6" t="s">
        <v>42</v>
      </c>
    </row>
    <row r="503" spans="1:19">
      <c r="A503" s="9">
        <v>496</v>
      </c>
      <c r="B503" s="9" t="s">
        <v>777</v>
      </c>
      <c r="C503" s="9" t="s">
        <v>759</v>
      </c>
      <c r="D503" s="9" t="s">
        <v>652</v>
      </c>
      <c r="E503" s="9" t="s">
        <v>33</v>
      </c>
      <c r="F503" s="7" t="s">
        <v>39</v>
      </c>
      <c r="G503" s="11">
        <v>1</v>
      </c>
      <c r="H503" s="11">
        <v>2</v>
      </c>
      <c r="I503" s="14">
        <v>16000.0</v>
      </c>
      <c r="J503" s="14"/>
      <c r="K503" s="16">
        <f>IF(I503&gt;0, J503/I503, 0)</f>
        <v>0</v>
      </c>
      <c r="L503" s="14">
        <v>16000.0</v>
      </c>
      <c r="M503" s="14"/>
      <c r="N503" s="14">
        <f>L503-M503</f>
        <v>16000</v>
      </c>
      <c r="O503" s="9" t="s">
        <v>40</v>
      </c>
      <c r="P503" s="9" t="s">
        <v>41</v>
      </c>
      <c r="Q503" s="9" t="s">
        <v>42</v>
      </c>
      <c r="R503" s="7" t="s">
        <v>2208</v>
      </c>
      <c r="S503" s="7" t="s">
        <v>42</v>
      </c>
    </row>
    <row r="504" spans="1:19">
      <c r="A504" s="8">
        <v>497</v>
      </c>
      <c r="B504" s="8" t="s">
        <v>778</v>
      </c>
      <c r="C504" s="8" t="s">
        <v>759</v>
      </c>
      <c r="D504" s="8" t="s">
        <v>652</v>
      </c>
      <c r="E504" s="8" t="s">
        <v>33</v>
      </c>
      <c r="F504" s="6" t="s">
        <v>39</v>
      </c>
      <c r="G504" s="10">
        <v>1</v>
      </c>
      <c r="H504" s="10">
        <v>1</v>
      </c>
      <c r="I504" s="13">
        <v>16500.0</v>
      </c>
      <c r="J504" s="13"/>
      <c r="K504" s="15">
        <f>IF(I504&gt;0, J504/I504, 0)</f>
        <v>0</v>
      </c>
      <c r="L504" s="13">
        <v>16500.0</v>
      </c>
      <c r="M504" s="13"/>
      <c r="N504" s="13">
        <f>L504-M504</f>
        <v>16500</v>
      </c>
      <c r="O504" s="8" t="s">
        <v>40</v>
      </c>
      <c r="P504" s="8" t="s">
        <v>41</v>
      </c>
      <c r="Q504" s="8" t="s">
        <v>42</v>
      </c>
      <c r="R504" s="6" t="s">
        <v>2173</v>
      </c>
      <c r="S504" s="6" t="s">
        <v>42</v>
      </c>
    </row>
    <row r="505" spans="1:19">
      <c r="A505" s="9">
        <v>498</v>
      </c>
      <c r="B505" s="9" t="s">
        <v>779</v>
      </c>
      <c r="C505" s="9" t="s">
        <v>759</v>
      </c>
      <c r="D505" s="9" t="s">
        <v>652</v>
      </c>
      <c r="E505" s="9" t="s">
        <v>68</v>
      </c>
      <c r="F505" s="7" t="s">
        <v>39</v>
      </c>
      <c r="G505" s="11">
        <v>1</v>
      </c>
      <c r="H505" s="11">
        <v>1</v>
      </c>
      <c r="I505" s="14">
        <v>10000.0</v>
      </c>
      <c r="J505" s="14"/>
      <c r="K505" s="16">
        <f>IF(I505&gt;0, J505/I505, 0)</f>
        <v>0</v>
      </c>
      <c r="L505" s="14">
        <v>10000.0</v>
      </c>
      <c r="M505" s="14"/>
      <c r="N505" s="14">
        <f>L505-M505</f>
        <v>10000</v>
      </c>
      <c r="O505" s="9" t="s">
        <v>40</v>
      </c>
      <c r="P505" s="9" t="s">
        <v>71</v>
      </c>
      <c r="Q505" s="9" t="s">
        <v>42</v>
      </c>
      <c r="R505" s="7" t="s">
        <v>2213</v>
      </c>
      <c r="S505" s="7" t="s">
        <v>42</v>
      </c>
    </row>
    <row r="506" spans="1:19">
      <c r="A506" s="8">
        <v>499</v>
      </c>
      <c r="B506" s="8" t="s">
        <v>780</v>
      </c>
      <c r="C506" s="8" t="s">
        <v>759</v>
      </c>
      <c r="D506" s="8" t="s">
        <v>652</v>
      </c>
      <c r="E506" s="8" t="s">
        <v>33</v>
      </c>
      <c r="F506" s="6" t="s">
        <v>39</v>
      </c>
      <c r="G506" s="10">
        <v>1</v>
      </c>
      <c r="H506" s="10">
        <v>1</v>
      </c>
      <c r="I506" s="13">
        <v>18000.0</v>
      </c>
      <c r="J506" s="13"/>
      <c r="K506" s="15">
        <f>IF(I506&gt;0, J506/I506, 0)</f>
        <v>0</v>
      </c>
      <c r="L506" s="13">
        <v>18000.0</v>
      </c>
      <c r="M506" s="13"/>
      <c r="N506" s="13">
        <f>L506-M506</f>
        <v>18000</v>
      </c>
      <c r="O506" s="8" t="s">
        <v>40</v>
      </c>
      <c r="P506" s="8" t="s">
        <v>41</v>
      </c>
      <c r="Q506" s="8" t="s">
        <v>42</v>
      </c>
      <c r="R506" s="6" t="s">
        <v>2185</v>
      </c>
      <c r="S506" s="6" t="s">
        <v>42</v>
      </c>
    </row>
    <row r="507" spans="1:19">
      <c r="A507" s="9">
        <v>500</v>
      </c>
      <c r="B507" s="9" t="s">
        <v>781</v>
      </c>
      <c r="C507" s="9" t="s">
        <v>759</v>
      </c>
      <c r="D507" s="9" t="s">
        <v>652</v>
      </c>
      <c r="E507" s="9" t="s">
        <v>33</v>
      </c>
      <c r="F507" s="7" t="s">
        <v>39</v>
      </c>
      <c r="G507" s="11">
        <v>1</v>
      </c>
      <c r="H507" s="11">
        <v>2</v>
      </c>
      <c r="I507" s="14">
        <v>19000.0</v>
      </c>
      <c r="J507" s="14"/>
      <c r="K507" s="16">
        <f>IF(I507&gt;0, J507/I507, 0)</f>
        <v>0</v>
      </c>
      <c r="L507" s="14">
        <v>19000.0</v>
      </c>
      <c r="M507" s="14"/>
      <c r="N507" s="14">
        <f>L507-M507</f>
        <v>19000</v>
      </c>
      <c r="O507" s="9" t="s">
        <v>40</v>
      </c>
      <c r="P507" s="9" t="s">
        <v>41</v>
      </c>
      <c r="Q507" s="9" t="s">
        <v>42</v>
      </c>
      <c r="R507" s="7" t="s">
        <v>2220</v>
      </c>
      <c r="S507" s="7" t="s">
        <v>42</v>
      </c>
    </row>
    <row r="508" spans="1:19">
      <c r="A508" s="8">
        <v>501</v>
      </c>
      <c r="B508" s="8" t="s">
        <v>782</v>
      </c>
      <c r="C508" s="8" t="s">
        <v>759</v>
      </c>
      <c r="D508" s="8" t="s">
        <v>652</v>
      </c>
      <c r="E508" s="8" t="s">
        <v>33</v>
      </c>
      <c r="F508" s="6" t="s">
        <v>39</v>
      </c>
      <c r="G508" s="10">
        <v>1</v>
      </c>
      <c r="H508" s="10">
        <v>1</v>
      </c>
      <c r="I508" s="13">
        <v>8500.0</v>
      </c>
      <c r="J508" s="13"/>
      <c r="K508" s="15">
        <f>IF(I508&gt;0, J508/I508, 0)</f>
        <v>0</v>
      </c>
      <c r="L508" s="13">
        <v>8500.0</v>
      </c>
      <c r="M508" s="13"/>
      <c r="N508" s="13">
        <f>L508-M508</f>
        <v>8500</v>
      </c>
      <c r="O508" s="8" t="s">
        <v>40</v>
      </c>
      <c r="P508" s="8" t="s">
        <v>41</v>
      </c>
      <c r="Q508" s="8" t="s">
        <v>42</v>
      </c>
      <c r="R508" s="6" t="s">
        <v>2213</v>
      </c>
      <c r="S508" s="6" t="s">
        <v>42</v>
      </c>
    </row>
    <row r="509" spans="1:19">
      <c r="A509" s="9">
        <v>502</v>
      </c>
      <c r="B509" s="9" t="s">
        <v>783</v>
      </c>
      <c r="C509" s="9" t="s">
        <v>759</v>
      </c>
      <c r="D509" s="9" t="s">
        <v>652</v>
      </c>
      <c r="E509" s="9" t="s">
        <v>33</v>
      </c>
      <c r="F509" s="7" t="s">
        <v>39</v>
      </c>
      <c r="G509" s="11">
        <v>1</v>
      </c>
      <c r="H509" s="11">
        <v>1</v>
      </c>
      <c r="I509" s="14">
        <v>16500.0</v>
      </c>
      <c r="J509" s="14"/>
      <c r="K509" s="16">
        <f>IF(I509&gt;0, J509/I509, 0)</f>
        <v>0</v>
      </c>
      <c r="L509" s="14">
        <v>16500.0</v>
      </c>
      <c r="M509" s="14"/>
      <c r="N509" s="14">
        <f>L509-M509</f>
        <v>16500</v>
      </c>
      <c r="O509" s="9" t="s">
        <v>40</v>
      </c>
      <c r="P509" s="9" t="s">
        <v>41</v>
      </c>
      <c r="Q509" s="9" t="s">
        <v>42</v>
      </c>
      <c r="R509" s="7" t="s">
        <v>2173</v>
      </c>
      <c r="S509" s="7" t="s">
        <v>42</v>
      </c>
    </row>
    <row r="510" spans="1:19">
      <c r="A510" s="8">
        <v>503</v>
      </c>
      <c r="B510" s="8" t="s">
        <v>784</v>
      </c>
      <c r="C510" s="8" t="s">
        <v>759</v>
      </c>
      <c r="D510" s="8" t="s">
        <v>652</v>
      </c>
      <c r="E510" s="8" t="s">
        <v>33</v>
      </c>
      <c r="F510" s="6" t="s">
        <v>39</v>
      </c>
      <c r="G510" s="10">
        <v>1</v>
      </c>
      <c r="H510" s="10">
        <v>2</v>
      </c>
      <c r="I510" s="13">
        <v>16000.0</v>
      </c>
      <c r="J510" s="13"/>
      <c r="K510" s="15">
        <f>IF(I510&gt;0, J510/I510, 0)</f>
        <v>0</v>
      </c>
      <c r="L510" s="13">
        <v>16000.0</v>
      </c>
      <c r="M510" s="13"/>
      <c r="N510" s="13">
        <f>L510-M510</f>
        <v>16000</v>
      </c>
      <c r="O510" s="8" t="s">
        <v>40</v>
      </c>
      <c r="P510" s="8" t="s">
        <v>41</v>
      </c>
      <c r="Q510" s="8" t="s">
        <v>42</v>
      </c>
      <c r="R510" s="6" t="s">
        <v>2208</v>
      </c>
      <c r="S510" s="6" t="s">
        <v>42</v>
      </c>
    </row>
    <row r="511" spans="1:19">
      <c r="A511" s="9">
        <v>504</v>
      </c>
      <c r="B511" s="9" t="s">
        <v>785</v>
      </c>
      <c r="C511" s="9" t="s">
        <v>759</v>
      </c>
      <c r="D511" s="9" t="s">
        <v>652</v>
      </c>
      <c r="E511" s="9" t="s">
        <v>33</v>
      </c>
      <c r="F511" s="7" t="s">
        <v>39</v>
      </c>
      <c r="G511" s="11">
        <v>1</v>
      </c>
      <c r="H511" s="11">
        <v>2</v>
      </c>
      <c r="I511" s="14">
        <v>18000.0</v>
      </c>
      <c r="J511" s="14"/>
      <c r="K511" s="16">
        <f>IF(I511&gt;0, J511/I511, 0)</f>
        <v>0</v>
      </c>
      <c r="L511" s="14">
        <v>18000.0</v>
      </c>
      <c r="M511" s="14"/>
      <c r="N511" s="14">
        <f>L511-M511</f>
        <v>18000</v>
      </c>
      <c r="O511" s="9" t="s">
        <v>40</v>
      </c>
      <c r="P511" s="9" t="s">
        <v>41</v>
      </c>
      <c r="Q511" s="9" t="s">
        <v>42</v>
      </c>
      <c r="R511" s="7" t="s">
        <v>2186</v>
      </c>
      <c r="S511" s="7" t="s">
        <v>42</v>
      </c>
    </row>
    <row r="512" spans="1:19">
      <c r="A512" s="8">
        <v>505</v>
      </c>
      <c r="B512" s="8" t="s">
        <v>786</v>
      </c>
      <c r="C512" s="8" t="s">
        <v>759</v>
      </c>
      <c r="D512" s="8" t="s">
        <v>652</v>
      </c>
      <c r="E512" s="8" t="s">
        <v>33</v>
      </c>
      <c r="F512" s="6" t="s">
        <v>39</v>
      </c>
      <c r="G512" s="10">
        <v>1</v>
      </c>
      <c r="H512" s="10">
        <v>1</v>
      </c>
      <c r="I512" s="13">
        <v>18000.0</v>
      </c>
      <c r="J512" s="13"/>
      <c r="K512" s="15">
        <f>IF(I512&gt;0, J512/I512, 0)</f>
        <v>0</v>
      </c>
      <c r="L512" s="13">
        <v>18000.0</v>
      </c>
      <c r="M512" s="13"/>
      <c r="N512" s="13">
        <f>L512-M512</f>
        <v>18000</v>
      </c>
      <c r="O512" s="8" t="s">
        <v>40</v>
      </c>
      <c r="P512" s="8" t="s">
        <v>41</v>
      </c>
      <c r="Q512" s="8" t="s">
        <v>42</v>
      </c>
      <c r="R512" s="6" t="s">
        <v>2119</v>
      </c>
      <c r="S512" s="6" t="s">
        <v>42</v>
      </c>
    </row>
    <row r="513" spans="1:19">
      <c r="A513" s="9">
        <v>506</v>
      </c>
      <c r="B513" s="9" t="s">
        <v>788</v>
      </c>
      <c r="C513" s="9" t="s">
        <v>759</v>
      </c>
      <c r="D513" s="9" t="s">
        <v>652</v>
      </c>
      <c r="E513" s="9" t="s">
        <v>33</v>
      </c>
      <c r="F513" s="7" t="s">
        <v>39</v>
      </c>
      <c r="G513" s="11">
        <v>1</v>
      </c>
      <c r="H513" s="11">
        <v>1</v>
      </c>
      <c r="I513" s="14">
        <v>9000.0</v>
      </c>
      <c r="J513" s="14"/>
      <c r="K513" s="16">
        <f>IF(I513&gt;0, J513/I513, 0)</f>
        <v>0</v>
      </c>
      <c r="L513" s="14">
        <v>9000.0</v>
      </c>
      <c r="M513" s="14"/>
      <c r="N513" s="14">
        <f>L513-M513</f>
        <v>9000</v>
      </c>
      <c r="O513" s="9" t="s">
        <v>40</v>
      </c>
      <c r="P513" s="9" t="s">
        <v>41</v>
      </c>
      <c r="Q513" s="9" t="s">
        <v>42</v>
      </c>
      <c r="R513" s="7" t="s">
        <v>2135</v>
      </c>
      <c r="S513" s="7" t="s">
        <v>42</v>
      </c>
    </row>
    <row r="514" spans="1:19">
      <c r="A514" s="8">
        <v>507</v>
      </c>
      <c r="B514" s="8" t="s">
        <v>790</v>
      </c>
      <c r="C514" s="8" t="s">
        <v>759</v>
      </c>
      <c r="D514" s="8" t="s">
        <v>652</v>
      </c>
      <c r="E514" s="8" t="s">
        <v>33</v>
      </c>
      <c r="F514" s="6" t="s">
        <v>39</v>
      </c>
      <c r="G514" s="10">
        <v>1</v>
      </c>
      <c r="H514" s="10">
        <v>1</v>
      </c>
      <c r="I514" s="13">
        <v>7000.0</v>
      </c>
      <c r="J514" s="13"/>
      <c r="K514" s="15">
        <f>IF(I514&gt;0, J514/I514, 0)</f>
        <v>0</v>
      </c>
      <c r="L514" s="13">
        <v>7000.0</v>
      </c>
      <c r="M514" s="13"/>
      <c r="N514" s="13">
        <f>L514-M514</f>
        <v>7000</v>
      </c>
      <c r="O514" s="8" t="s">
        <v>40</v>
      </c>
      <c r="P514" s="8" t="s">
        <v>41</v>
      </c>
      <c r="Q514" s="8" t="s">
        <v>42</v>
      </c>
      <c r="R514" s="6" t="s">
        <v>2100</v>
      </c>
      <c r="S514" s="6" t="s">
        <v>42</v>
      </c>
    </row>
    <row r="515" spans="1:19">
      <c r="A515" s="9">
        <v>508</v>
      </c>
      <c r="B515" s="9" t="s">
        <v>792</v>
      </c>
      <c r="C515" s="9" t="s">
        <v>759</v>
      </c>
      <c r="D515" s="9" t="s">
        <v>652</v>
      </c>
      <c r="E515" s="9" t="s">
        <v>33</v>
      </c>
      <c r="F515" s="7" t="s">
        <v>39</v>
      </c>
      <c r="G515" s="11">
        <v>1</v>
      </c>
      <c r="H515" s="11">
        <v>1</v>
      </c>
      <c r="I515" s="14">
        <v>7000.0</v>
      </c>
      <c r="J515" s="14"/>
      <c r="K515" s="16">
        <f>IF(I515&gt;0, J515/I515, 0)</f>
        <v>0</v>
      </c>
      <c r="L515" s="14">
        <v>7000.0</v>
      </c>
      <c r="M515" s="14"/>
      <c r="N515" s="14">
        <f>L515-M515</f>
        <v>7000</v>
      </c>
      <c r="O515" s="9" t="s">
        <v>40</v>
      </c>
      <c r="P515" s="9" t="s">
        <v>41</v>
      </c>
      <c r="Q515" s="9" t="s">
        <v>42</v>
      </c>
      <c r="R515" s="7" t="s">
        <v>2122</v>
      </c>
      <c r="S515" s="7" t="s">
        <v>42</v>
      </c>
    </row>
    <row r="516" spans="1:19">
      <c r="A516" s="8">
        <v>509</v>
      </c>
      <c r="B516" s="8" t="s">
        <v>793</v>
      </c>
      <c r="C516" s="8" t="s">
        <v>759</v>
      </c>
      <c r="D516" s="8" t="s">
        <v>652</v>
      </c>
      <c r="E516" s="8" t="s">
        <v>33</v>
      </c>
      <c r="F516" s="6" t="s">
        <v>39</v>
      </c>
      <c r="G516" s="10">
        <v>1</v>
      </c>
      <c r="H516" s="10">
        <v>2</v>
      </c>
      <c r="I516" s="13">
        <v>16000.0</v>
      </c>
      <c r="J516" s="13"/>
      <c r="K516" s="15">
        <f>IF(I516&gt;0, J516/I516, 0)</f>
        <v>0</v>
      </c>
      <c r="L516" s="13">
        <v>16000.0</v>
      </c>
      <c r="M516" s="13"/>
      <c r="N516" s="13">
        <f>L516-M516</f>
        <v>16000</v>
      </c>
      <c r="O516" s="8" t="s">
        <v>40</v>
      </c>
      <c r="P516" s="8" t="s">
        <v>41</v>
      </c>
      <c r="Q516" s="8" t="s">
        <v>42</v>
      </c>
      <c r="R516" s="6" t="s">
        <v>2221</v>
      </c>
      <c r="S516" s="6" t="s">
        <v>42</v>
      </c>
    </row>
    <row r="517" spans="1:19">
      <c r="A517" s="9">
        <v>510</v>
      </c>
      <c r="B517" s="9" t="s">
        <v>794</v>
      </c>
      <c r="C517" s="9" t="s">
        <v>759</v>
      </c>
      <c r="D517" s="9" t="s">
        <v>652</v>
      </c>
      <c r="E517" s="9" t="s">
        <v>33</v>
      </c>
      <c r="F517" s="7" t="s">
        <v>39</v>
      </c>
      <c r="G517" s="11">
        <v>1</v>
      </c>
      <c r="H517" s="11">
        <v>2</v>
      </c>
      <c r="I517" s="14">
        <v>16000.0</v>
      </c>
      <c r="J517" s="14"/>
      <c r="K517" s="16">
        <f>IF(I517&gt;0, J517/I517, 0)</f>
        <v>0</v>
      </c>
      <c r="L517" s="14">
        <v>16000.0</v>
      </c>
      <c r="M517" s="14"/>
      <c r="N517" s="14">
        <f>L517-M517</f>
        <v>16000</v>
      </c>
      <c r="O517" s="9" t="s">
        <v>40</v>
      </c>
      <c r="P517" s="9" t="s">
        <v>41</v>
      </c>
      <c r="Q517" s="9" t="s">
        <v>42</v>
      </c>
      <c r="R517" s="7" t="s">
        <v>2143</v>
      </c>
      <c r="S517" s="7" t="s">
        <v>42</v>
      </c>
    </row>
    <row r="518" spans="1:19">
      <c r="A518" s="8">
        <v>511</v>
      </c>
      <c r="B518" s="8" t="s">
        <v>795</v>
      </c>
      <c r="C518" s="8" t="s">
        <v>759</v>
      </c>
      <c r="D518" s="8" t="s">
        <v>652</v>
      </c>
      <c r="E518" s="8" t="s">
        <v>33</v>
      </c>
      <c r="F518" s="6" t="s">
        <v>39</v>
      </c>
      <c r="G518" s="10">
        <v>1</v>
      </c>
      <c r="H518" s="10">
        <v>2</v>
      </c>
      <c r="I518" s="13">
        <v>16000.0</v>
      </c>
      <c r="J518" s="13"/>
      <c r="K518" s="15">
        <f>IF(I518&gt;0, J518/I518, 0)</f>
        <v>0</v>
      </c>
      <c r="L518" s="13">
        <v>16000.0</v>
      </c>
      <c r="M518" s="13"/>
      <c r="N518" s="13">
        <f>L518-M518</f>
        <v>16000</v>
      </c>
      <c r="O518" s="8" t="s">
        <v>40</v>
      </c>
      <c r="P518" s="8" t="s">
        <v>41</v>
      </c>
      <c r="Q518" s="8" t="s">
        <v>42</v>
      </c>
      <c r="R518" s="6" t="s">
        <v>2209</v>
      </c>
      <c r="S518" s="6" t="s">
        <v>42</v>
      </c>
    </row>
    <row r="519" spans="1:19">
      <c r="A519" s="9">
        <v>512</v>
      </c>
      <c r="B519" s="9" t="s">
        <v>796</v>
      </c>
      <c r="C519" s="9" t="s">
        <v>759</v>
      </c>
      <c r="D519" s="9" t="s">
        <v>652</v>
      </c>
      <c r="E519" s="9" t="s">
        <v>33</v>
      </c>
      <c r="F519" s="7" t="s">
        <v>39</v>
      </c>
      <c r="G519" s="11">
        <v>1</v>
      </c>
      <c r="H519" s="11">
        <v>1</v>
      </c>
      <c r="I519" s="14">
        <v>7000.0</v>
      </c>
      <c r="J519" s="14"/>
      <c r="K519" s="16">
        <f>IF(I519&gt;0, J519/I519, 0)</f>
        <v>0</v>
      </c>
      <c r="L519" s="14">
        <v>7000.0</v>
      </c>
      <c r="M519" s="14"/>
      <c r="N519" s="14">
        <f>L519-M519</f>
        <v>7000</v>
      </c>
      <c r="O519" s="9" t="s">
        <v>40</v>
      </c>
      <c r="P519" s="9" t="s">
        <v>41</v>
      </c>
      <c r="Q519" s="9" t="s">
        <v>42</v>
      </c>
      <c r="R519" s="7" t="s">
        <v>2107</v>
      </c>
      <c r="S519" s="7" t="s">
        <v>42</v>
      </c>
    </row>
    <row r="520" spans="1:19">
      <c r="A520" s="8">
        <v>513</v>
      </c>
      <c r="B520" s="8" t="s">
        <v>797</v>
      </c>
      <c r="C520" s="8" t="s">
        <v>759</v>
      </c>
      <c r="D520" s="8" t="s">
        <v>652</v>
      </c>
      <c r="E520" s="8" t="s">
        <v>33</v>
      </c>
      <c r="F520" s="6" t="s">
        <v>39</v>
      </c>
      <c r="G520" s="10">
        <v>1</v>
      </c>
      <c r="H520" s="10">
        <v>1</v>
      </c>
      <c r="I520" s="13">
        <v>7000.0</v>
      </c>
      <c r="J520" s="13"/>
      <c r="K520" s="15">
        <f>IF(I520&gt;0, J520/I520, 0)</f>
        <v>0</v>
      </c>
      <c r="L520" s="13">
        <v>7000.0</v>
      </c>
      <c r="M520" s="13"/>
      <c r="N520" s="13">
        <f>L520-M520</f>
        <v>7000</v>
      </c>
      <c r="O520" s="8" t="s">
        <v>40</v>
      </c>
      <c r="P520" s="8" t="s">
        <v>41</v>
      </c>
      <c r="Q520" s="8" t="s">
        <v>42</v>
      </c>
      <c r="R520" s="6" t="s">
        <v>2131</v>
      </c>
      <c r="S520" s="6" t="s">
        <v>42</v>
      </c>
    </row>
    <row r="521" spans="1:19">
      <c r="A521" s="9">
        <v>514</v>
      </c>
      <c r="B521" s="9" t="s">
        <v>798</v>
      </c>
      <c r="C521" s="9" t="s">
        <v>799</v>
      </c>
      <c r="D521" s="9" t="s">
        <v>652</v>
      </c>
      <c r="E521" s="9" t="s">
        <v>33</v>
      </c>
      <c r="F521" s="7" t="s">
        <v>39</v>
      </c>
      <c r="G521" s="11">
        <v>1</v>
      </c>
      <c r="H521" s="11">
        <v>1</v>
      </c>
      <c r="I521" s="14">
        <v>18000.0</v>
      </c>
      <c r="J521" s="14"/>
      <c r="K521" s="16">
        <f>IF(I521&gt;0, J521/I521, 0)</f>
        <v>0</v>
      </c>
      <c r="L521" s="14">
        <v>18000.0</v>
      </c>
      <c r="M521" s="14"/>
      <c r="N521" s="14">
        <f>L521-M521</f>
        <v>18000</v>
      </c>
      <c r="O521" s="9" t="s">
        <v>40</v>
      </c>
      <c r="P521" s="9" t="s">
        <v>41</v>
      </c>
      <c r="Q521" s="9" t="s">
        <v>42</v>
      </c>
      <c r="R521" s="7" t="s">
        <v>2169</v>
      </c>
      <c r="S521" s="7" t="s">
        <v>42</v>
      </c>
    </row>
    <row r="522" spans="1:19">
      <c r="A522" s="8">
        <v>515</v>
      </c>
      <c r="B522" s="8" t="s">
        <v>800</v>
      </c>
      <c r="C522" s="8" t="s">
        <v>799</v>
      </c>
      <c r="D522" s="8" t="s">
        <v>652</v>
      </c>
      <c r="E522" s="8" t="s">
        <v>68</v>
      </c>
      <c r="F522" s="6" t="s">
        <v>39</v>
      </c>
      <c r="G522" s="10">
        <v>1</v>
      </c>
      <c r="H522" s="10">
        <v>1</v>
      </c>
      <c r="I522" s="13">
        <v>8000.0</v>
      </c>
      <c r="J522" s="13"/>
      <c r="K522" s="15">
        <f>IF(I522&gt;0, J522/I522, 0)</f>
        <v>0</v>
      </c>
      <c r="L522" s="13">
        <v>8000.0</v>
      </c>
      <c r="M522" s="13"/>
      <c r="N522" s="13">
        <f>L522-M522</f>
        <v>8000</v>
      </c>
      <c r="O522" s="8" t="s">
        <v>40</v>
      </c>
      <c r="P522" s="8" t="s">
        <v>71</v>
      </c>
      <c r="Q522" s="8" t="s">
        <v>42</v>
      </c>
      <c r="R522" s="6" t="s">
        <v>2190</v>
      </c>
      <c r="S522" s="6" t="s">
        <v>42</v>
      </c>
    </row>
    <row r="523" spans="1:19">
      <c r="A523" s="9">
        <v>516</v>
      </c>
      <c r="B523" s="9" t="s">
        <v>801</v>
      </c>
      <c r="C523" s="9" t="s">
        <v>799</v>
      </c>
      <c r="D523" s="9" t="s">
        <v>652</v>
      </c>
      <c r="E523" s="9" t="s">
        <v>33</v>
      </c>
      <c r="F523" s="7" t="s">
        <v>39</v>
      </c>
      <c r="G523" s="11">
        <v>1</v>
      </c>
      <c r="H523" s="11">
        <v>1</v>
      </c>
      <c r="I523" s="14">
        <v>8000.0</v>
      </c>
      <c r="J523" s="14"/>
      <c r="K523" s="16">
        <f>IF(I523&gt;0, J523/I523, 0)</f>
        <v>0</v>
      </c>
      <c r="L523" s="14">
        <v>8000.0</v>
      </c>
      <c r="M523" s="14"/>
      <c r="N523" s="14">
        <f>L523-M523</f>
        <v>8000</v>
      </c>
      <c r="O523" s="9" t="s">
        <v>40</v>
      </c>
      <c r="P523" s="9" t="s">
        <v>41</v>
      </c>
      <c r="Q523" s="9" t="s">
        <v>42</v>
      </c>
      <c r="R523" s="7" t="s">
        <v>2122</v>
      </c>
      <c r="S523" s="7" t="s">
        <v>42</v>
      </c>
    </row>
    <row r="524" spans="1:19">
      <c r="A524" s="8">
        <v>517</v>
      </c>
      <c r="B524" s="8" t="s">
        <v>802</v>
      </c>
      <c r="C524" s="8" t="s">
        <v>799</v>
      </c>
      <c r="D524" s="8" t="s">
        <v>652</v>
      </c>
      <c r="E524" s="8" t="s">
        <v>33</v>
      </c>
      <c r="F524" s="6" t="s">
        <v>39</v>
      </c>
      <c r="G524" s="10">
        <v>1</v>
      </c>
      <c r="H524" s="10">
        <v>1</v>
      </c>
      <c r="I524" s="13">
        <v>8000.0</v>
      </c>
      <c r="J524" s="13"/>
      <c r="K524" s="15">
        <f>IF(I524&gt;0, J524/I524, 0)</f>
        <v>0</v>
      </c>
      <c r="L524" s="13">
        <v>8000.0</v>
      </c>
      <c r="M524" s="13"/>
      <c r="N524" s="13">
        <f>L524-M524</f>
        <v>8000</v>
      </c>
      <c r="O524" s="8" t="s">
        <v>40</v>
      </c>
      <c r="P524" s="8" t="s">
        <v>41</v>
      </c>
      <c r="Q524" s="8" t="s">
        <v>42</v>
      </c>
      <c r="R524" s="6" t="s">
        <v>2116</v>
      </c>
      <c r="S524" s="6" t="s">
        <v>42</v>
      </c>
    </row>
    <row r="525" spans="1:19">
      <c r="A525" s="9">
        <v>518</v>
      </c>
      <c r="B525" s="9" t="s">
        <v>803</v>
      </c>
      <c r="C525" s="9" t="s">
        <v>799</v>
      </c>
      <c r="D525" s="9" t="s">
        <v>652</v>
      </c>
      <c r="E525" s="9" t="s">
        <v>33</v>
      </c>
      <c r="F525" s="7" t="s">
        <v>39</v>
      </c>
      <c r="G525" s="11">
        <v>1</v>
      </c>
      <c r="H525" s="11">
        <v>1</v>
      </c>
      <c r="I525" s="14">
        <v>7000.0</v>
      </c>
      <c r="J525" s="14"/>
      <c r="K525" s="16">
        <f>IF(I525&gt;0, J525/I525, 0)</f>
        <v>0</v>
      </c>
      <c r="L525" s="14">
        <v>7000.0</v>
      </c>
      <c r="M525" s="14"/>
      <c r="N525" s="14">
        <f>L525-M525</f>
        <v>7000</v>
      </c>
      <c r="O525" s="9" t="s">
        <v>40</v>
      </c>
      <c r="P525" s="9" t="s">
        <v>41</v>
      </c>
      <c r="Q525" s="9" t="s">
        <v>42</v>
      </c>
      <c r="R525" s="7" t="s">
        <v>2155</v>
      </c>
      <c r="S525" s="7" t="s">
        <v>42</v>
      </c>
    </row>
    <row r="526" spans="1:19">
      <c r="A526" s="8">
        <v>519</v>
      </c>
      <c r="B526" s="8" t="s">
        <v>804</v>
      </c>
      <c r="C526" s="8" t="s">
        <v>799</v>
      </c>
      <c r="D526" s="8" t="s">
        <v>652</v>
      </c>
      <c r="E526" s="8" t="s">
        <v>33</v>
      </c>
      <c r="F526" s="6" t="s">
        <v>39</v>
      </c>
      <c r="G526" s="10">
        <v>1</v>
      </c>
      <c r="H526" s="10">
        <v>1</v>
      </c>
      <c r="I526" s="13">
        <v>16500.0</v>
      </c>
      <c r="J526" s="13"/>
      <c r="K526" s="15">
        <f>IF(I526&gt;0, J526/I526, 0)</f>
        <v>0</v>
      </c>
      <c r="L526" s="13">
        <v>16500.0</v>
      </c>
      <c r="M526" s="13"/>
      <c r="N526" s="13">
        <f>L526-M526</f>
        <v>16500</v>
      </c>
      <c r="O526" s="8" t="s">
        <v>40</v>
      </c>
      <c r="P526" s="8" t="s">
        <v>41</v>
      </c>
      <c r="Q526" s="8" t="s">
        <v>42</v>
      </c>
      <c r="R526" s="6" t="s">
        <v>2126</v>
      </c>
      <c r="S526" s="6" t="s">
        <v>42</v>
      </c>
    </row>
    <row r="527" spans="1:19">
      <c r="A527" s="9">
        <v>520</v>
      </c>
      <c r="B527" s="9" t="s">
        <v>805</v>
      </c>
      <c r="C527" s="9" t="s">
        <v>799</v>
      </c>
      <c r="D527" s="9" t="s">
        <v>652</v>
      </c>
      <c r="E527" s="9" t="s">
        <v>68</v>
      </c>
      <c r="F527" s="7" t="s">
        <v>39</v>
      </c>
      <c r="G527" s="11">
        <v>1</v>
      </c>
      <c r="H527" s="11">
        <v>1</v>
      </c>
      <c r="I527" s="14">
        <v>9000.0</v>
      </c>
      <c r="J527" s="14"/>
      <c r="K527" s="16">
        <f>IF(I527&gt;0, J527/I527, 0)</f>
        <v>0</v>
      </c>
      <c r="L527" s="14">
        <v>9000.0</v>
      </c>
      <c r="M527" s="14"/>
      <c r="N527" s="14">
        <f>L527-M527</f>
        <v>9000</v>
      </c>
      <c r="O527" s="9" t="s">
        <v>40</v>
      </c>
      <c r="P527" s="9" t="s">
        <v>71</v>
      </c>
      <c r="Q527" s="9" t="s">
        <v>42</v>
      </c>
      <c r="R527" s="7" t="s">
        <v>2106</v>
      </c>
      <c r="S527" s="7" t="s">
        <v>42</v>
      </c>
    </row>
    <row r="528" spans="1:19">
      <c r="A528" s="8">
        <v>521</v>
      </c>
      <c r="B528" s="8" t="s">
        <v>806</v>
      </c>
      <c r="C528" s="8" t="s">
        <v>799</v>
      </c>
      <c r="D528" s="8" t="s">
        <v>652</v>
      </c>
      <c r="E528" s="8" t="s">
        <v>33</v>
      </c>
      <c r="F528" s="6" t="s">
        <v>39</v>
      </c>
      <c r="G528" s="10">
        <v>1</v>
      </c>
      <c r="H528" s="10">
        <v>1</v>
      </c>
      <c r="I528" s="13">
        <v>18000.0</v>
      </c>
      <c r="J528" s="13"/>
      <c r="K528" s="15">
        <f>IF(I528&gt;0, J528/I528, 0)</f>
        <v>0</v>
      </c>
      <c r="L528" s="13">
        <v>18000.0</v>
      </c>
      <c r="M528" s="13"/>
      <c r="N528" s="13">
        <f>L528-M528</f>
        <v>18000</v>
      </c>
      <c r="O528" s="8" t="s">
        <v>40</v>
      </c>
      <c r="P528" s="8" t="s">
        <v>41</v>
      </c>
      <c r="Q528" s="8" t="s">
        <v>42</v>
      </c>
      <c r="R528" s="6" t="s">
        <v>2222</v>
      </c>
      <c r="S528" s="6" t="s">
        <v>42</v>
      </c>
    </row>
    <row r="529" spans="1:19">
      <c r="A529" s="9">
        <v>522</v>
      </c>
      <c r="B529" s="9" t="s">
        <v>808</v>
      </c>
      <c r="C529" s="9" t="s">
        <v>799</v>
      </c>
      <c r="D529" s="9" t="s">
        <v>652</v>
      </c>
      <c r="E529" s="9" t="s">
        <v>33</v>
      </c>
      <c r="F529" s="7" t="s">
        <v>39</v>
      </c>
      <c r="G529" s="11">
        <v>1</v>
      </c>
      <c r="H529" s="11">
        <v>1</v>
      </c>
      <c r="I529" s="14">
        <v>16500.0</v>
      </c>
      <c r="J529" s="14"/>
      <c r="K529" s="16">
        <f>IF(I529&gt;0, J529/I529, 0)</f>
        <v>0</v>
      </c>
      <c r="L529" s="14">
        <v>16500.0</v>
      </c>
      <c r="M529" s="14"/>
      <c r="N529" s="14">
        <f>L529-M529</f>
        <v>16500</v>
      </c>
      <c r="O529" s="9" t="s">
        <v>40</v>
      </c>
      <c r="P529" s="9" t="s">
        <v>41</v>
      </c>
      <c r="Q529" s="9" t="s">
        <v>42</v>
      </c>
      <c r="R529" s="7" t="s">
        <v>2124</v>
      </c>
      <c r="S529" s="7" t="s">
        <v>42</v>
      </c>
    </row>
    <row r="530" spans="1:19">
      <c r="A530" s="8">
        <v>523</v>
      </c>
      <c r="B530" s="8" t="s">
        <v>809</v>
      </c>
      <c r="C530" s="8" t="s">
        <v>799</v>
      </c>
      <c r="D530" s="8" t="s">
        <v>652</v>
      </c>
      <c r="E530" s="8" t="s">
        <v>33</v>
      </c>
      <c r="F530" s="6" t="s">
        <v>39</v>
      </c>
      <c r="G530" s="10">
        <v>1</v>
      </c>
      <c r="H530" s="10">
        <v>1</v>
      </c>
      <c r="I530" s="13">
        <v>9000.0</v>
      </c>
      <c r="J530" s="13"/>
      <c r="K530" s="15">
        <f>IF(I530&gt;0, J530/I530, 0)</f>
        <v>0</v>
      </c>
      <c r="L530" s="13">
        <v>9000.0</v>
      </c>
      <c r="M530" s="13"/>
      <c r="N530" s="13">
        <f>L530-M530</f>
        <v>9000</v>
      </c>
      <c r="O530" s="8" t="s">
        <v>40</v>
      </c>
      <c r="P530" s="8" t="s">
        <v>41</v>
      </c>
      <c r="Q530" s="8" t="s">
        <v>42</v>
      </c>
      <c r="R530" s="6" t="s">
        <v>2172</v>
      </c>
      <c r="S530" s="6" t="s">
        <v>42</v>
      </c>
    </row>
    <row r="531" spans="1:19">
      <c r="A531" s="9">
        <v>524</v>
      </c>
      <c r="B531" s="9" t="s">
        <v>810</v>
      </c>
      <c r="C531" s="9" t="s">
        <v>799</v>
      </c>
      <c r="D531" s="9" t="s">
        <v>652</v>
      </c>
      <c r="E531" s="9" t="s">
        <v>33</v>
      </c>
      <c r="F531" s="7" t="s">
        <v>39</v>
      </c>
      <c r="G531" s="11">
        <v>1</v>
      </c>
      <c r="H531" s="11">
        <v>1</v>
      </c>
      <c r="I531" s="14">
        <v>8000.0</v>
      </c>
      <c r="J531" s="14"/>
      <c r="K531" s="16">
        <f>IF(I531&gt;0, J531/I531, 0)</f>
        <v>0</v>
      </c>
      <c r="L531" s="14">
        <v>8000.0</v>
      </c>
      <c r="M531" s="14"/>
      <c r="N531" s="14">
        <f>L531-M531</f>
        <v>8000</v>
      </c>
      <c r="O531" s="9" t="s">
        <v>40</v>
      </c>
      <c r="P531" s="9" t="s">
        <v>41</v>
      </c>
      <c r="Q531" s="9" t="s">
        <v>42</v>
      </c>
      <c r="R531" s="7" t="s">
        <v>2122</v>
      </c>
      <c r="S531" s="7" t="s">
        <v>42</v>
      </c>
    </row>
    <row r="532" spans="1:19">
      <c r="A532" s="8">
        <v>525</v>
      </c>
      <c r="B532" s="8" t="s">
        <v>811</v>
      </c>
      <c r="C532" s="8" t="s">
        <v>799</v>
      </c>
      <c r="D532" s="8" t="s">
        <v>652</v>
      </c>
      <c r="E532" s="8" t="s">
        <v>33</v>
      </c>
      <c r="F532" s="6" t="s">
        <v>39</v>
      </c>
      <c r="G532" s="10">
        <v>1</v>
      </c>
      <c r="H532" s="10">
        <v>1</v>
      </c>
      <c r="I532" s="13">
        <v>8500.0</v>
      </c>
      <c r="J532" s="13"/>
      <c r="K532" s="15">
        <f>IF(I532&gt;0, J532/I532, 0)</f>
        <v>0</v>
      </c>
      <c r="L532" s="13">
        <v>8500.0</v>
      </c>
      <c r="M532" s="13"/>
      <c r="N532" s="13">
        <f>L532-M532</f>
        <v>8500</v>
      </c>
      <c r="O532" s="8" t="s">
        <v>40</v>
      </c>
      <c r="P532" s="8" t="s">
        <v>41</v>
      </c>
      <c r="Q532" s="8" t="s">
        <v>42</v>
      </c>
      <c r="R532" s="6" t="s">
        <v>2078</v>
      </c>
      <c r="S532" s="6" t="s">
        <v>42</v>
      </c>
    </row>
    <row r="533" spans="1:19">
      <c r="A533" s="9">
        <v>526</v>
      </c>
      <c r="B533" s="9" t="s">
        <v>812</v>
      </c>
      <c r="C533" s="9" t="s">
        <v>799</v>
      </c>
      <c r="D533" s="9" t="s">
        <v>652</v>
      </c>
      <c r="E533" s="9" t="s">
        <v>33</v>
      </c>
      <c r="F533" s="7" t="s">
        <v>39</v>
      </c>
      <c r="G533" s="11">
        <v>1</v>
      </c>
      <c r="H533" s="11">
        <v>1</v>
      </c>
      <c r="I533" s="14">
        <v>8000.0</v>
      </c>
      <c r="J533" s="14"/>
      <c r="K533" s="16">
        <f>IF(I533&gt;0, J533/I533, 0)</f>
        <v>0</v>
      </c>
      <c r="L533" s="14">
        <v>8000.0</v>
      </c>
      <c r="M533" s="14"/>
      <c r="N533" s="14">
        <f>L533-M533</f>
        <v>8000</v>
      </c>
      <c r="O533" s="9" t="s">
        <v>40</v>
      </c>
      <c r="P533" s="9" t="s">
        <v>41</v>
      </c>
      <c r="Q533" s="9" t="s">
        <v>42</v>
      </c>
      <c r="R533" s="7" t="s">
        <v>2167</v>
      </c>
      <c r="S533" s="7" t="s">
        <v>42</v>
      </c>
    </row>
    <row r="534" spans="1:19">
      <c r="A534" s="8">
        <v>527</v>
      </c>
      <c r="B534" s="8" t="s">
        <v>813</v>
      </c>
      <c r="C534" s="8" t="s">
        <v>799</v>
      </c>
      <c r="D534" s="8" t="s">
        <v>652</v>
      </c>
      <c r="E534" s="8" t="s">
        <v>33</v>
      </c>
      <c r="F534" s="6" t="s">
        <v>39</v>
      </c>
      <c r="G534" s="10">
        <v>1</v>
      </c>
      <c r="H534" s="10">
        <v>1</v>
      </c>
      <c r="I534" s="13">
        <v>9000.0</v>
      </c>
      <c r="J534" s="13"/>
      <c r="K534" s="15">
        <f>IF(I534&gt;0, J534/I534, 0)</f>
        <v>0</v>
      </c>
      <c r="L534" s="13">
        <v>9000.0</v>
      </c>
      <c r="M534" s="13"/>
      <c r="N534" s="13">
        <f>L534-M534</f>
        <v>9000</v>
      </c>
      <c r="O534" s="8" t="s">
        <v>40</v>
      </c>
      <c r="P534" s="8" t="s">
        <v>41</v>
      </c>
      <c r="Q534" s="8" t="s">
        <v>42</v>
      </c>
      <c r="R534" s="6" t="s">
        <v>2200</v>
      </c>
      <c r="S534" s="6" t="s">
        <v>42</v>
      </c>
    </row>
    <row r="535" spans="1:19">
      <c r="A535" s="9">
        <v>528</v>
      </c>
      <c r="B535" s="9" t="s">
        <v>814</v>
      </c>
      <c r="C535" s="9" t="s">
        <v>799</v>
      </c>
      <c r="D535" s="9" t="s">
        <v>652</v>
      </c>
      <c r="E535" s="9" t="s">
        <v>33</v>
      </c>
      <c r="F535" s="7" t="s">
        <v>39</v>
      </c>
      <c r="G535" s="11">
        <v>1</v>
      </c>
      <c r="H535" s="11">
        <v>1</v>
      </c>
      <c r="I535" s="14">
        <v>7000.0</v>
      </c>
      <c r="J535" s="14"/>
      <c r="K535" s="16">
        <f>IF(I535&gt;0, J535/I535, 0)</f>
        <v>0</v>
      </c>
      <c r="L535" s="14">
        <v>7000.0</v>
      </c>
      <c r="M535" s="14"/>
      <c r="N535" s="14">
        <f>L535-M535</f>
        <v>7000</v>
      </c>
      <c r="O535" s="9" t="s">
        <v>40</v>
      </c>
      <c r="P535" s="9" t="s">
        <v>41</v>
      </c>
      <c r="Q535" s="9" t="s">
        <v>42</v>
      </c>
      <c r="R535" s="7" t="s">
        <v>2155</v>
      </c>
      <c r="S535" s="7" t="s">
        <v>42</v>
      </c>
    </row>
    <row r="536" spans="1:19">
      <c r="A536" s="8">
        <v>529</v>
      </c>
      <c r="B536" s="8" t="s">
        <v>815</v>
      </c>
      <c r="C536" s="8" t="s">
        <v>799</v>
      </c>
      <c r="D536" s="8" t="s">
        <v>652</v>
      </c>
      <c r="E536" s="8" t="s">
        <v>33</v>
      </c>
      <c r="F536" s="6" t="s">
        <v>39</v>
      </c>
      <c r="G536" s="10">
        <v>1</v>
      </c>
      <c r="H536" s="10">
        <v>1</v>
      </c>
      <c r="I536" s="13">
        <v>18000.0</v>
      </c>
      <c r="J536" s="13"/>
      <c r="K536" s="15">
        <f>IF(I536&gt;0, J536/I536, 0)</f>
        <v>0</v>
      </c>
      <c r="L536" s="13">
        <v>18000.0</v>
      </c>
      <c r="M536" s="13"/>
      <c r="N536" s="13">
        <f>L536-M536</f>
        <v>18000</v>
      </c>
      <c r="O536" s="8" t="s">
        <v>40</v>
      </c>
      <c r="P536" s="8" t="s">
        <v>41</v>
      </c>
      <c r="Q536" s="8" t="s">
        <v>42</v>
      </c>
      <c r="R536" s="6" t="s">
        <v>2166</v>
      </c>
      <c r="S536" s="6" t="s">
        <v>42</v>
      </c>
    </row>
    <row r="537" spans="1:19">
      <c r="A537" s="9">
        <v>530</v>
      </c>
      <c r="B537" s="9" t="s">
        <v>816</v>
      </c>
      <c r="C537" s="9" t="s">
        <v>799</v>
      </c>
      <c r="D537" s="9" t="s">
        <v>652</v>
      </c>
      <c r="E537" s="9" t="s">
        <v>33</v>
      </c>
      <c r="F537" s="7" t="s">
        <v>39</v>
      </c>
      <c r="G537" s="11">
        <v>1</v>
      </c>
      <c r="H537" s="11">
        <v>1</v>
      </c>
      <c r="I537" s="14">
        <v>18000.0</v>
      </c>
      <c r="J537" s="14"/>
      <c r="K537" s="16">
        <f>IF(I537&gt;0, J537/I537, 0)</f>
        <v>0</v>
      </c>
      <c r="L537" s="14">
        <v>18000.0</v>
      </c>
      <c r="M537" s="14"/>
      <c r="N537" s="14">
        <f>L537-M537</f>
        <v>18000</v>
      </c>
      <c r="O537" s="9" t="s">
        <v>40</v>
      </c>
      <c r="P537" s="9" t="s">
        <v>41</v>
      </c>
      <c r="Q537" s="9" t="s">
        <v>42</v>
      </c>
      <c r="R537" s="7" t="s">
        <v>2169</v>
      </c>
      <c r="S537" s="7" t="s">
        <v>42</v>
      </c>
    </row>
    <row r="538" spans="1:19">
      <c r="A538" s="8">
        <v>531</v>
      </c>
      <c r="B538" s="8" t="s">
        <v>817</v>
      </c>
      <c r="C538" s="8" t="s">
        <v>799</v>
      </c>
      <c r="D538" s="8" t="s">
        <v>652</v>
      </c>
      <c r="E538" s="8" t="s">
        <v>33</v>
      </c>
      <c r="F538" s="6" t="s">
        <v>39</v>
      </c>
      <c r="G538" s="10">
        <v>1</v>
      </c>
      <c r="H538" s="10">
        <v>1</v>
      </c>
      <c r="I538" s="13">
        <v>8000.0</v>
      </c>
      <c r="J538" s="13"/>
      <c r="K538" s="15">
        <f>IF(I538&gt;0, J538/I538, 0)</f>
        <v>0</v>
      </c>
      <c r="L538" s="13">
        <v>8000.0</v>
      </c>
      <c r="M538" s="13"/>
      <c r="N538" s="13">
        <f>L538-M538</f>
        <v>8000</v>
      </c>
      <c r="O538" s="8" t="s">
        <v>40</v>
      </c>
      <c r="P538" s="8" t="s">
        <v>41</v>
      </c>
      <c r="Q538" s="8" t="s">
        <v>42</v>
      </c>
      <c r="R538" s="6" t="s">
        <v>2122</v>
      </c>
      <c r="S538" s="6" t="s">
        <v>42</v>
      </c>
    </row>
    <row r="539" spans="1:19">
      <c r="A539" s="9">
        <v>532</v>
      </c>
      <c r="B539" s="9" t="s">
        <v>818</v>
      </c>
      <c r="C539" s="9" t="s">
        <v>799</v>
      </c>
      <c r="D539" s="9" t="s">
        <v>652</v>
      </c>
      <c r="E539" s="9" t="s">
        <v>33</v>
      </c>
      <c r="F539" s="7" t="s">
        <v>39</v>
      </c>
      <c r="G539" s="11">
        <v>1</v>
      </c>
      <c r="H539" s="11">
        <v>1</v>
      </c>
      <c r="I539" s="14">
        <v>8500.0</v>
      </c>
      <c r="J539" s="14"/>
      <c r="K539" s="16">
        <f>IF(I539&gt;0, J539/I539, 0)</f>
        <v>0</v>
      </c>
      <c r="L539" s="14">
        <v>8500.0</v>
      </c>
      <c r="M539" s="14"/>
      <c r="N539" s="14">
        <f>L539-M539</f>
        <v>8500</v>
      </c>
      <c r="O539" s="9" t="s">
        <v>40</v>
      </c>
      <c r="P539" s="9" t="s">
        <v>41</v>
      </c>
      <c r="Q539" s="9" t="s">
        <v>42</v>
      </c>
      <c r="R539" s="7" t="s">
        <v>2099</v>
      </c>
      <c r="S539" s="7" t="s">
        <v>42</v>
      </c>
    </row>
    <row r="540" spans="1:19">
      <c r="A540" s="8">
        <v>533</v>
      </c>
      <c r="B540" s="8" t="s">
        <v>819</v>
      </c>
      <c r="C540" s="8" t="s">
        <v>799</v>
      </c>
      <c r="D540" s="8" t="s">
        <v>652</v>
      </c>
      <c r="E540" s="8" t="s">
        <v>33</v>
      </c>
      <c r="F540" s="6" t="s">
        <v>39</v>
      </c>
      <c r="G540" s="10">
        <v>1</v>
      </c>
      <c r="H540" s="10">
        <v>1</v>
      </c>
      <c r="I540" s="13">
        <v>7500.0</v>
      </c>
      <c r="J540" s="13"/>
      <c r="K540" s="15">
        <f>IF(I540&gt;0, J540/I540, 0)</f>
        <v>0</v>
      </c>
      <c r="L540" s="13">
        <v>7500.0</v>
      </c>
      <c r="M540" s="13"/>
      <c r="N540" s="13">
        <f>L540-M540</f>
        <v>7500</v>
      </c>
      <c r="O540" s="8" t="s">
        <v>40</v>
      </c>
      <c r="P540" s="8" t="s">
        <v>41</v>
      </c>
      <c r="Q540" s="8" t="s">
        <v>42</v>
      </c>
      <c r="R540" s="6" t="s">
        <v>2100</v>
      </c>
      <c r="S540" s="6" t="s">
        <v>42</v>
      </c>
    </row>
    <row r="541" spans="1:19">
      <c r="A541" s="9">
        <v>534</v>
      </c>
      <c r="B541" s="9" t="s">
        <v>820</v>
      </c>
      <c r="C541" s="9" t="s">
        <v>799</v>
      </c>
      <c r="D541" s="9" t="s">
        <v>652</v>
      </c>
      <c r="E541" s="9" t="s">
        <v>33</v>
      </c>
      <c r="F541" s="7" t="s">
        <v>39</v>
      </c>
      <c r="G541" s="11">
        <v>1</v>
      </c>
      <c r="H541" s="11">
        <v>1</v>
      </c>
      <c r="I541" s="14">
        <v>8000.0</v>
      </c>
      <c r="J541" s="14"/>
      <c r="K541" s="16">
        <f>IF(I541&gt;0, J541/I541, 0)</f>
        <v>0</v>
      </c>
      <c r="L541" s="14">
        <v>8000.0</v>
      </c>
      <c r="M541" s="14"/>
      <c r="N541" s="14">
        <f>L541-M541</f>
        <v>8000</v>
      </c>
      <c r="O541" s="9" t="s">
        <v>40</v>
      </c>
      <c r="P541" s="9" t="s">
        <v>41</v>
      </c>
      <c r="Q541" s="9" t="s">
        <v>42</v>
      </c>
      <c r="R541" s="7" t="s">
        <v>2099</v>
      </c>
      <c r="S541" s="7" t="s">
        <v>42</v>
      </c>
    </row>
    <row r="542" spans="1:19">
      <c r="A542" s="8">
        <v>535</v>
      </c>
      <c r="B542" s="8" t="s">
        <v>821</v>
      </c>
      <c r="C542" s="8" t="s">
        <v>799</v>
      </c>
      <c r="D542" s="8" t="s">
        <v>652</v>
      </c>
      <c r="E542" s="8" t="s">
        <v>33</v>
      </c>
      <c r="F542" s="6" t="s">
        <v>39</v>
      </c>
      <c r="G542" s="10">
        <v>1</v>
      </c>
      <c r="H542" s="10">
        <v>1</v>
      </c>
      <c r="I542" s="13">
        <v>8000.0</v>
      </c>
      <c r="J542" s="13"/>
      <c r="K542" s="15">
        <f>IF(I542&gt;0, J542/I542, 0)</f>
        <v>0</v>
      </c>
      <c r="L542" s="13">
        <v>8000.0</v>
      </c>
      <c r="M542" s="13"/>
      <c r="N542" s="13">
        <f>L542-M542</f>
        <v>8000</v>
      </c>
      <c r="O542" s="8" t="s">
        <v>40</v>
      </c>
      <c r="P542" s="8" t="s">
        <v>41</v>
      </c>
      <c r="Q542" s="8" t="s">
        <v>42</v>
      </c>
      <c r="R542" s="6" t="s">
        <v>2076</v>
      </c>
      <c r="S542" s="6" t="s">
        <v>42</v>
      </c>
    </row>
    <row r="543" spans="1:19">
      <c r="A543" s="9">
        <v>536</v>
      </c>
      <c r="B543" s="9" t="s">
        <v>822</v>
      </c>
      <c r="C543" s="9" t="s">
        <v>799</v>
      </c>
      <c r="D543" s="9" t="s">
        <v>652</v>
      </c>
      <c r="E543" s="9" t="s">
        <v>33</v>
      </c>
      <c r="F543" s="7" t="s">
        <v>39</v>
      </c>
      <c r="G543" s="11">
        <v>1</v>
      </c>
      <c r="H543" s="11">
        <v>1</v>
      </c>
      <c r="I543" s="14">
        <v>7000.0</v>
      </c>
      <c r="J543" s="14"/>
      <c r="K543" s="16">
        <f>IF(I543&gt;0, J543/I543, 0)</f>
        <v>0</v>
      </c>
      <c r="L543" s="14">
        <v>7000.0</v>
      </c>
      <c r="M543" s="14"/>
      <c r="N543" s="14">
        <f>L543-M543</f>
        <v>7000</v>
      </c>
      <c r="O543" s="9" t="s">
        <v>40</v>
      </c>
      <c r="P543" s="9" t="s">
        <v>41</v>
      </c>
      <c r="Q543" s="9" t="s">
        <v>42</v>
      </c>
      <c r="R543" s="7" t="s">
        <v>2122</v>
      </c>
      <c r="S543" s="7" t="s">
        <v>42</v>
      </c>
    </row>
    <row r="544" spans="1:19">
      <c r="A544" s="8">
        <v>537</v>
      </c>
      <c r="B544" s="8" t="s">
        <v>823</v>
      </c>
      <c r="C544" s="8" t="s">
        <v>799</v>
      </c>
      <c r="D544" s="8" t="s">
        <v>652</v>
      </c>
      <c r="E544" s="8" t="s">
        <v>33</v>
      </c>
      <c r="F544" s="6" t="s">
        <v>39</v>
      </c>
      <c r="G544" s="10">
        <v>1</v>
      </c>
      <c r="H544" s="10">
        <v>1</v>
      </c>
      <c r="I544" s="13">
        <v>7000.0</v>
      </c>
      <c r="J544" s="13"/>
      <c r="K544" s="15">
        <f>IF(I544&gt;0, J544/I544, 0)</f>
        <v>0</v>
      </c>
      <c r="L544" s="13">
        <v>7000.0</v>
      </c>
      <c r="M544" s="13"/>
      <c r="N544" s="13">
        <f>L544-M544</f>
        <v>7000</v>
      </c>
      <c r="O544" s="8" t="s">
        <v>40</v>
      </c>
      <c r="P544" s="8" t="s">
        <v>41</v>
      </c>
      <c r="Q544" s="8" t="s">
        <v>42</v>
      </c>
      <c r="R544" s="6" t="s">
        <v>2107</v>
      </c>
      <c r="S544" s="6" t="s">
        <v>42</v>
      </c>
    </row>
    <row r="545" spans="1:19">
      <c r="A545" s="9">
        <v>538</v>
      </c>
      <c r="B545" s="9" t="s">
        <v>824</v>
      </c>
      <c r="C545" s="9" t="s">
        <v>799</v>
      </c>
      <c r="D545" s="9" t="s">
        <v>652</v>
      </c>
      <c r="E545" s="9" t="s">
        <v>68</v>
      </c>
      <c r="F545" s="7" t="s">
        <v>39</v>
      </c>
      <c r="G545" s="11">
        <v>1</v>
      </c>
      <c r="H545" s="11">
        <v>1</v>
      </c>
      <c r="I545" s="14">
        <v>8000.0</v>
      </c>
      <c r="J545" s="14"/>
      <c r="K545" s="16">
        <f>IF(I545&gt;0, J545/I545, 0)</f>
        <v>0</v>
      </c>
      <c r="L545" s="14">
        <v>8000.0</v>
      </c>
      <c r="M545" s="14"/>
      <c r="N545" s="14">
        <f>L545-M545</f>
        <v>8000</v>
      </c>
      <c r="O545" s="9" t="s">
        <v>40</v>
      </c>
      <c r="P545" s="9" t="s">
        <v>71</v>
      </c>
      <c r="Q545" s="9" t="s">
        <v>42</v>
      </c>
      <c r="R545" s="7" t="s">
        <v>2190</v>
      </c>
      <c r="S545" s="7" t="s">
        <v>42</v>
      </c>
    </row>
    <row r="546" spans="1:19">
      <c r="A546" s="8">
        <v>539</v>
      </c>
      <c r="B546" s="8" t="s">
        <v>825</v>
      </c>
      <c r="C546" s="8" t="s">
        <v>799</v>
      </c>
      <c r="D546" s="8" t="s">
        <v>652</v>
      </c>
      <c r="E546" s="8" t="s">
        <v>33</v>
      </c>
      <c r="F546" s="6" t="s">
        <v>39</v>
      </c>
      <c r="G546" s="10">
        <v>1</v>
      </c>
      <c r="H546" s="10">
        <v>1</v>
      </c>
      <c r="I546" s="13">
        <v>8000.0</v>
      </c>
      <c r="J546" s="13"/>
      <c r="K546" s="15">
        <f>IF(I546&gt;0, J546/I546, 0)</f>
        <v>0</v>
      </c>
      <c r="L546" s="13">
        <v>8000.0</v>
      </c>
      <c r="M546" s="13"/>
      <c r="N546" s="13">
        <f>L546-M546</f>
        <v>8000</v>
      </c>
      <c r="O546" s="8" t="s">
        <v>40</v>
      </c>
      <c r="P546" s="8" t="s">
        <v>41</v>
      </c>
      <c r="Q546" s="8" t="s">
        <v>42</v>
      </c>
      <c r="R546" s="6" t="s">
        <v>2189</v>
      </c>
      <c r="S546" s="6" t="s">
        <v>42</v>
      </c>
    </row>
    <row r="547" spans="1:19">
      <c r="A547" s="9">
        <v>540</v>
      </c>
      <c r="B547" s="9" t="s">
        <v>826</v>
      </c>
      <c r="C547" s="9" t="s">
        <v>799</v>
      </c>
      <c r="D547" s="9" t="s">
        <v>652</v>
      </c>
      <c r="E547" s="9" t="s">
        <v>33</v>
      </c>
      <c r="F547" s="7" t="s">
        <v>39</v>
      </c>
      <c r="G547" s="11">
        <v>1</v>
      </c>
      <c r="H547" s="11">
        <v>1</v>
      </c>
      <c r="I547" s="14">
        <v>7000.0</v>
      </c>
      <c r="J547" s="14"/>
      <c r="K547" s="16">
        <f>IF(I547&gt;0, J547/I547, 0)</f>
        <v>0</v>
      </c>
      <c r="L547" s="14">
        <v>7000.0</v>
      </c>
      <c r="M547" s="14"/>
      <c r="N547" s="14">
        <f>L547-M547</f>
        <v>7000</v>
      </c>
      <c r="O547" s="9" t="s">
        <v>40</v>
      </c>
      <c r="P547" s="9" t="s">
        <v>41</v>
      </c>
      <c r="Q547" s="9" t="s">
        <v>42</v>
      </c>
      <c r="R547" s="7" t="s">
        <v>2131</v>
      </c>
      <c r="S547" s="7" t="s">
        <v>42</v>
      </c>
    </row>
    <row r="548" spans="1:19">
      <c r="A548" s="8">
        <v>541</v>
      </c>
      <c r="B548" s="8" t="s">
        <v>827</v>
      </c>
      <c r="C548" s="8" t="s">
        <v>828</v>
      </c>
      <c r="D548" s="8" t="s">
        <v>652</v>
      </c>
      <c r="E548" s="8" t="s">
        <v>68</v>
      </c>
      <c r="F548" s="6" t="s">
        <v>39</v>
      </c>
      <c r="G548" s="10">
        <v>1</v>
      </c>
      <c r="H548" s="10">
        <v>1</v>
      </c>
      <c r="I548" s="13">
        <v>8000.0</v>
      </c>
      <c r="J548" s="13">
        <v>800.0</v>
      </c>
      <c r="K548" s="15">
        <f>IF(I548&gt;0, J548/I548, 0)</f>
        <v>0.1</v>
      </c>
      <c r="L548" s="13">
        <v>7200.0</v>
      </c>
      <c r="M548" s="13"/>
      <c r="N548" s="13">
        <f>L548-M548</f>
        <v>7200</v>
      </c>
      <c r="O548" s="8" t="s">
        <v>40</v>
      </c>
      <c r="P548" s="8" t="s">
        <v>71</v>
      </c>
      <c r="Q548" s="8" t="s">
        <v>42</v>
      </c>
      <c r="R548" s="6" t="s">
        <v>2194</v>
      </c>
      <c r="S548" s="6" t="s">
        <v>42</v>
      </c>
    </row>
    <row r="549" spans="1:19">
      <c r="A549" s="9">
        <v>542</v>
      </c>
      <c r="B549" s="9" t="s">
        <v>829</v>
      </c>
      <c r="C549" s="9" t="s">
        <v>828</v>
      </c>
      <c r="D549" s="9" t="s">
        <v>652</v>
      </c>
      <c r="E549" s="9" t="s">
        <v>33</v>
      </c>
      <c r="F549" s="7" t="s">
        <v>39</v>
      </c>
      <c r="G549" s="11">
        <v>1</v>
      </c>
      <c r="H549" s="11">
        <v>1</v>
      </c>
      <c r="I549" s="14">
        <v>8000.0</v>
      </c>
      <c r="J549" s="14">
        <v>800.0</v>
      </c>
      <c r="K549" s="16">
        <f>IF(I549&gt;0, J549/I549, 0)</f>
        <v>0.1</v>
      </c>
      <c r="L549" s="14">
        <v>7200.0</v>
      </c>
      <c r="M549" s="14"/>
      <c r="N549" s="14">
        <f>L549-M549</f>
        <v>7200</v>
      </c>
      <c r="O549" s="9" t="s">
        <v>40</v>
      </c>
      <c r="P549" s="9" t="s">
        <v>41</v>
      </c>
      <c r="Q549" s="9" t="s">
        <v>42</v>
      </c>
      <c r="R549" s="7" t="s">
        <v>2163</v>
      </c>
      <c r="S549" s="7" t="s">
        <v>42</v>
      </c>
    </row>
    <row r="550" spans="1:19">
      <c r="A550" s="8">
        <v>543</v>
      </c>
      <c r="B550" s="8" t="s">
        <v>830</v>
      </c>
      <c r="C550" s="8" t="s">
        <v>828</v>
      </c>
      <c r="D550" s="8" t="s">
        <v>652</v>
      </c>
      <c r="E550" s="8" t="s">
        <v>33</v>
      </c>
      <c r="F550" s="6" t="s">
        <v>39</v>
      </c>
      <c r="G550" s="10">
        <v>1</v>
      </c>
      <c r="H550" s="10">
        <v>1</v>
      </c>
      <c r="I550" s="13">
        <v>8000.0</v>
      </c>
      <c r="J550" s="13">
        <v>800.0</v>
      </c>
      <c r="K550" s="15">
        <f>IF(I550&gt;0, J550/I550, 0)</f>
        <v>0.1</v>
      </c>
      <c r="L550" s="13">
        <v>7200.0</v>
      </c>
      <c r="M550" s="13"/>
      <c r="N550" s="13">
        <f>L550-M550</f>
        <v>7200</v>
      </c>
      <c r="O550" s="8" t="s">
        <v>40</v>
      </c>
      <c r="P550" s="8" t="s">
        <v>41</v>
      </c>
      <c r="Q550" s="8" t="s">
        <v>42</v>
      </c>
      <c r="R550" s="6" t="s">
        <v>2141</v>
      </c>
      <c r="S550" s="6" t="s">
        <v>42</v>
      </c>
    </row>
    <row r="551" spans="1:19">
      <c r="A551" s="9">
        <v>544</v>
      </c>
      <c r="B551" s="9" t="s">
        <v>831</v>
      </c>
      <c r="C551" s="9" t="s">
        <v>828</v>
      </c>
      <c r="D551" s="9" t="s">
        <v>652</v>
      </c>
      <c r="E551" s="9" t="s">
        <v>68</v>
      </c>
      <c r="F551" s="7" t="s">
        <v>39</v>
      </c>
      <c r="G551" s="11">
        <v>1</v>
      </c>
      <c r="H551" s="11">
        <v>2</v>
      </c>
      <c r="I551" s="14">
        <v>36000.0</v>
      </c>
      <c r="J551" s="14"/>
      <c r="K551" s="16">
        <f>IF(I551&gt;0, J551/I551, 0)</f>
        <v>0</v>
      </c>
      <c r="L551" s="14">
        <v>36000.0</v>
      </c>
      <c r="M551" s="14"/>
      <c r="N551" s="14">
        <f>L551-M551</f>
        <v>36000</v>
      </c>
      <c r="O551" s="9" t="s">
        <v>40</v>
      </c>
      <c r="P551" s="9" t="s">
        <v>71</v>
      </c>
      <c r="Q551" s="9" t="s">
        <v>42</v>
      </c>
      <c r="R551" s="7" t="s">
        <v>2223</v>
      </c>
      <c r="S551" s="7" t="s">
        <v>42</v>
      </c>
    </row>
    <row r="552" spans="1:19">
      <c r="A552" s="8">
        <v>545</v>
      </c>
      <c r="B552" s="8" t="s">
        <v>832</v>
      </c>
      <c r="C552" s="8" t="s">
        <v>828</v>
      </c>
      <c r="D552" s="8" t="s">
        <v>652</v>
      </c>
      <c r="E552" s="8" t="s">
        <v>33</v>
      </c>
      <c r="F552" s="6" t="s">
        <v>39</v>
      </c>
      <c r="G552" s="10">
        <v>1</v>
      </c>
      <c r="H552" s="10">
        <v>1</v>
      </c>
      <c r="I552" s="13">
        <v>8500.0</v>
      </c>
      <c r="J552" s="13"/>
      <c r="K552" s="15">
        <f>IF(I552&gt;0, J552/I552, 0)</f>
        <v>0</v>
      </c>
      <c r="L552" s="13">
        <v>8500.0</v>
      </c>
      <c r="M552" s="13"/>
      <c r="N552" s="13">
        <f>L552-M552</f>
        <v>8500</v>
      </c>
      <c r="O552" s="8" t="s">
        <v>40</v>
      </c>
      <c r="P552" s="8" t="s">
        <v>41</v>
      </c>
      <c r="Q552" s="8" t="s">
        <v>42</v>
      </c>
      <c r="R552" s="6" t="s">
        <v>2099</v>
      </c>
      <c r="S552" s="6" t="s">
        <v>42</v>
      </c>
    </row>
    <row r="553" spans="1:19">
      <c r="A553" s="9">
        <v>546</v>
      </c>
      <c r="B553" s="9" t="s">
        <v>833</v>
      </c>
      <c r="C553" s="9" t="s">
        <v>828</v>
      </c>
      <c r="D553" s="9" t="s">
        <v>652</v>
      </c>
      <c r="E553" s="9" t="s">
        <v>33</v>
      </c>
      <c r="F553" s="7" t="s">
        <v>39</v>
      </c>
      <c r="G553" s="11">
        <v>1</v>
      </c>
      <c r="H553" s="11">
        <v>2</v>
      </c>
      <c r="I553" s="14">
        <v>16000.0</v>
      </c>
      <c r="J553" s="14"/>
      <c r="K553" s="16">
        <f>IF(I553&gt;0, J553/I553, 0)</f>
        <v>0</v>
      </c>
      <c r="L553" s="14">
        <v>16000.0</v>
      </c>
      <c r="M553" s="14"/>
      <c r="N553" s="14">
        <f>L553-M553</f>
        <v>16000</v>
      </c>
      <c r="O553" s="9" t="s">
        <v>40</v>
      </c>
      <c r="P553" s="9" t="s">
        <v>41</v>
      </c>
      <c r="Q553" s="9" t="s">
        <v>42</v>
      </c>
      <c r="R553" s="7" t="s">
        <v>2145</v>
      </c>
      <c r="S553" s="7" t="s">
        <v>42</v>
      </c>
    </row>
    <row r="554" spans="1:19">
      <c r="A554" s="8">
        <v>547</v>
      </c>
      <c r="B554" s="8" t="s">
        <v>834</v>
      </c>
      <c r="C554" s="8" t="s">
        <v>828</v>
      </c>
      <c r="D554" s="8" t="s">
        <v>652</v>
      </c>
      <c r="E554" s="8" t="s">
        <v>33</v>
      </c>
      <c r="F554" s="6" t="s">
        <v>39</v>
      </c>
      <c r="G554" s="10">
        <v>1</v>
      </c>
      <c r="H554" s="10">
        <v>1</v>
      </c>
      <c r="I554" s="13">
        <v>18000.0</v>
      </c>
      <c r="J554" s="13"/>
      <c r="K554" s="15">
        <f>IF(I554&gt;0, J554/I554, 0)</f>
        <v>0</v>
      </c>
      <c r="L554" s="13">
        <v>18000.0</v>
      </c>
      <c r="M554" s="13"/>
      <c r="N554" s="13">
        <f>L554-M554</f>
        <v>18000</v>
      </c>
      <c r="O554" s="8" t="s">
        <v>40</v>
      </c>
      <c r="P554" s="8" t="s">
        <v>41</v>
      </c>
      <c r="Q554" s="8" t="s">
        <v>42</v>
      </c>
      <c r="R554" s="6" t="s">
        <v>2075</v>
      </c>
      <c r="S554" s="6" t="s">
        <v>42</v>
      </c>
    </row>
    <row r="555" spans="1:19">
      <c r="A555" s="9">
        <v>548</v>
      </c>
      <c r="B555" s="9" t="s">
        <v>835</v>
      </c>
      <c r="C555" s="9" t="s">
        <v>828</v>
      </c>
      <c r="D555" s="9" t="s">
        <v>652</v>
      </c>
      <c r="E555" s="9" t="s">
        <v>33</v>
      </c>
      <c r="F555" s="7" t="s">
        <v>39</v>
      </c>
      <c r="G555" s="11">
        <v>1</v>
      </c>
      <c r="H555" s="11">
        <v>1</v>
      </c>
      <c r="I555" s="14">
        <v>8000.0</v>
      </c>
      <c r="J555" s="14"/>
      <c r="K555" s="16">
        <f>IF(I555&gt;0, J555/I555, 0)</f>
        <v>0</v>
      </c>
      <c r="L555" s="14">
        <v>8000.0</v>
      </c>
      <c r="M555" s="14"/>
      <c r="N555" s="14">
        <f>L555-M555</f>
        <v>8000</v>
      </c>
      <c r="O555" s="9" t="s">
        <v>40</v>
      </c>
      <c r="P555" s="9" t="s">
        <v>41</v>
      </c>
      <c r="Q555" s="9" t="s">
        <v>42</v>
      </c>
      <c r="R555" s="7" t="s">
        <v>2076</v>
      </c>
      <c r="S555" s="7" t="s">
        <v>42</v>
      </c>
    </row>
    <row r="556" spans="1:19">
      <c r="A556" s="8">
        <v>549</v>
      </c>
      <c r="B556" s="8" t="s">
        <v>836</v>
      </c>
      <c r="C556" s="8" t="s">
        <v>828</v>
      </c>
      <c r="D556" s="8" t="s">
        <v>652</v>
      </c>
      <c r="E556" s="8" t="s">
        <v>33</v>
      </c>
      <c r="F556" s="6" t="s">
        <v>39</v>
      </c>
      <c r="G556" s="10">
        <v>1</v>
      </c>
      <c r="H556" s="10">
        <v>1</v>
      </c>
      <c r="I556" s="13">
        <v>7000.0</v>
      </c>
      <c r="J556" s="13"/>
      <c r="K556" s="15">
        <f>IF(I556&gt;0, J556/I556, 0)</f>
        <v>0</v>
      </c>
      <c r="L556" s="13">
        <v>7000.0</v>
      </c>
      <c r="M556" s="13"/>
      <c r="N556" s="13">
        <f>L556-M556</f>
        <v>7000</v>
      </c>
      <c r="O556" s="8" t="s">
        <v>40</v>
      </c>
      <c r="P556" s="8" t="s">
        <v>41</v>
      </c>
      <c r="Q556" s="8" t="s">
        <v>42</v>
      </c>
      <c r="R556" s="6" t="s">
        <v>2100</v>
      </c>
      <c r="S556" s="6" t="s">
        <v>42</v>
      </c>
    </row>
    <row r="557" spans="1:19">
      <c r="A557" s="9">
        <v>550</v>
      </c>
      <c r="B557" s="9" t="s">
        <v>837</v>
      </c>
      <c r="C557" s="9" t="s">
        <v>828</v>
      </c>
      <c r="D557" s="9" t="s">
        <v>652</v>
      </c>
      <c r="E557" s="9" t="s">
        <v>33</v>
      </c>
      <c r="F557" s="7" t="s">
        <v>39</v>
      </c>
      <c r="G557" s="11">
        <v>1</v>
      </c>
      <c r="H557" s="11">
        <v>1</v>
      </c>
      <c r="I557" s="14">
        <v>8000.0</v>
      </c>
      <c r="J557" s="14"/>
      <c r="K557" s="16">
        <f>IF(I557&gt;0, J557/I557, 0)</f>
        <v>0</v>
      </c>
      <c r="L557" s="14">
        <v>8000.0</v>
      </c>
      <c r="M557" s="14"/>
      <c r="N557" s="14">
        <f>L557-M557</f>
        <v>8000</v>
      </c>
      <c r="O557" s="9" t="s">
        <v>40</v>
      </c>
      <c r="P557" s="9" t="s">
        <v>41</v>
      </c>
      <c r="Q557" s="9" t="s">
        <v>42</v>
      </c>
      <c r="R557" s="7" t="s">
        <v>2081</v>
      </c>
      <c r="S557" s="7" t="s">
        <v>42</v>
      </c>
    </row>
    <row r="558" spans="1:19">
      <c r="A558" s="8">
        <v>551</v>
      </c>
      <c r="B558" s="8" t="s">
        <v>838</v>
      </c>
      <c r="C558" s="8" t="s">
        <v>828</v>
      </c>
      <c r="D558" s="8" t="s">
        <v>652</v>
      </c>
      <c r="E558" s="8" t="s">
        <v>33</v>
      </c>
      <c r="F558" s="6" t="s">
        <v>39</v>
      </c>
      <c r="G558" s="10">
        <v>1</v>
      </c>
      <c r="H558" s="10">
        <v>2</v>
      </c>
      <c r="I558" s="13">
        <v>14000.0</v>
      </c>
      <c r="J558" s="13"/>
      <c r="K558" s="15">
        <f>IF(I558&gt;0, J558/I558, 0)</f>
        <v>0</v>
      </c>
      <c r="L558" s="13">
        <v>14000.0</v>
      </c>
      <c r="M558" s="13"/>
      <c r="N558" s="13">
        <f>L558-M558</f>
        <v>14000</v>
      </c>
      <c r="O558" s="8" t="s">
        <v>40</v>
      </c>
      <c r="P558" s="8" t="s">
        <v>41</v>
      </c>
      <c r="Q558" s="8" t="s">
        <v>42</v>
      </c>
      <c r="R558" s="6" t="s">
        <v>2104</v>
      </c>
      <c r="S558" s="6" t="s">
        <v>42</v>
      </c>
    </row>
    <row r="559" spans="1:19">
      <c r="A559" s="9">
        <v>552</v>
      </c>
      <c r="B559" s="9" t="s">
        <v>839</v>
      </c>
      <c r="C559" s="9" t="s">
        <v>828</v>
      </c>
      <c r="D559" s="9" t="s">
        <v>652</v>
      </c>
      <c r="E559" s="9" t="s">
        <v>33</v>
      </c>
      <c r="F559" s="7" t="s">
        <v>39</v>
      </c>
      <c r="G559" s="11">
        <v>1</v>
      </c>
      <c r="H559" s="11">
        <v>1</v>
      </c>
      <c r="I559" s="14">
        <v>18000.0</v>
      </c>
      <c r="J559" s="14"/>
      <c r="K559" s="16">
        <f>IF(I559&gt;0, J559/I559, 0)</f>
        <v>0</v>
      </c>
      <c r="L559" s="14">
        <v>18000.0</v>
      </c>
      <c r="M559" s="14"/>
      <c r="N559" s="14">
        <f>L559-M559</f>
        <v>18000</v>
      </c>
      <c r="O559" s="9" t="s">
        <v>40</v>
      </c>
      <c r="P559" s="9" t="s">
        <v>41</v>
      </c>
      <c r="Q559" s="9" t="s">
        <v>42</v>
      </c>
      <c r="R559" s="7" t="s">
        <v>2075</v>
      </c>
      <c r="S559" s="7" t="s">
        <v>42</v>
      </c>
    </row>
    <row r="560" spans="1:19">
      <c r="A560" s="8">
        <v>553</v>
      </c>
      <c r="B560" s="8" t="s">
        <v>840</v>
      </c>
      <c r="C560" s="8" t="s">
        <v>828</v>
      </c>
      <c r="D560" s="8" t="s">
        <v>652</v>
      </c>
      <c r="E560" s="8" t="s">
        <v>33</v>
      </c>
      <c r="F560" s="6" t="s">
        <v>39</v>
      </c>
      <c r="G560" s="10">
        <v>1</v>
      </c>
      <c r="H560" s="10">
        <v>1</v>
      </c>
      <c r="I560" s="13">
        <v>18000.0</v>
      </c>
      <c r="J560" s="13"/>
      <c r="K560" s="15">
        <f>IF(I560&gt;0, J560/I560, 0)</f>
        <v>0</v>
      </c>
      <c r="L560" s="13">
        <v>18000.0</v>
      </c>
      <c r="M560" s="13"/>
      <c r="N560" s="13">
        <f>L560-M560</f>
        <v>18000</v>
      </c>
      <c r="O560" s="8" t="s">
        <v>40</v>
      </c>
      <c r="P560" s="8" t="s">
        <v>41</v>
      </c>
      <c r="Q560" s="8" t="s">
        <v>42</v>
      </c>
      <c r="R560" s="6" t="s">
        <v>2169</v>
      </c>
      <c r="S560" s="6" t="s">
        <v>42</v>
      </c>
    </row>
    <row r="561" spans="1:19">
      <c r="A561" s="9">
        <v>554</v>
      </c>
      <c r="B561" s="9" t="s">
        <v>841</v>
      </c>
      <c r="C561" s="9" t="s">
        <v>828</v>
      </c>
      <c r="D561" s="9" t="s">
        <v>652</v>
      </c>
      <c r="E561" s="9" t="s">
        <v>33</v>
      </c>
      <c r="F561" s="7" t="s">
        <v>39</v>
      </c>
      <c r="G561" s="11">
        <v>1</v>
      </c>
      <c r="H561" s="11">
        <v>1</v>
      </c>
      <c r="I561" s="14">
        <v>18000.0</v>
      </c>
      <c r="J561" s="14"/>
      <c r="K561" s="16">
        <f>IF(I561&gt;0, J561/I561, 0)</f>
        <v>0</v>
      </c>
      <c r="L561" s="14">
        <v>18000.0</v>
      </c>
      <c r="M561" s="14"/>
      <c r="N561" s="14">
        <f>L561-M561</f>
        <v>18000</v>
      </c>
      <c r="O561" s="9" t="s">
        <v>40</v>
      </c>
      <c r="P561" s="9" t="s">
        <v>41</v>
      </c>
      <c r="Q561" s="9" t="s">
        <v>42</v>
      </c>
      <c r="R561" s="7" t="s">
        <v>2174</v>
      </c>
      <c r="S561" s="7" t="s">
        <v>42</v>
      </c>
    </row>
    <row r="562" spans="1:19">
      <c r="A562" s="8">
        <v>555</v>
      </c>
      <c r="B562" s="8" t="s">
        <v>842</v>
      </c>
      <c r="C562" s="8" t="s">
        <v>843</v>
      </c>
      <c r="D562" s="8" t="s">
        <v>652</v>
      </c>
      <c r="E562" s="8" t="s">
        <v>33</v>
      </c>
      <c r="F562" s="6" t="s">
        <v>39</v>
      </c>
      <c r="G562" s="10">
        <v>1</v>
      </c>
      <c r="H562" s="10">
        <v>2</v>
      </c>
      <c r="I562" s="13">
        <v>19000.0</v>
      </c>
      <c r="J562" s="13"/>
      <c r="K562" s="15">
        <f>IF(I562&gt;0, J562/I562, 0)</f>
        <v>0</v>
      </c>
      <c r="L562" s="13">
        <v>19000.0</v>
      </c>
      <c r="M562" s="13"/>
      <c r="N562" s="13">
        <f>L562-M562</f>
        <v>19000</v>
      </c>
      <c r="O562" s="8" t="s">
        <v>40</v>
      </c>
      <c r="P562" s="8" t="s">
        <v>41</v>
      </c>
      <c r="Q562" s="8" t="s">
        <v>42</v>
      </c>
      <c r="R562" s="6" t="s">
        <v>2220</v>
      </c>
      <c r="S562" s="6" t="s">
        <v>42</v>
      </c>
    </row>
    <row r="563" spans="1:19">
      <c r="A563" s="9">
        <v>556</v>
      </c>
      <c r="B563" s="9" t="s">
        <v>844</v>
      </c>
      <c r="C563" s="9" t="s">
        <v>843</v>
      </c>
      <c r="D563" s="9" t="s">
        <v>652</v>
      </c>
      <c r="E563" s="9" t="s">
        <v>33</v>
      </c>
      <c r="F563" s="7" t="s">
        <v>39</v>
      </c>
      <c r="G563" s="11">
        <v>1</v>
      </c>
      <c r="H563" s="11">
        <v>1</v>
      </c>
      <c r="I563" s="14">
        <v>16500.0</v>
      </c>
      <c r="J563" s="14"/>
      <c r="K563" s="16">
        <f>IF(I563&gt;0, J563/I563, 0)</f>
        <v>0</v>
      </c>
      <c r="L563" s="14">
        <v>16500.0</v>
      </c>
      <c r="M563" s="14"/>
      <c r="N563" s="14">
        <f>L563-M563</f>
        <v>16500</v>
      </c>
      <c r="O563" s="9" t="s">
        <v>40</v>
      </c>
      <c r="P563" s="9" t="s">
        <v>41</v>
      </c>
      <c r="Q563" s="9" t="s">
        <v>42</v>
      </c>
      <c r="R563" s="7" t="s">
        <v>2173</v>
      </c>
      <c r="S563" s="7" t="s">
        <v>42</v>
      </c>
    </row>
    <row r="564" spans="1:19">
      <c r="A564" s="8">
        <v>557</v>
      </c>
      <c r="B564" s="8" t="s">
        <v>845</v>
      </c>
      <c r="C564" s="8" t="s">
        <v>843</v>
      </c>
      <c r="D564" s="8" t="s">
        <v>652</v>
      </c>
      <c r="E564" s="8" t="s">
        <v>33</v>
      </c>
      <c r="F564" s="6" t="s">
        <v>39</v>
      </c>
      <c r="G564" s="10">
        <v>1</v>
      </c>
      <c r="H564" s="10">
        <v>2</v>
      </c>
      <c r="I564" s="13">
        <v>16000.0</v>
      </c>
      <c r="J564" s="13"/>
      <c r="K564" s="15">
        <f>IF(I564&gt;0, J564/I564, 0)</f>
        <v>0</v>
      </c>
      <c r="L564" s="13">
        <v>16000.0</v>
      </c>
      <c r="M564" s="13"/>
      <c r="N564" s="13">
        <f>L564-M564</f>
        <v>16000</v>
      </c>
      <c r="O564" s="8" t="s">
        <v>40</v>
      </c>
      <c r="P564" s="8" t="s">
        <v>41</v>
      </c>
      <c r="Q564" s="8" t="s">
        <v>42</v>
      </c>
      <c r="R564" s="6" t="s">
        <v>2208</v>
      </c>
      <c r="S564" s="6" t="s">
        <v>42</v>
      </c>
    </row>
    <row r="565" spans="1:19">
      <c r="A565" s="9">
        <v>558</v>
      </c>
      <c r="B565" s="9" t="s">
        <v>846</v>
      </c>
      <c r="C565" s="9" t="s">
        <v>843</v>
      </c>
      <c r="D565" s="9" t="s">
        <v>652</v>
      </c>
      <c r="E565" s="9" t="s">
        <v>33</v>
      </c>
      <c r="F565" s="7" t="s">
        <v>39</v>
      </c>
      <c r="G565" s="11">
        <v>1</v>
      </c>
      <c r="H565" s="11">
        <v>1</v>
      </c>
      <c r="I565" s="14">
        <v>18000.0</v>
      </c>
      <c r="J565" s="14"/>
      <c r="K565" s="16">
        <f>IF(I565&gt;0, J565/I565, 0)</f>
        <v>0</v>
      </c>
      <c r="L565" s="14">
        <v>18000.0</v>
      </c>
      <c r="M565" s="14"/>
      <c r="N565" s="14">
        <f>L565-M565</f>
        <v>18000</v>
      </c>
      <c r="O565" s="9" t="s">
        <v>40</v>
      </c>
      <c r="P565" s="9" t="s">
        <v>41</v>
      </c>
      <c r="Q565" s="9" t="s">
        <v>42</v>
      </c>
      <c r="R565" s="7" t="s">
        <v>2222</v>
      </c>
      <c r="S565" s="7" t="s">
        <v>42</v>
      </c>
    </row>
    <row r="566" spans="1:19">
      <c r="A566" s="8">
        <v>559</v>
      </c>
      <c r="B566" s="8" t="s">
        <v>847</v>
      </c>
      <c r="C566" s="8" t="s">
        <v>843</v>
      </c>
      <c r="D566" s="8" t="s">
        <v>652</v>
      </c>
      <c r="E566" s="8" t="s">
        <v>68</v>
      </c>
      <c r="F566" s="6" t="s">
        <v>39</v>
      </c>
      <c r="G566" s="10">
        <v>1</v>
      </c>
      <c r="H566" s="10">
        <v>1</v>
      </c>
      <c r="I566" s="13">
        <v>9000.0</v>
      </c>
      <c r="J566" s="13"/>
      <c r="K566" s="15">
        <f>IF(I566&gt;0, J566/I566, 0)</f>
        <v>0</v>
      </c>
      <c r="L566" s="13">
        <v>9000.0</v>
      </c>
      <c r="M566" s="13"/>
      <c r="N566" s="13">
        <f>L566-M566</f>
        <v>9000</v>
      </c>
      <c r="O566" s="8" t="s">
        <v>40</v>
      </c>
      <c r="P566" s="8" t="s">
        <v>71</v>
      </c>
      <c r="Q566" s="8" t="s">
        <v>42</v>
      </c>
      <c r="R566" s="6" t="s">
        <v>2216</v>
      </c>
      <c r="S566" s="6" t="s">
        <v>42</v>
      </c>
    </row>
    <row r="567" spans="1:19">
      <c r="A567" s="9">
        <v>560</v>
      </c>
      <c r="B567" s="9" t="s">
        <v>849</v>
      </c>
      <c r="C567" s="9" t="s">
        <v>843</v>
      </c>
      <c r="D567" s="9" t="s">
        <v>652</v>
      </c>
      <c r="E567" s="9" t="s">
        <v>68</v>
      </c>
      <c r="F567" s="7" t="s">
        <v>39</v>
      </c>
      <c r="G567" s="11">
        <v>1</v>
      </c>
      <c r="H567" s="11">
        <v>1</v>
      </c>
      <c r="I567" s="14">
        <v>10000.0</v>
      </c>
      <c r="J567" s="14"/>
      <c r="K567" s="16">
        <f>IF(I567&gt;0, J567/I567, 0)</f>
        <v>0</v>
      </c>
      <c r="L567" s="14">
        <v>10000.0</v>
      </c>
      <c r="M567" s="14"/>
      <c r="N567" s="14">
        <f>L567-M567</f>
        <v>10000</v>
      </c>
      <c r="O567" s="9" t="s">
        <v>40</v>
      </c>
      <c r="P567" s="9" t="s">
        <v>71</v>
      </c>
      <c r="Q567" s="9" t="s">
        <v>42</v>
      </c>
      <c r="R567" s="7" t="s">
        <v>2141</v>
      </c>
      <c r="S567" s="7" t="s">
        <v>42</v>
      </c>
    </row>
    <row r="568" spans="1:19">
      <c r="A568" s="8">
        <v>561</v>
      </c>
      <c r="B568" s="8" t="s">
        <v>850</v>
      </c>
      <c r="C568" s="8" t="s">
        <v>843</v>
      </c>
      <c r="D568" s="8" t="s">
        <v>652</v>
      </c>
      <c r="E568" s="8" t="s">
        <v>33</v>
      </c>
      <c r="F568" s="6" t="s">
        <v>39</v>
      </c>
      <c r="G568" s="10">
        <v>1</v>
      </c>
      <c r="H568" s="10">
        <v>1</v>
      </c>
      <c r="I568" s="13">
        <v>8500.0</v>
      </c>
      <c r="J568" s="13"/>
      <c r="K568" s="15">
        <f>IF(I568&gt;0, J568/I568, 0)</f>
        <v>0</v>
      </c>
      <c r="L568" s="13">
        <v>8500.0</v>
      </c>
      <c r="M568" s="13"/>
      <c r="N568" s="13">
        <f>L568-M568</f>
        <v>8500</v>
      </c>
      <c r="O568" s="8" t="s">
        <v>40</v>
      </c>
      <c r="P568" s="8" t="s">
        <v>41</v>
      </c>
      <c r="Q568" s="8" t="s">
        <v>42</v>
      </c>
      <c r="R568" s="6" t="s">
        <v>2078</v>
      </c>
      <c r="S568" s="6" t="s">
        <v>42</v>
      </c>
    </row>
    <row r="569" spans="1:19">
      <c r="A569" s="9">
        <v>562</v>
      </c>
      <c r="B569" s="9" t="s">
        <v>851</v>
      </c>
      <c r="C569" s="9" t="s">
        <v>843</v>
      </c>
      <c r="D569" s="9" t="s">
        <v>652</v>
      </c>
      <c r="E569" s="9" t="s">
        <v>33</v>
      </c>
      <c r="F569" s="7" t="s">
        <v>39</v>
      </c>
      <c r="G569" s="11">
        <v>1</v>
      </c>
      <c r="H569" s="11">
        <v>1</v>
      </c>
      <c r="I569" s="14">
        <v>18000.0</v>
      </c>
      <c r="J569" s="14"/>
      <c r="K569" s="16">
        <f>IF(I569&gt;0, J569/I569, 0)</f>
        <v>0</v>
      </c>
      <c r="L569" s="14">
        <v>18000.0</v>
      </c>
      <c r="M569" s="14"/>
      <c r="N569" s="14">
        <f>L569-M569</f>
        <v>18000</v>
      </c>
      <c r="O569" s="9" t="s">
        <v>40</v>
      </c>
      <c r="P569" s="9" t="s">
        <v>41</v>
      </c>
      <c r="Q569" s="9" t="s">
        <v>42</v>
      </c>
      <c r="R569" s="7" t="s">
        <v>2120</v>
      </c>
      <c r="S569" s="7" t="s">
        <v>42</v>
      </c>
    </row>
    <row r="570" spans="1:19">
      <c r="A570" s="8">
        <v>563</v>
      </c>
      <c r="B570" s="8" t="s">
        <v>852</v>
      </c>
      <c r="C570" s="8" t="s">
        <v>843</v>
      </c>
      <c r="D570" s="8" t="s">
        <v>652</v>
      </c>
      <c r="E570" s="8" t="s">
        <v>33</v>
      </c>
      <c r="F570" s="6" t="s">
        <v>39</v>
      </c>
      <c r="G570" s="10">
        <v>1</v>
      </c>
      <c r="H570" s="10">
        <v>1</v>
      </c>
      <c r="I570" s="13">
        <v>18000.0</v>
      </c>
      <c r="J570" s="13"/>
      <c r="K570" s="15">
        <f>IF(I570&gt;0, J570/I570, 0)</f>
        <v>0</v>
      </c>
      <c r="L570" s="13">
        <v>18000.0</v>
      </c>
      <c r="M570" s="13"/>
      <c r="N570" s="13">
        <f>L570-M570</f>
        <v>18000</v>
      </c>
      <c r="O570" s="8" t="s">
        <v>40</v>
      </c>
      <c r="P570" s="8" t="s">
        <v>41</v>
      </c>
      <c r="Q570" s="8" t="s">
        <v>42</v>
      </c>
      <c r="R570" s="6" t="s">
        <v>2193</v>
      </c>
      <c r="S570" s="6" t="s">
        <v>42</v>
      </c>
    </row>
    <row r="571" spans="1:19">
      <c r="A571" s="9">
        <v>564</v>
      </c>
      <c r="B571" s="9" t="s">
        <v>853</v>
      </c>
      <c r="C571" s="9" t="s">
        <v>843</v>
      </c>
      <c r="D571" s="9" t="s">
        <v>652</v>
      </c>
      <c r="E571" s="9" t="s">
        <v>33</v>
      </c>
      <c r="F571" s="7" t="s">
        <v>39</v>
      </c>
      <c r="G571" s="11">
        <v>1</v>
      </c>
      <c r="H571" s="11">
        <v>1</v>
      </c>
      <c r="I571" s="14">
        <v>7000.0</v>
      </c>
      <c r="J571" s="14"/>
      <c r="K571" s="16">
        <f>IF(I571&gt;0, J571/I571, 0)</f>
        <v>0</v>
      </c>
      <c r="L571" s="14">
        <v>7000.0</v>
      </c>
      <c r="M571" s="14"/>
      <c r="N571" s="14">
        <f>L571-M571</f>
        <v>7000</v>
      </c>
      <c r="O571" s="9" t="s">
        <v>40</v>
      </c>
      <c r="P571" s="9" t="s">
        <v>41</v>
      </c>
      <c r="Q571" s="9" t="s">
        <v>42</v>
      </c>
      <c r="R571" s="7" t="s">
        <v>2092</v>
      </c>
      <c r="S571" s="7" t="s">
        <v>42</v>
      </c>
    </row>
    <row r="572" spans="1:19">
      <c r="A572" s="8">
        <v>565</v>
      </c>
      <c r="B572" s="8" t="s">
        <v>854</v>
      </c>
      <c r="C572" s="8" t="s">
        <v>843</v>
      </c>
      <c r="D572" s="8" t="s">
        <v>652</v>
      </c>
      <c r="E572" s="8" t="s">
        <v>68</v>
      </c>
      <c r="F572" s="6" t="s">
        <v>39</v>
      </c>
      <c r="G572" s="10">
        <v>1</v>
      </c>
      <c r="H572" s="10">
        <v>1</v>
      </c>
      <c r="I572" s="13">
        <v>11000.0</v>
      </c>
      <c r="J572" s="13"/>
      <c r="K572" s="15">
        <f>IF(I572&gt;0, J572/I572, 0)</f>
        <v>0</v>
      </c>
      <c r="L572" s="13">
        <v>11000.0</v>
      </c>
      <c r="M572" s="13"/>
      <c r="N572" s="13">
        <f>L572-M572</f>
        <v>11000</v>
      </c>
      <c r="O572" s="8" t="s">
        <v>40</v>
      </c>
      <c r="P572" s="8" t="s">
        <v>71</v>
      </c>
      <c r="Q572" s="8" t="s">
        <v>42</v>
      </c>
      <c r="R572" s="6" t="s">
        <v>2106</v>
      </c>
      <c r="S572" s="6" t="s">
        <v>42</v>
      </c>
    </row>
    <row r="573" spans="1:19">
      <c r="A573" s="9">
        <v>566</v>
      </c>
      <c r="B573" s="9" t="s">
        <v>855</v>
      </c>
      <c r="C573" s="9" t="s">
        <v>843</v>
      </c>
      <c r="D573" s="9" t="s">
        <v>652</v>
      </c>
      <c r="E573" s="9" t="s">
        <v>33</v>
      </c>
      <c r="F573" s="7" t="s">
        <v>39</v>
      </c>
      <c r="G573" s="11">
        <v>1</v>
      </c>
      <c r="H573" s="11">
        <v>1</v>
      </c>
      <c r="I573" s="14">
        <v>7000.0</v>
      </c>
      <c r="J573" s="14"/>
      <c r="K573" s="16">
        <f>IF(I573&gt;0, J573/I573, 0)</f>
        <v>0</v>
      </c>
      <c r="L573" s="14">
        <v>7000.0</v>
      </c>
      <c r="M573" s="14"/>
      <c r="N573" s="14">
        <f>L573-M573</f>
        <v>7000</v>
      </c>
      <c r="O573" s="9" t="s">
        <v>40</v>
      </c>
      <c r="P573" s="9" t="s">
        <v>41</v>
      </c>
      <c r="Q573" s="9" t="s">
        <v>42</v>
      </c>
      <c r="R573" s="7" t="s">
        <v>2092</v>
      </c>
      <c r="S573" s="7" t="s">
        <v>42</v>
      </c>
    </row>
    <row r="574" spans="1:19">
      <c r="A574" s="8">
        <v>567</v>
      </c>
      <c r="B574" s="8" t="s">
        <v>856</v>
      </c>
      <c r="C574" s="8" t="s">
        <v>843</v>
      </c>
      <c r="D574" s="8" t="s">
        <v>652</v>
      </c>
      <c r="E574" s="8" t="s">
        <v>33</v>
      </c>
      <c r="F574" s="6" t="s">
        <v>39</v>
      </c>
      <c r="G574" s="10">
        <v>1</v>
      </c>
      <c r="H574" s="10">
        <v>1</v>
      </c>
      <c r="I574" s="13">
        <v>8000.0</v>
      </c>
      <c r="J574" s="13"/>
      <c r="K574" s="15">
        <f>IF(I574&gt;0, J574/I574, 0)</f>
        <v>0</v>
      </c>
      <c r="L574" s="13">
        <v>8000.0</v>
      </c>
      <c r="M574" s="13"/>
      <c r="N574" s="13">
        <f>L574-M574</f>
        <v>8000</v>
      </c>
      <c r="O574" s="8" t="s">
        <v>40</v>
      </c>
      <c r="P574" s="8" t="s">
        <v>41</v>
      </c>
      <c r="Q574" s="8" t="s">
        <v>42</v>
      </c>
      <c r="R574" s="6" t="s">
        <v>2091</v>
      </c>
      <c r="S574" s="6" t="s">
        <v>42</v>
      </c>
    </row>
    <row r="575" spans="1:19">
      <c r="A575" s="9">
        <v>568</v>
      </c>
      <c r="B575" s="9" t="s">
        <v>857</v>
      </c>
      <c r="C575" s="9" t="s">
        <v>843</v>
      </c>
      <c r="D575" s="9" t="s">
        <v>652</v>
      </c>
      <c r="E575" s="9" t="s">
        <v>33</v>
      </c>
      <c r="F575" s="7" t="s">
        <v>39</v>
      </c>
      <c r="G575" s="11">
        <v>1</v>
      </c>
      <c r="H575" s="11">
        <v>1</v>
      </c>
      <c r="I575" s="14">
        <v>8000.0</v>
      </c>
      <c r="J575" s="14"/>
      <c r="K575" s="16">
        <f>IF(I575&gt;0, J575/I575, 0)</f>
        <v>0</v>
      </c>
      <c r="L575" s="14">
        <v>8000.0</v>
      </c>
      <c r="M575" s="14"/>
      <c r="N575" s="14">
        <f>L575-M575</f>
        <v>8000</v>
      </c>
      <c r="O575" s="9" t="s">
        <v>40</v>
      </c>
      <c r="P575" s="9" t="s">
        <v>41</v>
      </c>
      <c r="Q575" s="9" t="s">
        <v>42</v>
      </c>
      <c r="R575" s="7" t="s">
        <v>2167</v>
      </c>
      <c r="S575" s="7" t="s">
        <v>42</v>
      </c>
    </row>
    <row r="576" spans="1:19">
      <c r="A576" s="8">
        <v>569</v>
      </c>
      <c r="B576" s="8" t="s">
        <v>858</v>
      </c>
      <c r="C576" s="8" t="s">
        <v>843</v>
      </c>
      <c r="D576" s="8" t="s">
        <v>652</v>
      </c>
      <c r="E576" s="8" t="s">
        <v>33</v>
      </c>
      <c r="F576" s="6" t="s">
        <v>39</v>
      </c>
      <c r="G576" s="10">
        <v>1</v>
      </c>
      <c r="H576" s="10">
        <v>1</v>
      </c>
      <c r="I576" s="13">
        <v>7000.0</v>
      </c>
      <c r="J576" s="13"/>
      <c r="K576" s="15">
        <f>IF(I576&gt;0, J576/I576, 0)</f>
        <v>0</v>
      </c>
      <c r="L576" s="13">
        <v>7000.0</v>
      </c>
      <c r="M576" s="13"/>
      <c r="N576" s="13">
        <f>L576-M576</f>
        <v>7000</v>
      </c>
      <c r="O576" s="8" t="s">
        <v>40</v>
      </c>
      <c r="P576" s="8" t="s">
        <v>41</v>
      </c>
      <c r="Q576" s="8" t="s">
        <v>42</v>
      </c>
      <c r="R576" s="6" t="s">
        <v>2155</v>
      </c>
      <c r="S576" s="6" t="s">
        <v>42</v>
      </c>
    </row>
    <row r="577" spans="1:19">
      <c r="A577" s="9">
        <v>570</v>
      </c>
      <c r="B577" s="9" t="s">
        <v>859</v>
      </c>
      <c r="C577" s="9" t="s">
        <v>843</v>
      </c>
      <c r="D577" s="9" t="s">
        <v>652</v>
      </c>
      <c r="E577" s="9" t="s">
        <v>33</v>
      </c>
      <c r="F577" s="7" t="s">
        <v>39</v>
      </c>
      <c r="G577" s="11">
        <v>1</v>
      </c>
      <c r="H577" s="11">
        <v>1</v>
      </c>
      <c r="I577" s="14">
        <v>8000.0</v>
      </c>
      <c r="J577" s="14"/>
      <c r="K577" s="16">
        <f>IF(I577&gt;0, J577/I577, 0)</f>
        <v>0</v>
      </c>
      <c r="L577" s="14">
        <v>8000.0</v>
      </c>
      <c r="M577" s="14"/>
      <c r="N577" s="14">
        <f>L577-M577</f>
        <v>8000</v>
      </c>
      <c r="O577" s="9" t="s">
        <v>40</v>
      </c>
      <c r="P577" s="9" t="s">
        <v>41</v>
      </c>
      <c r="Q577" s="9" t="s">
        <v>42</v>
      </c>
      <c r="R577" s="7" t="s">
        <v>2121</v>
      </c>
      <c r="S577" s="7" t="s">
        <v>42</v>
      </c>
    </row>
    <row r="578" spans="1:19">
      <c r="A578" s="8">
        <v>571</v>
      </c>
      <c r="B578" s="8" t="s">
        <v>860</v>
      </c>
      <c r="C578" s="8" t="s">
        <v>843</v>
      </c>
      <c r="D578" s="8" t="s">
        <v>652</v>
      </c>
      <c r="E578" s="8" t="s">
        <v>68</v>
      </c>
      <c r="F578" s="6" t="s">
        <v>39</v>
      </c>
      <c r="G578" s="10">
        <v>1</v>
      </c>
      <c r="H578" s="10">
        <v>1</v>
      </c>
      <c r="I578" s="13">
        <v>9000.0</v>
      </c>
      <c r="J578" s="13"/>
      <c r="K578" s="15">
        <f>IF(I578&gt;0, J578/I578, 0)</f>
        <v>0</v>
      </c>
      <c r="L578" s="13">
        <v>9000.0</v>
      </c>
      <c r="M578" s="13"/>
      <c r="N578" s="13">
        <f>L578-M578</f>
        <v>9000</v>
      </c>
      <c r="O578" s="8" t="s">
        <v>40</v>
      </c>
      <c r="P578" s="8" t="s">
        <v>71</v>
      </c>
      <c r="Q578" s="8" t="s">
        <v>42</v>
      </c>
      <c r="R578" s="6" t="s">
        <v>2190</v>
      </c>
      <c r="S578" s="6" t="s">
        <v>42</v>
      </c>
    </row>
    <row r="579" spans="1:19">
      <c r="A579" s="9">
        <v>572</v>
      </c>
      <c r="B579" s="9" t="s">
        <v>861</v>
      </c>
      <c r="C579" s="9" t="s">
        <v>843</v>
      </c>
      <c r="D579" s="9" t="s">
        <v>652</v>
      </c>
      <c r="E579" s="9" t="s">
        <v>68</v>
      </c>
      <c r="F579" s="7" t="s">
        <v>39</v>
      </c>
      <c r="G579" s="11">
        <v>1</v>
      </c>
      <c r="H579" s="11">
        <v>1</v>
      </c>
      <c r="I579" s="14">
        <v>10000.0</v>
      </c>
      <c r="J579" s="14"/>
      <c r="K579" s="16">
        <f>IF(I579&gt;0, J579/I579, 0)</f>
        <v>0</v>
      </c>
      <c r="L579" s="14">
        <v>10000.0</v>
      </c>
      <c r="M579" s="14"/>
      <c r="N579" s="14">
        <f>L579-M579</f>
        <v>10000</v>
      </c>
      <c r="O579" s="9" t="s">
        <v>40</v>
      </c>
      <c r="P579" s="9" t="s">
        <v>71</v>
      </c>
      <c r="Q579" s="9" t="s">
        <v>42</v>
      </c>
      <c r="R579" s="7" t="s">
        <v>2125</v>
      </c>
      <c r="S579" s="7" t="s">
        <v>42</v>
      </c>
    </row>
    <row r="580" spans="1:19">
      <c r="A580" s="8">
        <v>573</v>
      </c>
      <c r="B580" s="8" t="s">
        <v>862</v>
      </c>
      <c r="C580" s="8" t="s">
        <v>843</v>
      </c>
      <c r="D580" s="8" t="s">
        <v>652</v>
      </c>
      <c r="E580" s="8" t="s">
        <v>33</v>
      </c>
      <c r="F580" s="6" t="s">
        <v>39</v>
      </c>
      <c r="G580" s="10">
        <v>1</v>
      </c>
      <c r="H580" s="10">
        <v>1</v>
      </c>
      <c r="I580" s="13">
        <v>7000.0</v>
      </c>
      <c r="J580" s="13"/>
      <c r="K580" s="15">
        <f>IF(I580&gt;0, J580/I580, 0)</f>
        <v>0</v>
      </c>
      <c r="L580" s="13">
        <v>7000.0</v>
      </c>
      <c r="M580" s="13"/>
      <c r="N580" s="13">
        <f>L580-M580</f>
        <v>7000</v>
      </c>
      <c r="O580" s="8" t="s">
        <v>40</v>
      </c>
      <c r="P580" s="8" t="s">
        <v>41</v>
      </c>
      <c r="Q580" s="8" t="s">
        <v>42</v>
      </c>
      <c r="R580" s="6" t="s">
        <v>2154</v>
      </c>
      <c r="S580" s="6" t="s">
        <v>42</v>
      </c>
    </row>
    <row r="581" spans="1:19">
      <c r="A581" s="9">
        <v>574</v>
      </c>
      <c r="B581" s="9" t="s">
        <v>863</v>
      </c>
      <c r="C581" s="9" t="s">
        <v>843</v>
      </c>
      <c r="D581" s="9" t="s">
        <v>652</v>
      </c>
      <c r="E581" s="9" t="s">
        <v>33</v>
      </c>
      <c r="F581" s="7" t="s">
        <v>39</v>
      </c>
      <c r="G581" s="11">
        <v>1</v>
      </c>
      <c r="H581" s="11">
        <v>1</v>
      </c>
      <c r="I581" s="14">
        <v>8000.0</v>
      </c>
      <c r="J581" s="14"/>
      <c r="K581" s="16">
        <f>IF(I581&gt;0, J581/I581, 0)</f>
        <v>0</v>
      </c>
      <c r="L581" s="14">
        <v>8000.0</v>
      </c>
      <c r="M581" s="14"/>
      <c r="N581" s="14">
        <f>L581-M581</f>
        <v>8000</v>
      </c>
      <c r="O581" s="9" t="s">
        <v>40</v>
      </c>
      <c r="P581" s="9" t="s">
        <v>41</v>
      </c>
      <c r="Q581" s="9" t="s">
        <v>42</v>
      </c>
      <c r="R581" s="7" t="s">
        <v>2152</v>
      </c>
      <c r="S581" s="7" t="s">
        <v>42</v>
      </c>
    </row>
    <row r="582" spans="1:19">
      <c r="A582" s="8">
        <v>575</v>
      </c>
      <c r="B582" s="8" t="s">
        <v>864</v>
      </c>
      <c r="C582" s="8" t="s">
        <v>843</v>
      </c>
      <c r="D582" s="8" t="s">
        <v>652</v>
      </c>
      <c r="E582" s="8" t="s">
        <v>33</v>
      </c>
      <c r="F582" s="6" t="s">
        <v>39</v>
      </c>
      <c r="G582" s="10">
        <v>1</v>
      </c>
      <c r="H582" s="10">
        <v>1</v>
      </c>
      <c r="I582" s="13">
        <v>8000.0</v>
      </c>
      <c r="J582" s="13"/>
      <c r="K582" s="15">
        <f>IF(I582&gt;0, J582/I582, 0)</f>
        <v>0</v>
      </c>
      <c r="L582" s="13">
        <v>8000.0</v>
      </c>
      <c r="M582" s="13"/>
      <c r="N582" s="13">
        <f>L582-M582</f>
        <v>8000</v>
      </c>
      <c r="O582" s="8" t="s">
        <v>40</v>
      </c>
      <c r="P582" s="8" t="s">
        <v>41</v>
      </c>
      <c r="Q582" s="8" t="s">
        <v>42</v>
      </c>
      <c r="R582" s="6" t="s">
        <v>2196</v>
      </c>
      <c r="S582" s="6" t="s">
        <v>42</v>
      </c>
    </row>
    <row r="583" spans="1:19">
      <c r="A583" s="9">
        <v>576</v>
      </c>
      <c r="B583" s="9" t="s">
        <v>865</v>
      </c>
      <c r="C583" s="9" t="s">
        <v>843</v>
      </c>
      <c r="D583" s="9" t="s">
        <v>652</v>
      </c>
      <c r="E583" s="9" t="s">
        <v>33</v>
      </c>
      <c r="F583" s="7" t="s">
        <v>39</v>
      </c>
      <c r="G583" s="11">
        <v>1</v>
      </c>
      <c r="H583" s="11">
        <v>1</v>
      </c>
      <c r="I583" s="14">
        <v>7000.0</v>
      </c>
      <c r="J583" s="14"/>
      <c r="K583" s="16">
        <f>IF(I583&gt;0, J583/I583, 0)</f>
        <v>0</v>
      </c>
      <c r="L583" s="14">
        <v>7000.0</v>
      </c>
      <c r="M583" s="14"/>
      <c r="N583" s="14">
        <f>L583-M583</f>
        <v>7000</v>
      </c>
      <c r="O583" s="9" t="s">
        <v>40</v>
      </c>
      <c r="P583" s="9" t="s">
        <v>41</v>
      </c>
      <c r="Q583" s="9" t="s">
        <v>42</v>
      </c>
      <c r="R583" s="7" t="s">
        <v>2107</v>
      </c>
      <c r="S583" s="7" t="s">
        <v>42</v>
      </c>
    </row>
    <row r="584" spans="1:19">
      <c r="A584" s="8">
        <v>577</v>
      </c>
      <c r="B584" s="8" t="s">
        <v>866</v>
      </c>
      <c r="C584" s="8" t="s">
        <v>843</v>
      </c>
      <c r="D584" s="8" t="s">
        <v>652</v>
      </c>
      <c r="E584" s="8" t="s">
        <v>33</v>
      </c>
      <c r="F584" s="6" t="s">
        <v>39</v>
      </c>
      <c r="G584" s="10">
        <v>1</v>
      </c>
      <c r="H584" s="10">
        <v>1</v>
      </c>
      <c r="I584" s="13">
        <v>16000.0</v>
      </c>
      <c r="J584" s="13"/>
      <c r="K584" s="15">
        <f>IF(I584&gt;0, J584/I584, 0)</f>
        <v>0</v>
      </c>
      <c r="L584" s="13">
        <v>16000.0</v>
      </c>
      <c r="M584" s="13"/>
      <c r="N584" s="13">
        <f>L584-M584</f>
        <v>16000</v>
      </c>
      <c r="O584" s="8" t="s">
        <v>40</v>
      </c>
      <c r="P584" s="8" t="s">
        <v>41</v>
      </c>
      <c r="Q584" s="8" t="s">
        <v>42</v>
      </c>
      <c r="R584" s="6" t="s">
        <v>2126</v>
      </c>
      <c r="S584" s="6" t="s">
        <v>42</v>
      </c>
    </row>
    <row r="585" spans="1:19">
      <c r="A585" s="9">
        <v>578</v>
      </c>
      <c r="B585" s="9" t="s">
        <v>867</v>
      </c>
      <c r="C585" s="9" t="s">
        <v>843</v>
      </c>
      <c r="D585" s="9" t="s">
        <v>652</v>
      </c>
      <c r="E585" s="9" t="s">
        <v>33</v>
      </c>
      <c r="F585" s="7" t="s">
        <v>39</v>
      </c>
      <c r="G585" s="11">
        <v>1</v>
      </c>
      <c r="H585" s="11">
        <v>1</v>
      </c>
      <c r="I585" s="14">
        <v>7500.0</v>
      </c>
      <c r="J585" s="14"/>
      <c r="K585" s="16">
        <f>IF(I585&gt;0, J585/I585, 0)</f>
        <v>0</v>
      </c>
      <c r="L585" s="14">
        <v>7500.0</v>
      </c>
      <c r="M585" s="14"/>
      <c r="N585" s="14">
        <f>L585-M585</f>
        <v>7500</v>
      </c>
      <c r="O585" s="9" t="s">
        <v>40</v>
      </c>
      <c r="P585" s="9" t="s">
        <v>41</v>
      </c>
      <c r="Q585" s="9" t="s">
        <v>42</v>
      </c>
      <c r="R585" s="7" t="s">
        <v>2077</v>
      </c>
      <c r="S585" s="7" t="s">
        <v>42</v>
      </c>
    </row>
    <row r="586" spans="1:19">
      <c r="A586" s="8">
        <v>579</v>
      </c>
      <c r="B586" s="8" t="s">
        <v>868</v>
      </c>
      <c r="C586" s="8" t="s">
        <v>843</v>
      </c>
      <c r="D586" s="8" t="s">
        <v>652</v>
      </c>
      <c r="E586" s="8" t="s">
        <v>68</v>
      </c>
      <c r="F586" s="6" t="s">
        <v>39</v>
      </c>
      <c r="G586" s="10">
        <v>1</v>
      </c>
      <c r="H586" s="10">
        <v>1</v>
      </c>
      <c r="I586" s="13">
        <v>11000.0</v>
      </c>
      <c r="J586" s="13"/>
      <c r="K586" s="15">
        <f>IF(I586&gt;0, J586/I586, 0)</f>
        <v>0</v>
      </c>
      <c r="L586" s="13">
        <v>11000.0</v>
      </c>
      <c r="M586" s="13"/>
      <c r="N586" s="13">
        <f>L586-M586</f>
        <v>11000</v>
      </c>
      <c r="O586" s="8" t="s">
        <v>40</v>
      </c>
      <c r="P586" s="8" t="s">
        <v>71</v>
      </c>
      <c r="Q586" s="8" t="s">
        <v>42</v>
      </c>
      <c r="R586" s="6" t="s">
        <v>2129</v>
      </c>
      <c r="S586" s="6" t="s">
        <v>42</v>
      </c>
    </row>
    <row r="587" spans="1:19">
      <c r="A587" s="9">
        <v>580</v>
      </c>
      <c r="B587" s="9" t="s">
        <v>869</v>
      </c>
      <c r="C587" s="9" t="s">
        <v>843</v>
      </c>
      <c r="D587" s="9" t="s">
        <v>652</v>
      </c>
      <c r="E587" s="9" t="s">
        <v>68</v>
      </c>
      <c r="F587" s="7" t="s">
        <v>39</v>
      </c>
      <c r="G587" s="11">
        <v>1</v>
      </c>
      <c r="H587" s="11">
        <v>1</v>
      </c>
      <c r="I587" s="14">
        <v>10000.0</v>
      </c>
      <c r="J587" s="14"/>
      <c r="K587" s="16">
        <f>IF(I587&gt;0, J587/I587, 0)</f>
        <v>0</v>
      </c>
      <c r="L587" s="14">
        <v>10000.0</v>
      </c>
      <c r="M587" s="14"/>
      <c r="N587" s="14">
        <f>L587-M587</f>
        <v>10000</v>
      </c>
      <c r="O587" s="9" t="s">
        <v>40</v>
      </c>
      <c r="P587" s="9" t="s">
        <v>71</v>
      </c>
      <c r="Q587" s="9" t="s">
        <v>42</v>
      </c>
      <c r="R587" s="7" t="s">
        <v>2082</v>
      </c>
      <c r="S587" s="7" t="s">
        <v>42</v>
      </c>
    </row>
    <row r="588" spans="1:19">
      <c r="A588" s="8">
        <v>581</v>
      </c>
      <c r="B588" s="8" t="s">
        <v>870</v>
      </c>
      <c r="C588" s="8" t="s">
        <v>843</v>
      </c>
      <c r="D588" s="8" t="s">
        <v>652</v>
      </c>
      <c r="E588" s="8" t="s">
        <v>33</v>
      </c>
      <c r="F588" s="6" t="s">
        <v>39</v>
      </c>
      <c r="G588" s="10">
        <v>1</v>
      </c>
      <c r="H588" s="10">
        <v>1</v>
      </c>
      <c r="I588" s="13">
        <v>8000.0</v>
      </c>
      <c r="J588" s="13"/>
      <c r="K588" s="15">
        <f>IF(I588&gt;0, J588/I588, 0)</f>
        <v>0</v>
      </c>
      <c r="L588" s="13">
        <v>8000.0</v>
      </c>
      <c r="M588" s="13"/>
      <c r="N588" s="13">
        <f>L588-M588</f>
        <v>8000</v>
      </c>
      <c r="O588" s="8" t="s">
        <v>40</v>
      </c>
      <c r="P588" s="8" t="s">
        <v>41</v>
      </c>
      <c r="Q588" s="8" t="s">
        <v>42</v>
      </c>
      <c r="R588" s="6" t="s">
        <v>2141</v>
      </c>
      <c r="S588" s="6" t="s">
        <v>42</v>
      </c>
    </row>
    <row r="589" spans="1:19">
      <c r="A589" s="9">
        <v>582</v>
      </c>
      <c r="B589" s="9" t="s">
        <v>871</v>
      </c>
      <c r="C589" s="9" t="s">
        <v>843</v>
      </c>
      <c r="D589" s="9" t="s">
        <v>652</v>
      </c>
      <c r="E589" s="9" t="s">
        <v>33</v>
      </c>
      <c r="F589" s="7" t="s">
        <v>39</v>
      </c>
      <c r="G589" s="11">
        <v>1</v>
      </c>
      <c r="H589" s="11">
        <v>1</v>
      </c>
      <c r="I589" s="14">
        <v>8500.0</v>
      </c>
      <c r="J589" s="14"/>
      <c r="K589" s="16">
        <f>IF(I589&gt;0, J589/I589, 0)</f>
        <v>0</v>
      </c>
      <c r="L589" s="14">
        <v>8500.0</v>
      </c>
      <c r="M589" s="14"/>
      <c r="N589" s="14">
        <f>L589-M589</f>
        <v>8500</v>
      </c>
      <c r="O589" s="9" t="s">
        <v>40</v>
      </c>
      <c r="P589" s="9" t="s">
        <v>41</v>
      </c>
      <c r="Q589" s="9" t="s">
        <v>42</v>
      </c>
      <c r="R589" s="7" t="s">
        <v>2078</v>
      </c>
      <c r="S589" s="7" t="s">
        <v>42</v>
      </c>
    </row>
    <row r="590" spans="1:19">
      <c r="A590" s="8">
        <v>583</v>
      </c>
      <c r="B590" s="8" t="s">
        <v>872</v>
      </c>
      <c r="C590" s="8" t="s">
        <v>843</v>
      </c>
      <c r="D590" s="8" t="s">
        <v>652</v>
      </c>
      <c r="E590" s="8" t="s">
        <v>33</v>
      </c>
      <c r="F590" s="6" t="s">
        <v>39</v>
      </c>
      <c r="G590" s="10">
        <v>1</v>
      </c>
      <c r="H590" s="10">
        <v>1</v>
      </c>
      <c r="I590" s="13">
        <v>7500.0</v>
      </c>
      <c r="J590" s="13"/>
      <c r="K590" s="15">
        <f>IF(I590&gt;0, J590/I590, 0)</f>
        <v>0</v>
      </c>
      <c r="L590" s="13">
        <v>7500.0</v>
      </c>
      <c r="M590" s="13"/>
      <c r="N590" s="13">
        <f>L590-M590</f>
        <v>7500</v>
      </c>
      <c r="O590" s="8" t="s">
        <v>40</v>
      </c>
      <c r="P590" s="8" t="s">
        <v>41</v>
      </c>
      <c r="Q590" s="8" t="s">
        <v>42</v>
      </c>
      <c r="R590" s="6" t="s">
        <v>2077</v>
      </c>
      <c r="S590" s="6" t="s">
        <v>42</v>
      </c>
    </row>
    <row r="591" spans="1:19">
      <c r="A591" s="9">
        <v>584</v>
      </c>
      <c r="B591" s="9" t="s">
        <v>873</v>
      </c>
      <c r="C591" s="9" t="s">
        <v>843</v>
      </c>
      <c r="D591" s="9" t="s">
        <v>652</v>
      </c>
      <c r="E591" s="9" t="s">
        <v>33</v>
      </c>
      <c r="F591" s="7" t="s">
        <v>39</v>
      </c>
      <c r="G591" s="11">
        <v>1</v>
      </c>
      <c r="H591" s="11">
        <v>1</v>
      </c>
      <c r="I591" s="14">
        <v>7000.0</v>
      </c>
      <c r="J591" s="14"/>
      <c r="K591" s="16">
        <f>IF(I591&gt;0, J591/I591, 0)</f>
        <v>0</v>
      </c>
      <c r="L591" s="14">
        <v>7000.0</v>
      </c>
      <c r="M591" s="14"/>
      <c r="N591" s="14">
        <f>L591-M591</f>
        <v>7000</v>
      </c>
      <c r="O591" s="9" t="s">
        <v>40</v>
      </c>
      <c r="P591" s="9" t="s">
        <v>41</v>
      </c>
      <c r="Q591" s="9" t="s">
        <v>42</v>
      </c>
      <c r="R591" s="7" t="s">
        <v>2131</v>
      </c>
      <c r="S591" s="7" t="s">
        <v>42</v>
      </c>
    </row>
    <row r="592" spans="1:19">
      <c r="A592" s="8">
        <v>585</v>
      </c>
      <c r="B592" s="8" t="s">
        <v>874</v>
      </c>
      <c r="C592" s="8" t="s">
        <v>843</v>
      </c>
      <c r="D592" s="8" t="s">
        <v>652</v>
      </c>
      <c r="E592" s="8" t="s">
        <v>33</v>
      </c>
      <c r="F592" s="6" t="s">
        <v>39</v>
      </c>
      <c r="G592" s="10">
        <v>1</v>
      </c>
      <c r="H592" s="10">
        <v>1</v>
      </c>
      <c r="I592" s="13">
        <v>8000.0</v>
      </c>
      <c r="J592" s="13"/>
      <c r="K592" s="15">
        <f>IF(I592&gt;0, J592/I592, 0)</f>
        <v>0</v>
      </c>
      <c r="L592" s="13">
        <v>8000.0</v>
      </c>
      <c r="M592" s="13"/>
      <c r="N592" s="13">
        <f>L592-M592</f>
        <v>8000</v>
      </c>
      <c r="O592" s="8" t="s">
        <v>40</v>
      </c>
      <c r="P592" s="8" t="s">
        <v>41</v>
      </c>
      <c r="Q592" s="8" t="s">
        <v>42</v>
      </c>
      <c r="R592" s="6" t="s">
        <v>2189</v>
      </c>
      <c r="S592" s="6" t="s">
        <v>42</v>
      </c>
    </row>
    <row r="593" spans="1:19">
      <c r="A593" s="9">
        <v>586</v>
      </c>
      <c r="B593" s="9" t="s">
        <v>875</v>
      </c>
      <c r="C593" s="9" t="s">
        <v>843</v>
      </c>
      <c r="D593" s="9" t="s">
        <v>652</v>
      </c>
      <c r="E593" s="9" t="s">
        <v>33</v>
      </c>
      <c r="F593" s="7" t="s">
        <v>39</v>
      </c>
      <c r="G593" s="11">
        <v>1</v>
      </c>
      <c r="H593" s="11">
        <v>1</v>
      </c>
      <c r="I593" s="14">
        <v>8000.0</v>
      </c>
      <c r="J593" s="14"/>
      <c r="K593" s="16">
        <f>IF(I593&gt;0, J593/I593, 0)</f>
        <v>0</v>
      </c>
      <c r="L593" s="14">
        <v>8000.0</v>
      </c>
      <c r="M593" s="14"/>
      <c r="N593" s="14">
        <f>L593-M593</f>
        <v>8000</v>
      </c>
      <c r="O593" s="9" t="s">
        <v>40</v>
      </c>
      <c r="P593" s="9" t="s">
        <v>41</v>
      </c>
      <c r="Q593" s="9" t="s">
        <v>42</v>
      </c>
      <c r="R593" s="7" t="s">
        <v>2105</v>
      </c>
      <c r="S593" s="7" t="s">
        <v>42</v>
      </c>
    </row>
    <row r="594" spans="1:19">
      <c r="A594" s="8">
        <v>587</v>
      </c>
      <c r="B594" s="8" t="s">
        <v>876</v>
      </c>
      <c r="C594" s="8" t="s">
        <v>843</v>
      </c>
      <c r="D594" s="8" t="s">
        <v>652</v>
      </c>
      <c r="E594" s="8" t="s">
        <v>33</v>
      </c>
      <c r="F594" s="6" t="s">
        <v>39</v>
      </c>
      <c r="G594" s="10">
        <v>1</v>
      </c>
      <c r="H594" s="10">
        <v>1</v>
      </c>
      <c r="I594" s="13">
        <v>8000.0</v>
      </c>
      <c r="J594" s="13"/>
      <c r="K594" s="15">
        <f>IF(I594&gt;0, J594/I594, 0)</f>
        <v>0</v>
      </c>
      <c r="L594" s="13">
        <v>8000.0</v>
      </c>
      <c r="M594" s="13"/>
      <c r="N594" s="13">
        <f>L594-M594</f>
        <v>8000</v>
      </c>
      <c r="O594" s="8" t="s">
        <v>40</v>
      </c>
      <c r="P594" s="8" t="s">
        <v>41</v>
      </c>
      <c r="Q594" s="8" t="s">
        <v>42</v>
      </c>
      <c r="R594" s="6" t="s">
        <v>2116</v>
      </c>
      <c r="S594" s="6" t="s">
        <v>42</v>
      </c>
    </row>
    <row r="595" spans="1:19">
      <c r="A595" s="9">
        <v>588</v>
      </c>
      <c r="B595" s="9" t="s">
        <v>877</v>
      </c>
      <c r="C595" s="9" t="s">
        <v>843</v>
      </c>
      <c r="D595" s="9" t="s">
        <v>652</v>
      </c>
      <c r="E595" s="9" t="s">
        <v>33</v>
      </c>
      <c r="F595" s="7" t="s">
        <v>39</v>
      </c>
      <c r="G595" s="11">
        <v>1</v>
      </c>
      <c r="H595" s="11">
        <v>1</v>
      </c>
      <c r="I595" s="14">
        <v>16000.0</v>
      </c>
      <c r="J595" s="14"/>
      <c r="K595" s="16">
        <f>IF(I595&gt;0, J595/I595, 0)</f>
        <v>0</v>
      </c>
      <c r="L595" s="14">
        <v>16000.0</v>
      </c>
      <c r="M595" s="14"/>
      <c r="N595" s="14">
        <f>L595-M595</f>
        <v>16000</v>
      </c>
      <c r="O595" s="9" t="s">
        <v>40</v>
      </c>
      <c r="P595" s="9" t="s">
        <v>41</v>
      </c>
      <c r="Q595" s="9" t="s">
        <v>42</v>
      </c>
      <c r="R595" s="7" t="s">
        <v>2127</v>
      </c>
      <c r="S595" s="7" t="s">
        <v>42</v>
      </c>
    </row>
    <row r="596" spans="1:19">
      <c r="A596" s="8">
        <v>589</v>
      </c>
      <c r="B596" s="8" t="s">
        <v>878</v>
      </c>
      <c r="C596" s="8" t="s">
        <v>843</v>
      </c>
      <c r="D596" s="8" t="s">
        <v>652</v>
      </c>
      <c r="E596" s="8" t="s">
        <v>33</v>
      </c>
      <c r="F596" s="6" t="s">
        <v>39</v>
      </c>
      <c r="G596" s="10">
        <v>1</v>
      </c>
      <c r="H596" s="10">
        <v>1</v>
      </c>
      <c r="I596" s="13">
        <v>8500.0</v>
      </c>
      <c r="J596" s="13"/>
      <c r="K596" s="15">
        <f>IF(I596&gt;0, J596/I596, 0)</f>
        <v>0</v>
      </c>
      <c r="L596" s="13">
        <v>8500.0</v>
      </c>
      <c r="M596" s="13"/>
      <c r="N596" s="13">
        <f>L596-M596</f>
        <v>8500</v>
      </c>
      <c r="O596" s="8" t="s">
        <v>40</v>
      </c>
      <c r="P596" s="8" t="s">
        <v>41</v>
      </c>
      <c r="Q596" s="8" t="s">
        <v>42</v>
      </c>
      <c r="R596" s="6" t="s">
        <v>2157</v>
      </c>
      <c r="S596" s="6" t="s">
        <v>42</v>
      </c>
    </row>
    <row r="597" spans="1:19">
      <c r="A597" s="9">
        <v>590</v>
      </c>
      <c r="B597" s="9" t="s">
        <v>879</v>
      </c>
      <c r="C597" s="9" t="s">
        <v>843</v>
      </c>
      <c r="D597" s="9" t="s">
        <v>652</v>
      </c>
      <c r="E597" s="9" t="s">
        <v>33</v>
      </c>
      <c r="F597" s="7" t="s">
        <v>39</v>
      </c>
      <c r="G597" s="11">
        <v>1</v>
      </c>
      <c r="H597" s="11">
        <v>1</v>
      </c>
      <c r="I597" s="14">
        <v>8000.0</v>
      </c>
      <c r="J597" s="14"/>
      <c r="K597" s="16">
        <f>IF(I597&gt;0, J597/I597, 0)</f>
        <v>0</v>
      </c>
      <c r="L597" s="14">
        <v>8000.0</v>
      </c>
      <c r="M597" s="14"/>
      <c r="N597" s="14">
        <f>L597-M597</f>
        <v>8000</v>
      </c>
      <c r="O597" s="9" t="s">
        <v>40</v>
      </c>
      <c r="P597" s="9" t="s">
        <v>41</v>
      </c>
      <c r="Q597" s="9" t="s">
        <v>42</v>
      </c>
      <c r="R597" s="7" t="s">
        <v>2122</v>
      </c>
      <c r="S597" s="7" t="s">
        <v>42</v>
      </c>
    </row>
    <row r="598" spans="1:19">
      <c r="A598" s="8">
        <v>591</v>
      </c>
      <c r="B598" s="8" t="s">
        <v>880</v>
      </c>
      <c r="C598" s="8" t="s">
        <v>843</v>
      </c>
      <c r="D598" s="8" t="s">
        <v>652</v>
      </c>
      <c r="E598" s="8" t="s">
        <v>33</v>
      </c>
      <c r="F598" s="6" t="s">
        <v>39</v>
      </c>
      <c r="G598" s="10">
        <v>1</v>
      </c>
      <c r="H598" s="10">
        <v>1</v>
      </c>
      <c r="I598" s="13">
        <v>16000.0</v>
      </c>
      <c r="J598" s="13"/>
      <c r="K598" s="15">
        <f>IF(I598&gt;0, J598/I598, 0)</f>
        <v>0</v>
      </c>
      <c r="L598" s="13">
        <v>16000.0</v>
      </c>
      <c r="M598" s="13"/>
      <c r="N598" s="13">
        <f>L598-M598</f>
        <v>16000</v>
      </c>
      <c r="O598" s="8" t="s">
        <v>40</v>
      </c>
      <c r="P598" s="8" t="s">
        <v>41</v>
      </c>
      <c r="Q598" s="8" t="s">
        <v>42</v>
      </c>
      <c r="R598" s="6" t="s">
        <v>2144</v>
      </c>
      <c r="S598" s="6" t="s">
        <v>42</v>
      </c>
    </row>
    <row r="599" spans="1:19">
      <c r="A599" s="9">
        <v>592</v>
      </c>
      <c r="B599" s="9" t="s">
        <v>881</v>
      </c>
      <c r="C599" s="9" t="s">
        <v>843</v>
      </c>
      <c r="D599" s="9" t="s">
        <v>652</v>
      </c>
      <c r="E599" s="9" t="s">
        <v>33</v>
      </c>
      <c r="F599" s="7" t="s">
        <v>39</v>
      </c>
      <c r="G599" s="11">
        <v>1</v>
      </c>
      <c r="H599" s="11">
        <v>2</v>
      </c>
      <c r="I599" s="14">
        <v>14000.0</v>
      </c>
      <c r="J599" s="14"/>
      <c r="K599" s="16">
        <f>IF(I599&gt;0, J599/I599, 0)</f>
        <v>0</v>
      </c>
      <c r="L599" s="14">
        <v>14000.0</v>
      </c>
      <c r="M599" s="14"/>
      <c r="N599" s="14">
        <f>L599-M599</f>
        <v>14000</v>
      </c>
      <c r="O599" s="9" t="s">
        <v>40</v>
      </c>
      <c r="P599" s="9" t="s">
        <v>41</v>
      </c>
      <c r="Q599" s="9" t="s">
        <v>42</v>
      </c>
      <c r="R599" s="7" t="s">
        <v>2117</v>
      </c>
      <c r="S599" s="7" t="s">
        <v>42</v>
      </c>
    </row>
    <row r="600" spans="1:19">
      <c r="A600" s="8">
        <v>593</v>
      </c>
      <c r="B600" s="8" t="s">
        <v>882</v>
      </c>
      <c r="C600" s="8" t="s">
        <v>843</v>
      </c>
      <c r="D600" s="8" t="s">
        <v>652</v>
      </c>
      <c r="E600" s="8" t="s">
        <v>33</v>
      </c>
      <c r="F600" s="6" t="s">
        <v>39</v>
      </c>
      <c r="G600" s="10">
        <v>1</v>
      </c>
      <c r="H600" s="10">
        <v>1</v>
      </c>
      <c r="I600" s="13">
        <v>7500.0</v>
      </c>
      <c r="J600" s="13"/>
      <c r="K600" s="15">
        <f>IF(I600&gt;0, J600/I600, 0)</f>
        <v>0</v>
      </c>
      <c r="L600" s="13">
        <v>7500.0</v>
      </c>
      <c r="M600" s="13"/>
      <c r="N600" s="13">
        <f>L600-M600</f>
        <v>7500</v>
      </c>
      <c r="O600" s="8" t="s">
        <v>40</v>
      </c>
      <c r="P600" s="8" t="s">
        <v>41</v>
      </c>
      <c r="Q600" s="8" t="s">
        <v>42</v>
      </c>
      <c r="R600" s="6" t="s">
        <v>2128</v>
      </c>
      <c r="S600" s="6" t="s">
        <v>42</v>
      </c>
    </row>
    <row r="601" spans="1:19">
      <c r="A601" s="9">
        <v>594</v>
      </c>
      <c r="B601" s="9" t="s">
        <v>883</v>
      </c>
      <c r="C601" s="9" t="s">
        <v>843</v>
      </c>
      <c r="D601" s="9" t="s">
        <v>652</v>
      </c>
      <c r="E601" s="9" t="s">
        <v>33</v>
      </c>
      <c r="F601" s="7" t="s">
        <v>39</v>
      </c>
      <c r="G601" s="11">
        <v>1</v>
      </c>
      <c r="H601" s="11">
        <v>1</v>
      </c>
      <c r="I601" s="14">
        <v>8000.0</v>
      </c>
      <c r="J601" s="14"/>
      <c r="K601" s="16">
        <f>IF(I601&gt;0, J601/I601, 0)</f>
        <v>0</v>
      </c>
      <c r="L601" s="14">
        <v>8000.0</v>
      </c>
      <c r="M601" s="14"/>
      <c r="N601" s="14">
        <f>L601-M601</f>
        <v>8000</v>
      </c>
      <c r="O601" s="9" t="s">
        <v>40</v>
      </c>
      <c r="P601" s="9" t="s">
        <v>41</v>
      </c>
      <c r="Q601" s="9" t="s">
        <v>42</v>
      </c>
      <c r="R601" s="7" t="s">
        <v>2158</v>
      </c>
      <c r="S601" s="7" t="s">
        <v>42</v>
      </c>
    </row>
    <row r="602" spans="1:19">
      <c r="A602" s="8">
        <v>595</v>
      </c>
      <c r="B602" s="8" t="s">
        <v>884</v>
      </c>
      <c r="C602" s="8" t="s">
        <v>843</v>
      </c>
      <c r="D602" s="8" t="s">
        <v>652</v>
      </c>
      <c r="E602" s="8" t="s">
        <v>33</v>
      </c>
      <c r="F602" s="6" t="s">
        <v>39</v>
      </c>
      <c r="G602" s="10">
        <v>1</v>
      </c>
      <c r="H602" s="10">
        <v>1</v>
      </c>
      <c r="I602" s="13">
        <v>8000.0</v>
      </c>
      <c r="J602" s="13"/>
      <c r="K602" s="15">
        <f>IF(I602&gt;0, J602/I602, 0)</f>
        <v>0</v>
      </c>
      <c r="L602" s="13">
        <v>8000.0</v>
      </c>
      <c r="M602" s="13"/>
      <c r="N602" s="13">
        <f>L602-M602</f>
        <v>8000</v>
      </c>
      <c r="O602" s="8" t="s">
        <v>40</v>
      </c>
      <c r="P602" s="8" t="s">
        <v>41</v>
      </c>
      <c r="Q602" s="8" t="s">
        <v>42</v>
      </c>
      <c r="R602" s="6" t="s">
        <v>2122</v>
      </c>
      <c r="S602" s="6" t="s">
        <v>42</v>
      </c>
    </row>
    <row r="603" spans="1:19">
      <c r="A603" s="9">
        <v>596</v>
      </c>
      <c r="B603" s="9" t="s">
        <v>885</v>
      </c>
      <c r="C603" s="9" t="s">
        <v>843</v>
      </c>
      <c r="D603" s="9" t="s">
        <v>652</v>
      </c>
      <c r="E603" s="9" t="s">
        <v>33</v>
      </c>
      <c r="F603" s="7" t="s">
        <v>39</v>
      </c>
      <c r="G603" s="11">
        <v>1</v>
      </c>
      <c r="H603" s="11">
        <v>1</v>
      </c>
      <c r="I603" s="14">
        <v>18000.0</v>
      </c>
      <c r="J603" s="14"/>
      <c r="K603" s="16">
        <f>IF(I603&gt;0, J603/I603, 0)</f>
        <v>0</v>
      </c>
      <c r="L603" s="14">
        <v>18000.0</v>
      </c>
      <c r="M603" s="14"/>
      <c r="N603" s="14">
        <f>L603-M603</f>
        <v>18000</v>
      </c>
      <c r="O603" s="9" t="s">
        <v>40</v>
      </c>
      <c r="P603" s="9" t="s">
        <v>41</v>
      </c>
      <c r="Q603" s="9" t="s">
        <v>42</v>
      </c>
      <c r="R603" s="7" t="s">
        <v>2103</v>
      </c>
      <c r="S603" s="7" t="s">
        <v>42</v>
      </c>
    </row>
    <row r="604" spans="1:19">
      <c r="A604" s="8">
        <v>597</v>
      </c>
      <c r="B604" s="8" t="s">
        <v>886</v>
      </c>
      <c r="C604" s="8" t="s">
        <v>843</v>
      </c>
      <c r="D604" s="8" t="s">
        <v>652</v>
      </c>
      <c r="E604" s="8" t="s">
        <v>33</v>
      </c>
      <c r="F604" s="6" t="s">
        <v>39</v>
      </c>
      <c r="G604" s="10">
        <v>1</v>
      </c>
      <c r="H604" s="10">
        <v>1</v>
      </c>
      <c r="I604" s="13">
        <v>9000.0</v>
      </c>
      <c r="J604" s="13"/>
      <c r="K604" s="15">
        <f>IF(I604&gt;0, J604/I604, 0)</f>
        <v>0</v>
      </c>
      <c r="L604" s="13">
        <v>9000.0</v>
      </c>
      <c r="M604" s="13"/>
      <c r="N604" s="13">
        <f>L604-M604</f>
        <v>9000</v>
      </c>
      <c r="O604" s="8" t="s">
        <v>40</v>
      </c>
      <c r="P604" s="8" t="s">
        <v>41</v>
      </c>
      <c r="Q604" s="8" t="s">
        <v>42</v>
      </c>
      <c r="R604" s="6" t="s">
        <v>2200</v>
      </c>
      <c r="S604" s="6" t="s">
        <v>42</v>
      </c>
    </row>
    <row r="605" spans="1:19">
      <c r="A605" s="9">
        <v>598</v>
      </c>
      <c r="B605" s="9" t="s">
        <v>887</v>
      </c>
      <c r="C605" s="9" t="s">
        <v>843</v>
      </c>
      <c r="D605" s="9" t="s">
        <v>652</v>
      </c>
      <c r="E605" s="9" t="s">
        <v>33</v>
      </c>
      <c r="F605" s="7" t="s">
        <v>39</v>
      </c>
      <c r="G605" s="11">
        <v>1</v>
      </c>
      <c r="H605" s="11">
        <v>2</v>
      </c>
      <c r="I605" s="14">
        <v>16000.0</v>
      </c>
      <c r="J605" s="14"/>
      <c r="K605" s="16">
        <f>IF(I605&gt;0, J605/I605, 0)</f>
        <v>0</v>
      </c>
      <c r="L605" s="14">
        <v>16000.0</v>
      </c>
      <c r="M605" s="14"/>
      <c r="N605" s="14">
        <f>L605-M605</f>
        <v>16000</v>
      </c>
      <c r="O605" s="9" t="s">
        <v>40</v>
      </c>
      <c r="P605" s="9" t="s">
        <v>41</v>
      </c>
      <c r="Q605" s="9" t="s">
        <v>42</v>
      </c>
      <c r="R605" s="7" t="s">
        <v>2104</v>
      </c>
      <c r="S605" s="7" t="s">
        <v>42</v>
      </c>
    </row>
    <row r="606" spans="1:19">
      <c r="A606" s="8">
        <v>599</v>
      </c>
      <c r="B606" s="8" t="s">
        <v>888</v>
      </c>
      <c r="C606" s="8" t="s">
        <v>843</v>
      </c>
      <c r="D606" s="8" t="s">
        <v>652</v>
      </c>
      <c r="E606" s="8" t="s">
        <v>33</v>
      </c>
      <c r="F606" s="6" t="s">
        <v>39</v>
      </c>
      <c r="G606" s="10">
        <v>1</v>
      </c>
      <c r="H606" s="10">
        <v>1</v>
      </c>
      <c r="I606" s="13">
        <v>8500.0</v>
      </c>
      <c r="J606" s="13"/>
      <c r="K606" s="15">
        <f>IF(I606&gt;0, J606/I606, 0)</f>
        <v>0</v>
      </c>
      <c r="L606" s="13">
        <v>8500.0</v>
      </c>
      <c r="M606" s="13"/>
      <c r="N606" s="13">
        <f>L606-M606</f>
        <v>8500</v>
      </c>
      <c r="O606" s="8" t="s">
        <v>40</v>
      </c>
      <c r="P606" s="8" t="s">
        <v>41</v>
      </c>
      <c r="Q606" s="8" t="s">
        <v>42</v>
      </c>
      <c r="R606" s="6" t="s">
        <v>2078</v>
      </c>
      <c r="S606" s="6" t="s">
        <v>42</v>
      </c>
    </row>
    <row r="607" spans="1:19">
      <c r="A607" s="9">
        <v>600</v>
      </c>
      <c r="B607" s="9" t="s">
        <v>889</v>
      </c>
      <c r="C607" s="9" t="s">
        <v>843</v>
      </c>
      <c r="D607" s="9" t="s">
        <v>652</v>
      </c>
      <c r="E607" s="9" t="s">
        <v>33</v>
      </c>
      <c r="F607" s="7" t="s">
        <v>39</v>
      </c>
      <c r="G607" s="11">
        <v>1</v>
      </c>
      <c r="H607" s="11">
        <v>1</v>
      </c>
      <c r="I607" s="14">
        <v>8500.0</v>
      </c>
      <c r="J607" s="14"/>
      <c r="K607" s="16">
        <f>IF(I607&gt;0, J607/I607, 0)</f>
        <v>0</v>
      </c>
      <c r="L607" s="14">
        <v>8500.0</v>
      </c>
      <c r="M607" s="14"/>
      <c r="N607" s="14">
        <f>L607-M607</f>
        <v>8500</v>
      </c>
      <c r="O607" s="9" t="s">
        <v>40</v>
      </c>
      <c r="P607" s="9" t="s">
        <v>41</v>
      </c>
      <c r="Q607" s="9" t="s">
        <v>42</v>
      </c>
      <c r="R607" s="7" t="s">
        <v>2099</v>
      </c>
      <c r="S607" s="7" t="s">
        <v>42</v>
      </c>
    </row>
    <row r="608" spans="1:19">
      <c r="A608" s="8">
        <v>601</v>
      </c>
      <c r="B608" s="8" t="s">
        <v>890</v>
      </c>
      <c r="C608" s="8" t="s">
        <v>843</v>
      </c>
      <c r="D608" s="8" t="s">
        <v>652</v>
      </c>
      <c r="E608" s="8" t="s">
        <v>33</v>
      </c>
      <c r="F608" s="6" t="s">
        <v>39</v>
      </c>
      <c r="G608" s="10">
        <v>1</v>
      </c>
      <c r="H608" s="10">
        <v>2</v>
      </c>
      <c r="I608" s="13">
        <v>14000.0</v>
      </c>
      <c r="J608" s="13"/>
      <c r="K608" s="15">
        <f>IF(I608&gt;0, J608/I608, 0)</f>
        <v>0</v>
      </c>
      <c r="L608" s="13">
        <v>14000.0</v>
      </c>
      <c r="M608" s="13"/>
      <c r="N608" s="13">
        <f>L608-M608</f>
        <v>14000</v>
      </c>
      <c r="O608" s="8" t="s">
        <v>40</v>
      </c>
      <c r="P608" s="8" t="s">
        <v>41</v>
      </c>
      <c r="Q608" s="8" t="s">
        <v>42</v>
      </c>
      <c r="R608" s="6" t="s">
        <v>2192</v>
      </c>
      <c r="S608" s="6" t="s">
        <v>42</v>
      </c>
    </row>
    <row r="609" spans="1:19">
      <c r="A609" s="9">
        <v>602</v>
      </c>
      <c r="B609" s="9" t="s">
        <v>891</v>
      </c>
      <c r="C609" s="9" t="s">
        <v>843</v>
      </c>
      <c r="D609" s="9" t="s">
        <v>652</v>
      </c>
      <c r="E609" s="9" t="s">
        <v>33</v>
      </c>
      <c r="F609" s="7" t="s">
        <v>39</v>
      </c>
      <c r="G609" s="11">
        <v>1</v>
      </c>
      <c r="H609" s="11">
        <v>1</v>
      </c>
      <c r="I609" s="14">
        <v>8000.0</v>
      </c>
      <c r="J609" s="14"/>
      <c r="K609" s="16">
        <f>IF(I609&gt;0, J609/I609, 0)</f>
        <v>0</v>
      </c>
      <c r="L609" s="14">
        <v>8000.0</v>
      </c>
      <c r="M609" s="14"/>
      <c r="N609" s="14">
        <f>L609-M609</f>
        <v>8000</v>
      </c>
      <c r="O609" s="9" t="s">
        <v>40</v>
      </c>
      <c r="P609" s="9" t="s">
        <v>41</v>
      </c>
      <c r="Q609" s="9" t="s">
        <v>42</v>
      </c>
      <c r="R609" s="7" t="s">
        <v>2078</v>
      </c>
      <c r="S609" s="7" t="s">
        <v>42</v>
      </c>
    </row>
    <row r="610" spans="1:19">
      <c r="A610" s="8">
        <v>603</v>
      </c>
      <c r="B610" s="8" t="s">
        <v>892</v>
      </c>
      <c r="C610" s="8" t="s">
        <v>843</v>
      </c>
      <c r="D610" s="8" t="s">
        <v>652</v>
      </c>
      <c r="E610" s="8" t="s">
        <v>33</v>
      </c>
      <c r="F610" s="6" t="s">
        <v>39</v>
      </c>
      <c r="G610" s="10">
        <v>1</v>
      </c>
      <c r="H610" s="10">
        <v>1</v>
      </c>
      <c r="I610" s="13">
        <v>8000.0</v>
      </c>
      <c r="J610" s="13"/>
      <c r="K610" s="15">
        <f>IF(I610&gt;0, J610/I610, 0)</f>
        <v>0</v>
      </c>
      <c r="L610" s="13">
        <v>8000.0</v>
      </c>
      <c r="M610" s="13"/>
      <c r="N610" s="13">
        <f>L610-M610</f>
        <v>8000</v>
      </c>
      <c r="O610" s="8" t="s">
        <v>40</v>
      </c>
      <c r="P610" s="8" t="s">
        <v>41</v>
      </c>
      <c r="Q610" s="8" t="s">
        <v>42</v>
      </c>
      <c r="R610" s="6" t="s">
        <v>2122</v>
      </c>
      <c r="S610" s="6" t="s">
        <v>42</v>
      </c>
    </row>
    <row r="611" spans="1:19">
      <c r="A611" s="9">
        <v>604</v>
      </c>
      <c r="B611" s="9" t="s">
        <v>893</v>
      </c>
      <c r="C611" s="9" t="s">
        <v>843</v>
      </c>
      <c r="D611" s="9" t="s">
        <v>652</v>
      </c>
      <c r="E611" s="9" t="s">
        <v>33</v>
      </c>
      <c r="F611" s="7" t="s">
        <v>39</v>
      </c>
      <c r="G611" s="11">
        <v>1</v>
      </c>
      <c r="H611" s="11">
        <v>2</v>
      </c>
      <c r="I611" s="14">
        <v>14000.0</v>
      </c>
      <c r="J611" s="14"/>
      <c r="K611" s="16">
        <f>IF(I611&gt;0, J611/I611, 0)</f>
        <v>0</v>
      </c>
      <c r="L611" s="14">
        <v>14000.0</v>
      </c>
      <c r="M611" s="14"/>
      <c r="N611" s="14">
        <f>L611-M611</f>
        <v>14000</v>
      </c>
      <c r="O611" s="9" t="s">
        <v>40</v>
      </c>
      <c r="P611" s="9" t="s">
        <v>41</v>
      </c>
      <c r="Q611" s="9" t="s">
        <v>42</v>
      </c>
      <c r="R611" s="7" t="s">
        <v>2192</v>
      </c>
      <c r="S611" s="7" t="s">
        <v>42</v>
      </c>
    </row>
    <row r="612" spans="1:19">
      <c r="A612" s="8">
        <v>605</v>
      </c>
      <c r="B612" s="8" t="s">
        <v>894</v>
      </c>
      <c r="C612" s="8" t="s">
        <v>843</v>
      </c>
      <c r="D612" s="8" t="s">
        <v>652</v>
      </c>
      <c r="E612" s="8" t="s">
        <v>33</v>
      </c>
      <c r="F612" s="6" t="s">
        <v>39</v>
      </c>
      <c r="G612" s="10">
        <v>1</v>
      </c>
      <c r="H612" s="10">
        <v>1</v>
      </c>
      <c r="I612" s="13">
        <v>8000.0</v>
      </c>
      <c r="J612" s="13"/>
      <c r="K612" s="15">
        <f>IF(I612&gt;0, J612/I612, 0)</f>
        <v>0</v>
      </c>
      <c r="L612" s="13">
        <v>8000.0</v>
      </c>
      <c r="M612" s="13"/>
      <c r="N612" s="13">
        <f>L612-M612</f>
        <v>8000</v>
      </c>
      <c r="O612" s="8" t="s">
        <v>40</v>
      </c>
      <c r="P612" s="8" t="s">
        <v>41</v>
      </c>
      <c r="Q612" s="8" t="s">
        <v>42</v>
      </c>
      <c r="R612" s="6" t="s">
        <v>2078</v>
      </c>
      <c r="S612" s="6" t="s">
        <v>42</v>
      </c>
    </row>
    <row r="613" spans="1:19">
      <c r="A613" s="9">
        <v>606</v>
      </c>
      <c r="B613" s="9" t="s">
        <v>895</v>
      </c>
      <c r="C613" s="9" t="s">
        <v>843</v>
      </c>
      <c r="D613" s="9" t="s">
        <v>652</v>
      </c>
      <c r="E613" s="9" t="s">
        <v>33</v>
      </c>
      <c r="F613" s="7" t="s">
        <v>39</v>
      </c>
      <c r="G613" s="11">
        <v>1</v>
      </c>
      <c r="H613" s="11">
        <v>1</v>
      </c>
      <c r="I613" s="14">
        <v>8000.0</v>
      </c>
      <c r="J613" s="14"/>
      <c r="K613" s="16">
        <f>IF(I613&gt;0, J613/I613, 0)</f>
        <v>0</v>
      </c>
      <c r="L613" s="14">
        <v>8000.0</v>
      </c>
      <c r="M613" s="14"/>
      <c r="N613" s="14">
        <f>L613-M613</f>
        <v>8000</v>
      </c>
      <c r="O613" s="9" t="s">
        <v>40</v>
      </c>
      <c r="P613" s="9" t="s">
        <v>41</v>
      </c>
      <c r="Q613" s="9" t="s">
        <v>42</v>
      </c>
      <c r="R613" s="7" t="s">
        <v>2121</v>
      </c>
      <c r="S613" s="7" t="s">
        <v>42</v>
      </c>
    </row>
    <row r="614" spans="1:19">
      <c r="A614" s="8">
        <v>607</v>
      </c>
      <c r="B614" s="8" t="s">
        <v>896</v>
      </c>
      <c r="C614" s="8" t="s">
        <v>843</v>
      </c>
      <c r="D614" s="8" t="s">
        <v>652</v>
      </c>
      <c r="E614" s="8" t="s">
        <v>33</v>
      </c>
      <c r="F614" s="6" t="s">
        <v>39</v>
      </c>
      <c r="G614" s="10">
        <v>1</v>
      </c>
      <c r="H614" s="10">
        <v>1</v>
      </c>
      <c r="I614" s="13">
        <v>7000.0</v>
      </c>
      <c r="J614" s="13"/>
      <c r="K614" s="15">
        <f>IF(I614&gt;0, J614/I614, 0)</f>
        <v>0</v>
      </c>
      <c r="L614" s="13">
        <v>7000.0</v>
      </c>
      <c r="M614" s="13"/>
      <c r="N614" s="13">
        <f>L614-M614</f>
        <v>7000</v>
      </c>
      <c r="O614" s="8" t="s">
        <v>40</v>
      </c>
      <c r="P614" s="8" t="s">
        <v>41</v>
      </c>
      <c r="Q614" s="8" t="s">
        <v>42</v>
      </c>
      <c r="R614" s="6" t="s">
        <v>2088</v>
      </c>
      <c r="S614" s="6" t="s">
        <v>42</v>
      </c>
    </row>
    <row r="615" spans="1:19">
      <c r="A615" s="9">
        <v>608</v>
      </c>
      <c r="B615" s="9" t="s">
        <v>897</v>
      </c>
      <c r="C615" s="9" t="s">
        <v>843</v>
      </c>
      <c r="D615" s="9" t="s">
        <v>652</v>
      </c>
      <c r="E615" s="9" t="s">
        <v>33</v>
      </c>
      <c r="F615" s="7" t="s">
        <v>39</v>
      </c>
      <c r="G615" s="11">
        <v>1</v>
      </c>
      <c r="H615" s="11">
        <v>1</v>
      </c>
      <c r="I615" s="14">
        <v>7000.0</v>
      </c>
      <c r="J615" s="14"/>
      <c r="K615" s="16">
        <f>IF(I615&gt;0, J615/I615, 0)</f>
        <v>0</v>
      </c>
      <c r="L615" s="14">
        <v>7000.0</v>
      </c>
      <c r="M615" s="14"/>
      <c r="N615" s="14">
        <f>L615-M615</f>
        <v>7000</v>
      </c>
      <c r="O615" s="9" t="s">
        <v>40</v>
      </c>
      <c r="P615" s="9" t="s">
        <v>41</v>
      </c>
      <c r="Q615" s="9" t="s">
        <v>42</v>
      </c>
      <c r="R615" s="7" t="s">
        <v>2142</v>
      </c>
      <c r="S615" s="7" t="s">
        <v>42</v>
      </c>
    </row>
    <row r="616" spans="1:19">
      <c r="A616" s="8">
        <v>609</v>
      </c>
      <c r="B616" s="8" t="s">
        <v>898</v>
      </c>
      <c r="C616" s="8" t="s">
        <v>843</v>
      </c>
      <c r="D616" s="8" t="s">
        <v>652</v>
      </c>
      <c r="E616" s="8" t="s">
        <v>33</v>
      </c>
      <c r="F616" s="6" t="s">
        <v>39</v>
      </c>
      <c r="G616" s="10">
        <v>1</v>
      </c>
      <c r="H616" s="10">
        <v>1</v>
      </c>
      <c r="I616" s="13">
        <v>7000.0</v>
      </c>
      <c r="J616" s="13"/>
      <c r="K616" s="15">
        <f>IF(I616&gt;0, J616/I616, 0)</f>
        <v>0</v>
      </c>
      <c r="L616" s="13">
        <v>7000.0</v>
      </c>
      <c r="M616" s="13"/>
      <c r="N616" s="13">
        <f>L616-M616</f>
        <v>7000</v>
      </c>
      <c r="O616" s="8" t="s">
        <v>40</v>
      </c>
      <c r="P616" s="8" t="s">
        <v>41</v>
      </c>
      <c r="Q616" s="8" t="s">
        <v>42</v>
      </c>
      <c r="R616" s="6" t="s">
        <v>2155</v>
      </c>
      <c r="S616" s="6" t="s">
        <v>42</v>
      </c>
    </row>
    <row r="617" spans="1:19">
      <c r="A617" s="9">
        <v>610</v>
      </c>
      <c r="B617" s="9" t="s">
        <v>899</v>
      </c>
      <c r="C617" s="9" t="s">
        <v>843</v>
      </c>
      <c r="D617" s="9" t="s">
        <v>652</v>
      </c>
      <c r="E617" s="9" t="s">
        <v>33</v>
      </c>
      <c r="F617" s="7" t="s">
        <v>39</v>
      </c>
      <c r="G617" s="11">
        <v>1</v>
      </c>
      <c r="H617" s="11">
        <v>1</v>
      </c>
      <c r="I617" s="14">
        <v>18000.0</v>
      </c>
      <c r="J617" s="14"/>
      <c r="K617" s="16">
        <f>IF(I617&gt;0, J617/I617, 0)</f>
        <v>0</v>
      </c>
      <c r="L617" s="14">
        <v>18000.0</v>
      </c>
      <c r="M617" s="14"/>
      <c r="N617" s="14">
        <f>L617-M617</f>
        <v>18000</v>
      </c>
      <c r="O617" s="9" t="s">
        <v>40</v>
      </c>
      <c r="P617" s="9" t="s">
        <v>41</v>
      </c>
      <c r="Q617" s="9" t="s">
        <v>42</v>
      </c>
      <c r="R617" s="7" t="s">
        <v>2222</v>
      </c>
      <c r="S617" s="7" t="s">
        <v>42</v>
      </c>
    </row>
    <row r="618" spans="1:19">
      <c r="A618" s="8">
        <v>611</v>
      </c>
      <c r="B618" s="8" t="s">
        <v>900</v>
      </c>
      <c r="C618" s="8" t="s">
        <v>843</v>
      </c>
      <c r="D618" s="8" t="s">
        <v>652</v>
      </c>
      <c r="E618" s="8" t="s">
        <v>33</v>
      </c>
      <c r="F618" s="6" t="s">
        <v>39</v>
      </c>
      <c r="G618" s="10">
        <v>1</v>
      </c>
      <c r="H618" s="10">
        <v>1</v>
      </c>
      <c r="I618" s="13">
        <v>18000.0</v>
      </c>
      <c r="J618" s="13"/>
      <c r="K618" s="15">
        <f>IF(I618&gt;0, J618/I618, 0)</f>
        <v>0</v>
      </c>
      <c r="L618" s="13">
        <v>18000.0</v>
      </c>
      <c r="M618" s="13"/>
      <c r="N618" s="13">
        <f>L618-M618</f>
        <v>18000</v>
      </c>
      <c r="O618" s="8" t="s">
        <v>40</v>
      </c>
      <c r="P618" s="8" t="s">
        <v>41</v>
      </c>
      <c r="Q618" s="8" t="s">
        <v>42</v>
      </c>
      <c r="R618" s="6" t="s">
        <v>2120</v>
      </c>
      <c r="S618" s="6" t="s">
        <v>42</v>
      </c>
    </row>
    <row r="619" spans="1:19">
      <c r="A619" s="9">
        <v>612</v>
      </c>
      <c r="B619" s="9" t="s">
        <v>901</v>
      </c>
      <c r="C619" s="9" t="s">
        <v>843</v>
      </c>
      <c r="D619" s="9" t="s">
        <v>652</v>
      </c>
      <c r="E619" s="9" t="s">
        <v>33</v>
      </c>
      <c r="F619" s="7" t="s">
        <v>39</v>
      </c>
      <c r="G619" s="11">
        <v>1</v>
      </c>
      <c r="H619" s="11">
        <v>1</v>
      </c>
      <c r="I619" s="14">
        <v>9000.0</v>
      </c>
      <c r="J619" s="14"/>
      <c r="K619" s="16">
        <f>IF(I619&gt;0, J619/I619, 0)</f>
        <v>0</v>
      </c>
      <c r="L619" s="14">
        <v>9000.0</v>
      </c>
      <c r="M619" s="14"/>
      <c r="N619" s="14">
        <f>L619-M619</f>
        <v>9000</v>
      </c>
      <c r="O619" s="9" t="s">
        <v>40</v>
      </c>
      <c r="P619" s="9" t="s">
        <v>41</v>
      </c>
      <c r="Q619" s="9" t="s">
        <v>42</v>
      </c>
      <c r="R619" s="7" t="s">
        <v>2224</v>
      </c>
      <c r="S619" s="7" t="s">
        <v>42</v>
      </c>
    </row>
    <row r="620" spans="1:19">
      <c r="A620" s="8">
        <v>613</v>
      </c>
      <c r="B620" s="8" t="s">
        <v>903</v>
      </c>
      <c r="C620" s="8" t="s">
        <v>843</v>
      </c>
      <c r="D620" s="8" t="s">
        <v>652</v>
      </c>
      <c r="E620" s="8" t="s">
        <v>33</v>
      </c>
      <c r="F620" s="6" t="s">
        <v>39</v>
      </c>
      <c r="G620" s="10">
        <v>1</v>
      </c>
      <c r="H620" s="10">
        <v>1</v>
      </c>
      <c r="I620" s="13">
        <v>8000.0</v>
      </c>
      <c r="J620" s="13"/>
      <c r="K620" s="15">
        <f>IF(I620&gt;0, J620/I620, 0)</f>
        <v>0</v>
      </c>
      <c r="L620" s="13">
        <v>8000.0</v>
      </c>
      <c r="M620" s="13"/>
      <c r="N620" s="13">
        <f>L620-M620</f>
        <v>8000</v>
      </c>
      <c r="O620" s="8" t="s">
        <v>40</v>
      </c>
      <c r="P620" s="8" t="s">
        <v>41</v>
      </c>
      <c r="Q620" s="8" t="s">
        <v>42</v>
      </c>
      <c r="R620" s="6" t="s">
        <v>2164</v>
      </c>
      <c r="S620" s="6" t="s">
        <v>42</v>
      </c>
    </row>
    <row r="621" spans="1:19">
      <c r="A621" s="9">
        <v>614</v>
      </c>
      <c r="B621" s="9" t="s">
        <v>904</v>
      </c>
      <c r="C621" s="9" t="s">
        <v>843</v>
      </c>
      <c r="D621" s="9" t="s">
        <v>652</v>
      </c>
      <c r="E621" s="9" t="s">
        <v>33</v>
      </c>
      <c r="F621" s="7" t="s">
        <v>39</v>
      </c>
      <c r="G621" s="11">
        <v>1</v>
      </c>
      <c r="H621" s="11">
        <v>1</v>
      </c>
      <c r="I621" s="14">
        <v>8000.0</v>
      </c>
      <c r="J621" s="14"/>
      <c r="K621" s="16">
        <f>IF(I621&gt;0, J621/I621, 0)</f>
        <v>0</v>
      </c>
      <c r="L621" s="14">
        <v>8000.0</v>
      </c>
      <c r="M621" s="14"/>
      <c r="N621" s="14">
        <f>L621-M621</f>
        <v>8000</v>
      </c>
      <c r="O621" s="9" t="s">
        <v>40</v>
      </c>
      <c r="P621" s="9" t="s">
        <v>41</v>
      </c>
      <c r="Q621" s="9" t="s">
        <v>42</v>
      </c>
      <c r="R621" s="7" t="s">
        <v>2158</v>
      </c>
      <c r="S621" s="7" t="s">
        <v>42</v>
      </c>
    </row>
    <row r="622" spans="1:19">
      <c r="A622" s="8">
        <v>615</v>
      </c>
      <c r="B622" s="8" t="s">
        <v>905</v>
      </c>
      <c r="C622" s="8" t="s">
        <v>843</v>
      </c>
      <c r="D622" s="8" t="s">
        <v>652</v>
      </c>
      <c r="E622" s="8" t="s">
        <v>33</v>
      </c>
      <c r="F622" s="6" t="s">
        <v>39</v>
      </c>
      <c r="G622" s="10">
        <v>1</v>
      </c>
      <c r="H622" s="10">
        <v>1</v>
      </c>
      <c r="I622" s="13">
        <v>9500.0</v>
      </c>
      <c r="J622" s="13"/>
      <c r="K622" s="15">
        <f>IF(I622&gt;0, J622/I622, 0)</f>
        <v>0</v>
      </c>
      <c r="L622" s="13">
        <v>9500.0</v>
      </c>
      <c r="M622" s="13"/>
      <c r="N622" s="13">
        <f>L622-M622</f>
        <v>9500</v>
      </c>
      <c r="O622" s="8" t="s">
        <v>40</v>
      </c>
      <c r="P622" s="8" t="s">
        <v>41</v>
      </c>
      <c r="Q622" s="8" t="s">
        <v>42</v>
      </c>
      <c r="R622" s="6" t="s">
        <v>2214</v>
      </c>
      <c r="S622" s="6" t="s">
        <v>42</v>
      </c>
    </row>
    <row r="623" spans="1:19">
      <c r="A623" s="9">
        <v>616</v>
      </c>
      <c r="B623" s="9" t="s">
        <v>906</v>
      </c>
      <c r="C623" s="9" t="s">
        <v>843</v>
      </c>
      <c r="D623" s="9" t="s">
        <v>652</v>
      </c>
      <c r="E623" s="9" t="s">
        <v>33</v>
      </c>
      <c r="F623" s="7" t="s">
        <v>39</v>
      </c>
      <c r="G623" s="11">
        <v>1</v>
      </c>
      <c r="H623" s="11">
        <v>1</v>
      </c>
      <c r="I623" s="14">
        <v>7000.0</v>
      </c>
      <c r="J623" s="14"/>
      <c r="K623" s="16">
        <f>IF(I623&gt;0, J623/I623, 0)</f>
        <v>0</v>
      </c>
      <c r="L623" s="14">
        <v>7000.0</v>
      </c>
      <c r="M623" s="14"/>
      <c r="N623" s="14">
        <f>L623-M623</f>
        <v>7000</v>
      </c>
      <c r="O623" s="9" t="s">
        <v>40</v>
      </c>
      <c r="P623" s="9" t="s">
        <v>41</v>
      </c>
      <c r="Q623" s="9" t="s">
        <v>42</v>
      </c>
      <c r="R623" s="7" t="s">
        <v>2154</v>
      </c>
      <c r="S623" s="7" t="s">
        <v>42</v>
      </c>
    </row>
    <row r="624" spans="1:19">
      <c r="A624" s="8">
        <v>617</v>
      </c>
      <c r="B624" s="8" t="s">
        <v>907</v>
      </c>
      <c r="C624" s="8" t="s">
        <v>843</v>
      </c>
      <c r="D624" s="8" t="s">
        <v>652</v>
      </c>
      <c r="E624" s="8" t="s">
        <v>33</v>
      </c>
      <c r="F624" s="6" t="s">
        <v>39</v>
      </c>
      <c r="G624" s="10">
        <v>1</v>
      </c>
      <c r="H624" s="10">
        <v>1</v>
      </c>
      <c r="I624" s="13">
        <v>7500.0</v>
      </c>
      <c r="J624" s="13"/>
      <c r="K624" s="15">
        <f>IF(I624&gt;0, J624/I624, 0)</f>
        <v>0</v>
      </c>
      <c r="L624" s="13">
        <v>7500.0</v>
      </c>
      <c r="M624" s="13"/>
      <c r="N624" s="13">
        <f>L624-M624</f>
        <v>7500</v>
      </c>
      <c r="O624" s="8" t="s">
        <v>40</v>
      </c>
      <c r="P624" s="8" t="s">
        <v>41</v>
      </c>
      <c r="Q624" s="8" t="s">
        <v>42</v>
      </c>
      <c r="R624" s="6" t="s">
        <v>2201</v>
      </c>
      <c r="S624" s="6" t="s">
        <v>42</v>
      </c>
    </row>
    <row r="625" spans="1:19">
      <c r="A625" s="9">
        <v>618</v>
      </c>
      <c r="B625" s="9" t="s">
        <v>908</v>
      </c>
      <c r="C625" s="9" t="s">
        <v>843</v>
      </c>
      <c r="D625" s="9" t="s">
        <v>652</v>
      </c>
      <c r="E625" s="9" t="s">
        <v>33</v>
      </c>
      <c r="F625" s="7" t="s">
        <v>39</v>
      </c>
      <c r="G625" s="11">
        <v>1</v>
      </c>
      <c r="H625" s="11">
        <v>2</v>
      </c>
      <c r="I625" s="14">
        <v>17000.0</v>
      </c>
      <c r="J625" s="14"/>
      <c r="K625" s="16">
        <f>IF(I625&gt;0, J625/I625, 0)</f>
        <v>0</v>
      </c>
      <c r="L625" s="14">
        <v>17000.0</v>
      </c>
      <c r="M625" s="14"/>
      <c r="N625" s="14">
        <f>L625-M625</f>
        <v>17000</v>
      </c>
      <c r="O625" s="9" t="s">
        <v>40</v>
      </c>
      <c r="P625" s="9" t="s">
        <v>41</v>
      </c>
      <c r="Q625" s="9" t="s">
        <v>42</v>
      </c>
      <c r="R625" s="7" t="s">
        <v>2225</v>
      </c>
      <c r="S625" s="7" t="s">
        <v>42</v>
      </c>
    </row>
    <row r="626" spans="1:19">
      <c r="A626" s="8">
        <v>619</v>
      </c>
      <c r="B626" s="8" t="s">
        <v>910</v>
      </c>
      <c r="C626" s="8" t="s">
        <v>843</v>
      </c>
      <c r="D626" s="8" t="s">
        <v>652</v>
      </c>
      <c r="E626" s="8" t="s">
        <v>33</v>
      </c>
      <c r="F626" s="6" t="s">
        <v>39</v>
      </c>
      <c r="G626" s="10">
        <v>1</v>
      </c>
      <c r="H626" s="10">
        <v>2</v>
      </c>
      <c r="I626" s="13">
        <v>16000.0</v>
      </c>
      <c r="J626" s="13"/>
      <c r="K626" s="15">
        <f>IF(I626&gt;0, J626/I626, 0)</f>
        <v>0</v>
      </c>
      <c r="L626" s="13">
        <v>16000.0</v>
      </c>
      <c r="M626" s="13"/>
      <c r="N626" s="13">
        <f>L626-M626</f>
        <v>16000</v>
      </c>
      <c r="O626" s="8" t="s">
        <v>40</v>
      </c>
      <c r="P626" s="8" t="s">
        <v>41</v>
      </c>
      <c r="Q626" s="8" t="s">
        <v>42</v>
      </c>
      <c r="R626" s="6" t="s">
        <v>2226</v>
      </c>
      <c r="S626" s="6" t="s">
        <v>42</v>
      </c>
    </row>
    <row r="627" spans="1:19">
      <c r="A627" s="9">
        <v>620</v>
      </c>
      <c r="B627" s="9" t="s">
        <v>911</v>
      </c>
      <c r="C627" s="9" t="s">
        <v>843</v>
      </c>
      <c r="D627" s="9" t="s">
        <v>652</v>
      </c>
      <c r="E627" s="9" t="s">
        <v>33</v>
      </c>
      <c r="F627" s="7" t="s">
        <v>39</v>
      </c>
      <c r="G627" s="11">
        <v>1</v>
      </c>
      <c r="H627" s="11">
        <v>2</v>
      </c>
      <c r="I627" s="14">
        <v>16000.0</v>
      </c>
      <c r="J627" s="14"/>
      <c r="K627" s="16">
        <f>IF(I627&gt;0, J627/I627, 0)</f>
        <v>0</v>
      </c>
      <c r="L627" s="14">
        <v>16000.0</v>
      </c>
      <c r="M627" s="14"/>
      <c r="N627" s="14">
        <f>L627-M627</f>
        <v>16000</v>
      </c>
      <c r="O627" s="9" t="s">
        <v>40</v>
      </c>
      <c r="P627" s="9" t="s">
        <v>41</v>
      </c>
      <c r="Q627" s="9" t="s">
        <v>42</v>
      </c>
      <c r="R627" s="7" t="s">
        <v>2147</v>
      </c>
      <c r="S627" s="7" t="s">
        <v>42</v>
      </c>
    </row>
    <row r="628" spans="1:19">
      <c r="A628" s="8">
        <v>621</v>
      </c>
      <c r="B628" s="8" t="s">
        <v>912</v>
      </c>
      <c r="C628" s="8" t="s">
        <v>843</v>
      </c>
      <c r="D628" s="8" t="s">
        <v>652</v>
      </c>
      <c r="E628" s="8" t="s">
        <v>33</v>
      </c>
      <c r="F628" s="6" t="s">
        <v>39</v>
      </c>
      <c r="G628" s="10">
        <v>1</v>
      </c>
      <c r="H628" s="10">
        <v>1</v>
      </c>
      <c r="I628" s="13">
        <v>8000.0</v>
      </c>
      <c r="J628" s="13"/>
      <c r="K628" s="15">
        <f>IF(I628&gt;0, J628/I628, 0)</f>
        <v>0</v>
      </c>
      <c r="L628" s="13">
        <v>8000.0</v>
      </c>
      <c r="M628" s="13"/>
      <c r="N628" s="13">
        <f>L628-M628</f>
        <v>8000</v>
      </c>
      <c r="O628" s="8" t="s">
        <v>40</v>
      </c>
      <c r="P628" s="8" t="s">
        <v>41</v>
      </c>
      <c r="Q628" s="8" t="s">
        <v>42</v>
      </c>
      <c r="R628" s="6" t="s">
        <v>2196</v>
      </c>
      <c r="S628" s="6" t="s">
        <v>42</v>
      </c>
    </row>
    <row r="629" spans="1:19">
      <c r="A629" s="9">
        <v>622</v>
      </c>
      <c r="B629" s="9" t="s">
        <v>913</v>
      </c>
      <c r="C629" s="9" t="s">
        <v>843</v>
      </c>
      <c r="D629" s="9" t="s">
        <v>652</v>
      </c>
      <c r="E629" s="9" t="s">
        <v>33</v>
      </c>
      <c r="F629" s="7" t="s">
        <v>39</v>
      </c>
      <c r="G629" s="11">
        <v>1</v>
      </c>
      <c r="H629" s="11">
        <v>1</v>
      </c>
      <c r="I629" s="14">
        <v>8000.0</v>
      </c>
      <c r="J629" s="14"/>
      <c r="K629" s="16">
        <f>IF(I629&gt;0, J629/I629, 0)</f>
        <v>0</v>
      </c>
      <c r="L629" s="14">
        <v>8000.0</v>
      </c>
      <c r="M629" s="14"/>
      <c r="N629" s="14">
        <f>L629-M629</f>
        <v>8000</v>
      </c>
      <c r="O629" s="9" t="s">
        <v>40</v>
      </c>
      <c r="P629" s="9" t="s">
        <v>41</v>
      </c>
      <c r="Q629" s="9" t="s">
        <v>42</v>
      </c>
      <c r="R629" s="7" t="s">
        <v>2189</v>
      </c>
      <c r="S629" s="7" t="s">
        <v>42</v>
      </c>
    </row>
    <row r="630" spans="1:19">
      <c r="A630" s="8">
        <v>623</v>
      </c>
      <c r="B630" s="8" t="s">
        <v>914</v>
      </c>
      <c r="C630" s="8" t="s">
        <v>843</v>
      </c>
      <c r="D630" s="8" t="s">
        <v>652</v>
      </c>
      <c r="E630" s="8" t="s">
        <v>33</v>
      </c>
      <c r="F630" s="6" t="s">
        <v>39</v>
      </c>
      <c r="G630" s="10">
        <v>1</v>
      </c>
      <c r="H630" s="10">
        <v>2</v>
      </c>
      <c r="I630" s="13">
        <v>14000.0</v>
      </c>
      <c r="J630" s="13"/>
      <c r="K630" s="15">
        <f>IF(I630&gt;0, J630/I630, 0)</f>
        <v>0</v>
      </c>
      <c r="L630" s="13">
        <v>14000.0</v>
      </c>
      <c r="M630" s="13"/>
      <c r="N630" s="13">
        <f>L630-M630</f>
        <v>14000</v>
      </c>
      <c r="O630" s="8" t="s">
        <v>40</v>
      </c>
      <c r="P630" s="8" t="s">
        <v>41</v>
      </c>
      <c r="Q630" s="8" t="s">
        <v>42</v>
      </c>
      <c r="R630" s="6" t="s">
        <v>2098</v>
      </c>
      <c r="S630" s="6" t="s">
        <v>42</v>
      </c>
    </row>
    <row r="631" spans="1:19">
      <c r="A631" s="9">
        <v>624</v>
      </c>
      <c r="B631" s="9" t="s">
        <v>915</v>
      </c>
      <c r="C631" s="9" t="s">
        <v>843</v>
      </c>
      <c r="D631" s="9" t="s">
        <v>652</v>
      </c>
      <c r="E631" s="9" t="s">
        <v>33</v>
      </c>
      <c r="F631" s="7" t="s">
        <v>39</v>
      </c>
      <c r="G631" s="11">
        <v>1</v>
      </c>
      <c r="H631" s="11">
        <v>2</v>
      </c>
      <c r="I631" s="14">
        <v>14000.0</v>
      </c>
      <c r="J631" s="14"/>
      <c r="K631" s="16">
        <f>IF(I631&gt;0, J631/I631, 0)</f>
        <v>0</v>
      </c>
      <c r="L631" s="14">
        <v>14000.0</v>
      </c>
      <c r="M631" s="14"/>
      <c r="N631" s="14">
        <f>L631-M631</f>
        <v>14000</v>
      </c>
      <c r="O631" s="9" t="s">
        <v>40</v>
      </c>
      <c r="P631" s="9" t="s">
        <v>41</v>
      </c>
      <c r="Q631" s="9" t="s">
        <v>42</v>
      </c>
      <c r="R631" s="7" t="s">
        <v>2198</v>
      </c>
      <c r="S631" s="7" t="s">
        <v>42</v>
      </c>
    </row>
    <row r="632" spans="1:19">
      <c r="A632" s="8">
        <v>625</v>
      </c>
      <c r="B632" s="8" t="s">
        <v>916</v>
      </c>
      <c r="C632" s="8" t="s">
        <v>843</v>
      </c>
      <c r="D632" s="8" t="s">
        <v>652</v>
      </c>
      <c r="E632" s="8" t="s">
        <v>33</v>
      </c>
      <c r="F632" s="6" t="s">
        <v>39</v>
      </c>
      <c r="G632" s="10">
        <v>1</v>
      </c>
      <c r="H632" s="10">
        <v>1</v>
      </c>
      <c r="I632" s="13">
        <v>16500.0</v>
      </c>
      <c r="J632" s="13"/>
      <c r="K632" s="15">
        <f>IF(I632&gt;0, J632/I632, 0)</f>
        <v>0</v>
      </c>
      <c r="L632" s="13">
        <v>16500.0</v>
      </c>
      <c r="M632" s="13"/>
      <c r="N632" s="13">
        <f>L632-M632</f>
        <v>16500</v>
      </c>
      <c r="O632" s="8" t="s">
        <v>40</v>
      </c>
      <c r="P632" s="8" t="s">
        <v>41</v>
      </c>
      <c r="Q632" s="8" t="s">
        <v>42</v>
      </c>
      <c r="R632" s="6" t="s">
        <v>2227</v>
      </c>
      <c r="S632" s="6" t="s">
        <v>42</v>
      </c>
    </row>
    <row r="633" spans="1:19">
      <c r="A633" s="9">
        <v>626</v>
      </c>
      <c r="B633" s="9" t="s">
        <v>918</v>
      </c>
      <c r="C633" s="9" t="s">
        <v>843</v>
      </c>
      <c r="D633" s="9" t="s">
        <v>652</v>
      </c>
      <c r="E633" s="9" t="s">
        <v>33</v>
      </c>
      <c r="F633" s="7" t="s">
        <v>39</v>
      </c>
      <c r="G633" s="11">
        <v>1</v>
      </c>
      <c r="H633" s="11">
        <v>1</v>
      </c>
      <c r="I633" s="14">
        <v>16000.0</v>
      </c>
      <c r="J633" s="14"/>
      <c r="K633" s="16">
        <f>IF(I633&gt;0, J633/I633, 0)</f>
        <v>0</v>
      </c>
      <c r="L633" s="14">
        <v>16000.0</v>
      </c>
      <c r="M633" s="14"/>
      <c r="N633" s="14">
        <f>L633-M633</f>
        <v>16000</v>
      </c>
      <c r="O633" s="9" t="s">
        <v>40</v>
      </c>
      <c r="P633" s="9" t="s">
        <v>41</v>
      </c>
      <c r="Q633" s="9" t="s">
        <v>42</v>
      </c>
      <c r="R633" s="7" t="s">
        <v>2126</v>
      </c>
      <c r="S633" s="7" t="s">
        <v>42</v>
      </c>
    </row>
    <row r="634" spans="1:19">
      <c r="A634" s="8">
        <v>627</v>
      </c>
      <c r="B634" s="8" t="s">
        <v>919</v>
      </c>
      <c r="C634" s="8" t="s">
        <v>843</v>
      </c>
      <c r="D634" s="8" t="s">
        <v>652</v>
      </c>
      <c r="E634" s="8" t="s">
        <v>33</v>
      </c>
      <c r="F634" s="6" t="s">
        <v>39</v>
      </c>
      <c r="G634" s="10">
        <v>1</v>
      </c>
      <c r="H634" s="10">
        <v>1</v>
      </c>
      <c r="I634" s="13">
        <v>16000.0</v>
      </c>
      <c r="J634" s="13"/>
      <c r="K634" s="15">
        <f>IF(I634&gt;0, J634/I634, 0)</f>
        <v>0</v>
      </c>
      <c r="L634" s="13">
        <v>16000.0</v>
      </c>
      <c r="M634" s="13"/>
      <c r="N634" s="13">
        <f>L634-M634</f>
        <v>16000</v>
      </c>
      <c r="O634" s="8" t="s">
        <v>40</v>
      </c>
      <c r="P634" s="8" t="s">
        <v>41</v>
      </c>
      <c r="Q634" s="8" t="s">
        <v>42</v>
      </c>
      <c r="R634" s="6" t="s">
        <v>2132</v>
      </c>
      <c r="S634" s="6" t="s">
        <v>42</v>
      </c>
    </row>
    <row r="635" spans="1:19">
      <c r="A635" s="9">
        <v>628</v>
      </c>
      <c r="B635" s="9" t="s">
        <v>920</v>
      </c>
      <c r="C635" s="9" t="s">
        <v>843</v>
      </c>
      <c r="D635" s="9" t="s">
        <v>652</v>
      </c>
      <c r="E635" s="9" t="s">
        <v>33</v>
      </c>
      <c r="F635" s="7" t="s">
        <v>39</v>
      </c>
      <c r="G635" s="11">
        <v>1</v>
      </c>
      <c r="H635" s="11">
        <v>1</v>
      </c>
      <c r="I635" s="14">
        <v>18000.0</v>
      </c>
      <c r="J635" s="14"/>
      <c r="K635" s="16">
        <f>IF(I635&gt;0, J635/I635, 0)</f>
        <v>0</v>
      </c>
      <c r="L635" s="14">
        <v>18000.0</v>
      </c>
      <c r="M635" s="14"/>
      <c r="N635" s="14">
        <f>L635-M635</f>
        <v>18000</v>
      </c>
      <c r="O635" s="9" t="s">
        <v>40</v>
      </c>
      <c r="P635" s="9" t="s">
        <v>41</v>
      </c>
      <c r="Q635" s="9" t="s">
        <v>42</v>
      </c>
      <c r="R635" s="7" t="s">
        <v>2185</v>
      </c>
      <c r="S635" s="7" t="s">
        <v>42</v>
      </c>
    </row>
    <row r="636" spans="1:19">
      <c r="A636" s="8">
        <v>629</v>
      </c>
      <c r="B636" s="8" t="s">
        <v>921</v>
      </c>
      <c r="C636" s="8" t="s">
        <v>843</v>
      </c>
      <c r="D636" s="8" t="s">
        <v>652</v>
      </c>
      <c r="E636" s="8" t="s">
        <v>33</v>
      </c>
      <c r="F636" s="6" t="s">
        <v>39</v>
      </c>
      <c r="G636" s="10">
        <v>1</v>
      </c>
      <c r="H636" s="10">
        <v>1</v>
      </c>
      <c r="I636" s="13">
        <v>18000.0</v>
      </c>
      <c r="J636" s="13"/>
      <c r="K636" s="15">
        <f>IF(I636&gt;0, J636/I636, 0)</f>
        <v>0</v>
      </c>
      <c r="L636" s="13">
        <v>18000.0</v>
      </c>
      <c r="M636" s="13"/>
      <c r="N636" s="13">
        <f>L636-M636</f>
        <v>18000</v>
      </c>
      <c r="O636" s="8" t="s">
        <v>40</v>
      </c>
      <c r="P636" s="8" t="s">
        <v>41</v>
      </c>
      <c r="Q636" s="8" t="s">
        <v>42</v>
      </c>
      <c r="R636" s="6" t="s">
        <v>2160</v>
      </c>
      <c r="S636" s="6" t="s">
        <v>42</v>
      </c>
    </row>
    <row r="637" spans="1:19">
      <c r="A637" s="9">
        <v>630</v>
      </c>
      <c r="B637" s="9" t="s">
        <v>922</v>
      </c>
      <c r="C637" s="9" t="s">
        <v>843</v>
      </c>
      <c r="D637" s="9" t="s">
        <v>652</v>
      </c>
      <c r="E637" s="9" t="s">
        <v>33</v>
      </c>
      <c r="F637" s="7" t="s">
        <v>39</v>
      </c>
      <c r="G637" s="11">
        <v>1</v>
      </c>
      <c r="H637" s="11">
        <v>1</v>
      </c>
      <c r="I637" s="14">
        <v>18000.0</v>
      </c>
      <c r="J637" s="14"/>
      <c r="K637" s="16">
        <f>IF(I637&gt;0, J637/I637, 0)</f>
        <v>0</v>
      </c>
      <c r="L637" s="14">
        <v>18000.0</v>
      </c>
      <c r="M637" s="14"/>
      <c r="N637" s="14">
        <f>L637-M637</f>
        <v>18000</v>
      </c>
      <c r="O637" s="9" t="s">
        <v>40</v>
      </c>
      <c r="P637" s="9" t="s">
        <v>41</v>
      </c>
      <c r="Q637" s="9" t="s">
        <v>42</v>
      </c>
      <c r="R637" s="7" t="s">
        <v>2170</v>
      </c>
      <c r="S637" s="7" t="s">
        <v>42</v>
      </c>
    </row>
    <row r="638" spans="1:19">
      <c r="A638" s="8">
        <v>631</v>
      </c>
      <c r="B638" s="8" t="s">
        <v>923</v>
      </c>
      <c r="C638" s="8" t="s">
        <v>843</v>
      </c>
      <c r="D638" s="8" t="s">
        <v>652</v>
      </c>
      <c r="E638" s="8" t="s">
        <v>33</v>
      </c>
      <c r="F638" s="6" t="s">
        <v>39</v>
      </c>
      <c r="G638" s="10">
        <v>1</v>
      </c>
      <c r="H638" s="10">
        <v>1</v>
      </c>
      <c r="I638" s="13">
        <v>16000.0</v>
      </c>
      <c r="J638" s="13"/>
      <c r="K638" s="15">
        <f>IF(I638&gt;0, J638/I638, 0)</f>
        <v>0</v>
      </c>
      <c r="L638" s="13">
        <v>16000.0</v>
      </c>
      <c r="M638" s="13"/>
      <c r="N638" s="13">
        <f>L638-M638</f>
        <v>16000</v>
      </c>
      <c r="O638" s="8" t="s">
        <v>40</v>
      </c>
      <c r="P638" s="8" t="s">
        <v>41</v>
      </c>
      <c r="Q638" s="8" t="s">
        <v>42</v>
      </c>
      <c r="R638" s="6" t="s">
        <v>2132</v>
      </c>
      <c r="S638" s="6" t="s">
        <v>42</v>
      </c>
    </row>
    <row r="639" spans="1:19">
      <c r="A639" s="9">
        <v>632</v>
      </c>
      <c r="B639" s="9" t="s">
        <v>924</v>
      </c>
      <c r="C639" s="9" t="s">
        <v>843</v>
      </c>
      <c r="D639" s="9" t="s">
        <v>652</v>
      </c>
      <c r="E639" s="9" t="s">
        <v>33</v>
      </c>
      <c r="F639" s="7" t="s">
        <v>39</v>
      </c>
      <c r="G639" s="11">
        <v>1</v>
      </c>
      <c r="H639" s="11">
        <v>1</v>
      </c>
      <c r="I639" s="14">
        <v>8000.0</v>
      </c>
      <c r="J639" s="14"/>
      <c r="K639" s="16">
        <f>IF(I639&gt;0, J639/I639, 0)</f>
        <v>0</v>
      </c>
      <c r="L639" s="14">
        <v>8000.0</v>
      </c>
      <c r="M639" s="14"/>
      <c r="N639" s="14">
        <f>L639-M639</f>
        <v>8000</v>
      </c>
      <c r="O639" s="9" t="s">
        <v>40</v>
      </c>
      <c r="P639" s="9" t="s">
        <v>41</v>
      </c>
      <c r="Q639" s="9" t="s">
        <v>42</v>
      </c>
      <c r="R639" s="7" t="s">
        <v>2116</v>
      </c>
      <c r="S639" s="7" t="s">
        <v>42</v>
      </c>
    </row>
    <row r="640" spans="1:19">
      <c r="A640" s="8">
        <v>633</v>
      </c>
      <c r="B640" s="8" t="s">
        <v>925</v>
      </c>
      <c r="C640" s="8" t="s">
        <v>843</v>
      </c>
      <c r="D640" s="8" t="s">
        <v>652</v>
      </c>
      <c r="E640" s="8" t="s">
        <v>33</v>
      </c>
      <c r="F640" s="6" t="s">
        <v>39</v>
      </c>
      <c r="G640" s="10">
        <v>1</v>
      </c>
      <c r="H640" s="10">
        <v>1</v>
      </c>
      <c r="I640" s="13">
        <v>8000.0</v>
      </c>
      <c r="J640" s="13"/>
      <c r="K640" s="15">
        <f>IF(I640&gt;0, J640/I640, 0)</f>
        <v>0</v>
      </c>
      <c r="L640" s="13">
        <v>8000.0</v>
      </c>
      <c r="M640" s="13"/>
      <c r="N640" s="13">
        <f>L640-M640</f>
        <v>8000</v>
      </c>
      <c r="O640" s="8" t="s">
        <v>40</v>
      </c>
      <c r="P640" s="8" t="s">
        <v>41</v>
      </c>
      <c r="Q640" s="8" t="s">
        <v>42</v>
      </c>
      <c r="R640" s="6" t="s">
        <v>2163</v>
      </c>
      <c r="S640" s="6" t="s">
        <v>42</v>
      </c>
    </row>
    <row r="641" spans="1:19">
      <c r="A641" s="9">
        <v>634</v>
      </c>
      <c r="B641" s="9" t="s">
        <v>926</v>
      </c>
      <c r="C641" s="9" t="s">
        <v>843</v>
      </c>
      <c r="D641" s="9" t="s">
        <v>652</v>
      </c>
      <c r="E641" s="9" t="s">
        <v>33</v>
      </c>
      <c r="F641" s="7" t="s">
        <v>39</v>
      </c>
      <c r="G641" s="11">
        <v>1</v>
      </c>
      <c r="H641" s="11">
        <v>1</v>
      </c>
      <c r="I641" s="14">
        <v>8000.0</v>
      </c>
      <c r="J641" s="14"/>
      <c r="K641" s="16">
        <f>IF(I641&gt;0, J641/I641, 0)</f>
        <v>0</v>
      </c>
      <c r="L641" s="14">
        <v>8000.0</v>
      </c>
      <c r="M641" s="14"/>
      <c r="N641" s="14">
        <f>L641-M641</f>
        <v>8000</v>
      </c>
      <c r="O641" s="9" t="s">
        <v>40</v>
      </c>
      <c r="P641" s="9" t="s">
        <v>41</v>
      </c>
      <c r="Q641" s="9" t="s">
        <v>42</v>
      </c>
      <c r="R641" s="7" t="s">
        <v>2189</v>
      </c>
      <c r="S641" s="7" t="s">
        <v>42</v>
      </c>
    </row>
    <row r="642" spans="1:19">
      <c r="A642" s="8">
        <v>635</v>
      </c>
      <c r="B642" s="8" t="s">
        <v>927</v>
      </c>
      <c r="C642" s="8" t="s">
        <v>843</v>
      </c>
      <c r="D642" s="8" t="s">
        <v>652</v>
      </c>
      <c r="E642" s="8" t="s">
        <v>33</v>
      </c>
      <c r="F642" s="6" t="s">
        <v>39</v>
      </c>
      <c r="G642" s="10">
        <v>1</v>
      </c>
      <c r="H642" s="10">
        <v>2</v>
      </c>
      <c r="I642" s="13">
        <v>14000.0</v>
      </c>
      <c r="J642" s="13"/>
      <c r="K642" s="15">
        <f>IF(I642&gt;0, J642/I642, 0)</f>
        <v>0</v>
      </c>
      <c r="L642" s="13">
        <v>14000.0</v>
      </c>
      <c r="M642" s="13"/>
      <c r="N642" s="13">
        <f>L642-M642</f>
        <v>14000</v>
      </c>
      <c r="O642" s="8" t="s">
        <v>40</v>
      </c>
      <c r="P642" s="8" t="s">
        <v>41</v>
      </c>
      <c r="Q642" s="8" t="s">
        <v>42</v>
      </c>
      <c r="R642" s="6" t="s">
        <v>2192</v>
      </c>
      <c r="S642" s="6" t="s">
        <v>42</v>
      </c>
    </row>
    <row r="643" spans="1:19">
      <c r="A643" s="9">
        <v>636</v>
      </c>
      <c r="B643" s="9" t="s">
        <v>928</v>
      </c>
      <c r="C643" s="9" t="s">
        <v>843</v>
      </c>
      <c r="D643" s="9" t="s">
        <v>652</v>
      </c>
      <c r="E643" s="9" t="s">
        <v>68</v>
      </c>
      <c r="F643" s="7" t="s">
        <v>39</v>
      </c>
      <c r="G643" s="11">
        <v>1</v>
      </c>
      <c r="H643" s="11">
        <v>2</v>
      </c>
      <c r="I643" s="14">
        <v>20000.0</v>
      </c>
      <c r="J643" s="14"/>
      <c r="K643" s="16">
        <f>IF(I643&gt;0, J643/I643, 0)</f>
        <v>0</v>
      </c>
      <c r="L643" s="14">
        <v>20000.0</v>
      </c>
      <c r="M643" s="14"/>
      <c r="N643" s="14">
        <f>L643-M643</f>
        <v>20000</v>
      </c>
      <c r="O643" s="9" t="s">
        <v>40</v>
      </c>
      <c r="P643" s="9" t="s">
        <v>71</v>
      </c>
      <c r="Q643" s="9" t="s">
        <v>42</v>
      </c>
      <c r="R643" s="7" t="s">
        <v>2228</v>
      </c>
      <c r="S643" s="7" t="s">
        <v>42</v>
      </c>
    </row>
    <row r="644" spans="1:19">
      <c r="A644" s="8">
        <v>637</v>
      </c>
      <c r="B644" s="8" t="s">
        <v>929</v>
      </c>
      <c r="C644" s="8" t="s">
        <v>843</v>
      </c>
      <c r="D644" s="8" t="s">
        <v>652</v>
      </c>
      <c r="E644" s="8" t="s">
        <v>68</v>
      </c>
      <c r="F644" s="6" t="s">
        <v>39</v>
      </c>
      <c r="G644" s="10">
        <v>1</v>
      </c>
      <c r="H644" s="10">
        <v>1</v>
      </c>
      <c r="I644" s="13">
        <v>10000.0</v>
      </c>
      <c r="J644" s="13"/>
      <c r="K644" s="15">
        <f>IF(I644&gt;0, J644/I644, 0)</f>
        <v>0</v>
      </c>
      <c r="L644" s="13">
        <v>10000.0</v>
      </c>
      <c r="M644" s="13"/>
      <c r="N644" s="13">
        <f>L644-M644</f>
        <v>10000</v>
      </c>
      <c r="O644" s="8" t="s">
        <v>40</v>
      </c>
      <c r="P644" s="8" t="s">
        <v>71</v>
      </c>
      <c r="Q644" s="8" t="s">
        <v>42</v>
      </c>
      <c r="R644" s="6" t="s">
        <v>2140</v>
      </c>
      <c r="S644" s="6" t="s">
        <v>42</v>
      </c>
    </row>
    <row r="645" spans="1:19">
      <c r="A645" s="9">
        <v>638</v>
      </c>
      <c r="B645" s="9" t="s">
        <v>930</v>
      </c>
      <c r="C645" s="9" t="s">
        <v>843</v>
      </c>
      <c r="D645" s="9" t="s">
        <v>652</v>
      </c>
      <c r="E645" s="9" t="s">
        <v>33</v>
      </c>
      <c r="F645" s="7" t="s">
        <v>39</v>
      </c>
      <c r="G645" s="11">
        <v>1</v>
      </c>
      <c r="H645" s="11">
        <v>2</v>
      </c>
      <c r="I645" s="14">
        <v>16000.0</v>
      </c>
      <c r="J645" s="14"/>
      <c r="K645" s="16">
        <f>IF(I645&gt;0, J645/I645, 0)</f>
        <v>0</v>
      </c>
      <c r="L645" s="14">
        <v>16000.0</v>
      </c>
      <c r="M645" s="14"/>
      <c r="N645" s="14">
        <f>L645-M645</f>
        <v>16000</v>
      </c>
      <c r="O645" s="9" t="s">
        <v>40</v>
      </c>
      <c r="P645" s="9" t="s">
        <v>41</v>
      </c>
      <c r="Q645" s="9" t="s">
        <v>42</v>
      </c>
      <c r="R645" s="7" t="s">
        <v>2199</v>
      </c>
      <c r="S645" s="7" t="s">
        <v>42</v>
      </c>
    </row>
    <row r="646" spans="1:19">
      <c r="A646" s="8">
        <v>639</v>
      </c>
      <c r="B646" s="8" t="s">
        <v>931</v>
      </c>
      <c r="C646" s="8" t="s">
        <v>843</v>
      </c>
      <c r="D646" s="8" t="s">
        <v>652</v>
      </c>
      <c r="E646" s="8" t="s">
        <v>33</v>
      </c>
      <c r="F646" s="6" t="s">
        <v>39</v>
      </c>
      <c r="G646" s="10">
        <v>1</v>
      </c>
      <c r="H646" s="10">
        <v>1</v>
      </c>
      <c r="I646" s="13">
        <v>8500.0</v>
      </c>
      <c r="J646" s="13"/>
      <c r="K646" s="15">
        <f>IF(I646&gt;0, J646/I646, 0)</f>
        <v>0</v>
      </c>
      <c r="L646" s="13">
        <v>8500.0</v>
      </c>
      <c r="M646" s="13"/>
      <c r="N646" s="13">
        <f>L646-M646</f>
        <v>8500</v>
      </c>
      <c r="O646" s="8" t="s">
        <v>40</v>
      </c>
      <c r="P646" s="8" t="s">
        <v>41</v>
      </c>
      <c r="Q646" s="8" t="s">
        <v>42</v>
      </c>
      <c r="R646" s="6" t="s">
        <v>2099</v>
      </c>
      <c r="S646" s="6" t="s">
        <v>42</v>
      </c>
    </row>
    <row r="647" spans="1:19">
      <c r="A647" s="9">
        <v>640</v>
      </c>
      <c r="B647" s="9" t="s">
        <v>932</v>
      </c>
      <c r="C647" s="9" t="s">
        <v>843</v>
      </c>
      <c r="D647" s="9" t="s">
        <v>652</v>
      </c>
      <c r="E647" s="9" t="s">
        <v>33</v>
      </c>
      <c r="F647" s="7" t="s">
        <v>39</v>
      </c>
      <c r="G647" s="11">
        <v>1</v>
      </c>
      <c r="H647" s="11">
        <v>2</v>
      </c>
      <c r="I647" s="14">
        <v>32000.0</v>
      </c>
      <c r="J647" s="14"/>
      <c r="K647" s="16">
        <f>IF(I647&gt;0, J647/I647, 0)</f>
        <v>0</v>
      </c>
      <c r="L647" s="14">
        <v>32000.0</v>
      </c>
      <c r="M647" s="14"/>
      <c r="N647" s="14">
        <f>L647-M647</f>
        <v>32000</v>
      </c>
      <c r="O647" s="9" t="s">
        <v>40</v>
      </c>
      <c r="P647" s="9" t="s">
        <v>41</v>
      </c>
      <c r="Q647" s="9" t="s">
        <v>42</v>
      </c>
      <c r="R647" s="7" t="s">
        <v>2229</v>
      </c>
      <c r="S647" s="7" t="s">
        <v>42</v>
      </c>
    </row>
    <row r="648" spans="1:19">
      <c r="A648" s="8">
        <v>641</v>
      </c>
      <c r="B648" s="8" t="s">
        <v>933</v>
      </c>
      <c r="C648" s="8" t="s">
        <v>843</v>
      </c>
      <c r="D648" s="8" t="s">
        <v>652</v>
      </c>
      <c r="E648" s="8" t="s">
        <v>33</v>
      </c>
      <c r="F648" s="6" t="s">
        <v>39</v>
      </c>
      <c r="G648" s="10">
        <v>1</v>
      </c>
      <c r="H648" s="10">
        <v>1</v>
      </c>
      <c r="I648" s="13">
        <v>18000.0</v>
      </c>
      <c r="J648" s="13"/>
      <c r="K648" s="15">
        <f>IF(I648&gt;0, J648/I648, 0)</f>
        <v>0</v>
      </c>
      <c r="L648" s="13">
        <v>18000.0</v>
      </c>
      <c r="M648" s="13"/>
      <c r="N648" s="13">
        <f>L648-M648</f>
        <v>18000</v>
      </c>
      <c r="O648" s="8" t="s">
        <v>40</v>
      </c>
      <c r="P648" s="8" t="s">
        <v>41</v>
      </c>
      <c r="Q648" s="8" t="s">
        <v>42</v>
      </c>
      <c r="R648" s="6" t="s">
        <v>2169</v>
      </c>
      <c r="S648" s="6" t="s">
        <v>42</v>
      </c>
    </row>
    <row r="649" spans="1:19">
      <c r="A649" s="9">
        <v>642</v>
      </c>
      <c r="B649" s="9" t="s">
        <v>934</v>
      </c>
      <c r="C649" s="9" t="s">
        <v>843</v>
      </c>
      <c r="D649" s="9" t="s">
        <v>652</v>
      </c>
      <c r="E649" s="9" t="s">
        <v>33</v>
      </c>
      <c r="F649" s="7" t="s">
        <v>39</v>
      </c>
      <c r="G649" s="11">
        <v>1</v>
      </c>
      <c r="H649" s="11">
        <v>1</v>
      </c>
      <c r="I649" s="14">
        <v>18000.0</v>
      </c>
      <c r="J649" s="14"/>
      <c r="K649" s="16">
        <f>IF(I649&gt;0, J649/I649, 0)</f>
        <v>0</v>
      </c>
      <c r="L649" s="14">
        <v>18000.0</v>
      </c>
      <c r="M649" s="14"/>
      <c r="N649" s="14">
        <f>L649-M649</f>
        <v>18000</v>
      </c>
      <c r="O649" s="9" t="s">
        <v>40</v>
      </c>
      <c r="P649" s="9" t="s">
        <v>41</v>
      </c>
      <c r="Q649" s="9" t="s">
        <v>42</v>
      </c>
      <c r="R649" s="7" t="s">
        <v>2174</v>
      </c>
      <c r="S649" s="7" t="s">
        <v>42</v>
      </c>
    </row>
    <row r="650" spans="1:19">
      <c r="A650" s="8">
        <v>643</v>
      </c>
      <c r="B650" s="8" t="s">
        <v>935</v>
      </c>
      <c r="C650" s="8" t="s">
        <v>843</v>
      </c>
      <c r="D650" s="8" t="s">
        <v>652</v>
      </c>
      <c r="E650" s="8" t="s">
        <v>33</v>
      </c>
      <c r="F650" s="6" t="s">
        <v>39</v>
      </c>
      <c r="G650" s="10">
        <v>1</v>
      </c>
      <c r="H650" s="10">
        <v>1</v>
      </c>
      <c r="I650" s="13">
        <v>9500.0</v>
      </c>
      <c r="J650" s="13"/>
      <c r="K650" s="15">
        <f>IF(I650&gt;0, J650/I650, 0)</f>
        <v>0</v>
      </c>
      <c r="L650" s="13">
        <v>9500.0</v>
      </c>
      <c r="M650" s="13"/>
      <c r="N650" s="13">
        <f>L650-M650</f>
        <v>9500</v>
      </c>
      <c r="O650" s="8" t="s">
        <v>40</v>
      </c>
      <c r="P650" s="8" t="s">
        <v>41</v>
      </c>
      <c r="Q650" s="8" t="s">
        <v>42</v>
      </c>
      <c r="R650" s="6" t="s">
        <v>2135</v>
      </c>
      <c r="S650" s="6" t="s">
        <v>42</v>
      </c>
    </row>
    <row r="651" spans="1:19">
      <c r="A651" s="9">
        <v>644</v>
      </c>
      <c r="B651" s="9" t="s">
        <v>936</v>
      </c>
      <c r="C651" s="9" t="s">
        <v>843</v>
      </c>
      <c r="D651" s="9" t="s">
        <v>652</v>
      </c>
      <c r="E651" s="9" t="s">
        <v>33</v>
      </c>
      <c r="F651" s="7" t="s">
        <v>39</v>
      </c>
      <c r="G651" s="11">
        <v>1</v>
      </c>
      <c r="H651" s="11">
        <v>1</v>
      </c>
      <c r="I651" s="14">
        <v>7500.0</v>
      </c>
      <c r="J651" s="14"/>
      <c r="K651" s="16">
        <f>IF(I651&gt;0, J651/I651, 0)</f>
        <v>0</v>
      </c>
      <c r="L651" s="14">
        <v>7500.0</v>
      </c>
      <c r="M651" s="14"/>
      <c r="N651" s="14">
        <f>L651-M651</f>
        <v>7500</v>
      </c>
      <c r="O651" s="9" t="s">
        <v>40</v>
      </c>
      <c r="P651" s="9" t="s">
        <v>41</v>
      </c>
      <c r="Q651" s="9" t="s">
        <v>42</v>
      </c>
      <c r="R651" s="7" t="s">
        <v>2203</v>
      </c>
      <c r="S651" s="7" t="s">
        <v>42</v>
      </c>
    </row>
    <row r="652" spans="1:19">
      <c r="A652" s="8">
        <v>645</v>
      </c>
      <c r="B652" s="8" t="s">
        <v>937</v>
      </c>
      <c r="C652" s="8" t="s">
        <v>843</v>
      </c>
      <c r="D652" s="8" t="s">
        <v>652</v>
      </c>
      <c r="E652" s="8" t="s">
        <v>33</v>
      </c>
      <c r="F652" s="6" t="s">
        <v>39</v>
      </c>
      <c r="G652" s="10">
        <v>1</v>
      </c>
      <c r="H652" s="10">
        <v>1</v>
      </c>
      <c r="I652" s="13">
        <v>8500.0</v>
      </c>
      <c r="J652" s="13"/>
      <c r="K652" s="15">
        <f>IF(I652&gt;0, J652/I652, 0)</f>
        <v>0</v>
      </c>
      <c r="L652" s="13">
        <v>8500.0</v>
      </c>
      <c r="M652" s="13"/>
      <c r="N652" s="13">
        <f>L652-M652</f>
        <v>8500</v>
      </c>
      <c r="O652" s="8" t="s">
        <v>40</v>
      </c>
      <c r="P652" s="8" t="s">
        <v>41</v>
      </c>
      <c r="Q652" s="8" t="s">
        <v>42</v>
      </c>
      <c r="R652" s="6" t="s">
        <v>2171</v>
      </c>
      <c r="S652" s="6" t="s">
        <v>42</v>
      </c>
    </row>
    <row r="653" spans="1:19">
      <c r="A653" s="9">
        <v>646</v>
      </c>
      <c r="B653" s="9" t="s">
        <v>938</v>
      </c>
      <c r="C653" s="9" t="s">
        <v>843</v>
      </c>
      <c r="D653" s="9" t="s">
        <v>652</v>
      </c>
      <c r="E653" s="9" t="s">
        <v>33</v>
      </c>
      <c r="F653" s="7" t="s">
        <v>39</v>
      </c>
      <c r="G653" s="11">
        <v>1</v>
      </c>
      <c r="H653" s="11">
        <v>1</v>
      </c>
      <c r="I653" s="14">
        <v>9000.0</v>
      </c>
      <c r="J653" s="14"/>
      <c r="K653" s="16">
        <f>IF(I653&gt;0, J653/I653, 0)</f>
        <v>0</v>
      </c>
      <c r="L653" s="14">
        <v>9000.0</v>
      </c>
      <c r="M653" s="14"/>
      <c r="N653" s="14">
        <f>L653-M653</f>
        <v>9000</v>
      </c>
      <c r="O653" s="9" t="s">
        <v>40</v>
      </c>
      <c r="P653" s="9" t="s">
        <v>41</v>
      </c>
      <c r="Q653" s="9" t="s">
        <v>42</v>
      </c>
      <c r="R653" s="7" t="s">
        <v>2172</v>
      </c>
      <c r="S653" s="7" t="s">
        <v>42</v>
      </c>
    </row>
    <row r="654" spans="1:19">
      <c r="A654" s="8">
        <v>647</v>
      </c>
      <c r="B654" s="8" t="s">
        <v>939</v>
      </c>
      <c r="C654" s="8" t="s">
        <v>843</v>
      </c>
      <c r="D654" s="8" t="s">
        <v>652</v>
      </c>
      <c r="E654" s="8" t="s">
        <v>33</v>
      </c>
      <c r="F654" s="6" t="s">
        <v>39</v>
      </c>
      <c r="G654" s="10">
        <v>1</v>
      </c>
      <c r="H654" s="10">
        <v>1</v>
      </c>
      <c r="I654" s="13">
        <v>8000.0</v>
      </c>
      <c r="J654" s="13"/>
      <c r="K654" s="15">
        <f>IF(I654&gt;0, J654/I654, 0)</f>
        <v>0</v>
      </c>
      <c r="L654" s="13">
        <v>8000.0</v>
      </c>
      <c r="M654" s="13"/>
      <c r="N654" s="13">
        <f>L654-M654</f>
        <v>8000</v>
      </c>
      <c r="O654" s="8" t="s">
        <v>40</v>
      </c>
      <c r="P654" s="8" t="s">
        <v>41</v>
      </c>
      <c r="Q654" s="8" t="s">
        <v>42</v>
      </c>
      <c r="R654" s="6" t="s">
        <v>2161</v>
      </c>
      <c r="S654" s="6" t="s">
        <v>42</v>
      </c>
    </row>
    <row r="655" spans="1:19">
      <c r="A655" s="9">
        <v>648</v>
      </c>
      <c r="B655" s="9" t="s">
        <v>940</v>
      </c>
      <c r="C655" s="9" t="s">
        <v>843</v>
      </c>
      <c r="D655" s="9" t="s">
        <v>652</v>
      </c>
      <c r="E655" s="9" t="s">
        <v>68</v>
      </c>
      <c r="F655" s="7" t="s">
        <v>39</v>
      </c>
      <c r="G655" s="11">
        <v>1</v>
      </c>
      <c r="H655" s="11">
        <v>4</v>
      </c>
      <c r="I655" s="14">
        <v>40000.0</v>
      </c>
      <c r="J655" s="14"/>
      <c r="K655" s="16">
        <f>IF(I655&gt;0, J655/I655, 0)</f>
        <v>0</v>
      </c>
      <c r="L655" s="14">
        <v>40000.0</v>
      </c>
      <c r="M655" s="14"/>
      <c r="N655" s="14">
        <f>L655-M655</f>
        <v>40000</v>
      </c>
      <c r="O655" s="9" t="s">
        <v>40</v>
      </c>
      <c r="P655" s="9" t="s">
        <v>71</v>
      </c>
      <c r="Q655" s="9" t="s">
        <v>42</v>
      </c>
      <c r="R655" s="7" t="s">
        <v>2230</v>
      </c>
      <c r="S655" s="7" t="s">
        <v>42</v>
      </c>
    </row>
    <row r="656" spans="1:19">
      <c r="A656" s="8">
        <v>649</v>
      </c>
      <c r="B656" s="8" t="s">
        <v>941</v>
      </c>
      <c r="C656" s="8" t="s">
        <v>843</v>
      </c>
      <c r="D656" s="8" t="s">
        <v>652</v>
      </c>
      <c r="E656" s="8" t="s">
        <v>68</v>
      </c>
      <c r="F656" s="6" t="s">
        <v>39</v>
      </c>
      <c r="G656" s="10">
        <v>1</v>
      </c>
      <c r="H656" s="10">
        <v>1</v>
      </c>
      <c r="I656" s="13">
        <v>18000.0</v>
      </c>
      <c r="J656" s="13"/>
      <c r="K656" s="15">
        <f>IF(I656&gt;0, J656/I656, 0)</f>
        <v>0</v>
      </c>
      <c r="L656" s="13">
        <v>18000.0</v>
      </c>
      <c r="M656" s="13"/>
      <c r="N656" s="13">
        <f>L656-M656</f>
        <v>18000</v>
      </c>
      <c r="O656" s="8" t="s">
        <v>40</v>
      </c>
      <c r="P656" s="8" t="s">
        <v>71</v>
      </c>
      <c r="Q656" s="8" t="s">
        <v>42</v>
      </c>
      <c r="R656" s="6" t="s">
        <v>2080</v>
      </c>
      <c r="S656" s="6" t="s">
        <v>42</v>
      </c>
    </row>
    <row r="657" spans="1:19">
      <c r="A657" s="9">
        <v>650</v>
      </c>
      <c r="B657" s="9" t="s">
        <v>942</v>
      </c>
      <c r="C657" s="9" t="s">
        <v>843</v>
      </c>
      <c r="D657" s="9" t="s">
        <v>652</v>
      </c>
      <c r="E657" s="9" t="s">
        <v>33</v>
      </c>
      <c r="F657" s="7" t="s">
        <v>39</v>
      </c>
      <c r="G657" s="11">
        <v>1</v>
      </c>
      <c r="H657" s="11">
        <v>1</v>
      </c>
      <c r="I657" s="14">
        <v>8000.0</v>
      </c>
      <c r="J657" s="14"/>
      <c r="K657" s="16">
        <f>IF(I657&gt;0, J657/I657, 0)</f>
        <v>0</v>
      </c>
      <c r="L657" s="14">
        <v>8000.0</v>
      </c>
      <c r="M657" s="14"/>
      <c r="N657" s="14">
        <f>L657-M657</f>
        <v>8000</v>
      </c>
      <c r="O657" s="9" t="s">
        <v>40</v>
      </c>
      <c r="P657" s="9" t="s">
        <v>41</v>
      </c>
      <c r="Q657" s="9" t="s">
        <v>42</v>
      </c>
      <c r="R657" s="7" t="s">
        <v>2122</v>
      </c>
      <c r="S657" s="7" t="s">
        <v>42</v>
      </c>
    </row>
    <row r="658" spans="1:19">
      <c r="A658" s="8">
        <v>651</v>
      </c>
      <c r="B658" s="8" t="s">
        <v>943</v>
      </c>
      <c r="C658" s="8" t="s">
        <v>843</v>
      </c>
      <c r="D658" s="8" t="s">
        <v>652</v>
      </c>
      <c r="E658" s="8" t="s">
        <v>33</v>
      </c>
      <c r="F658" s="6" t="s">
        <v>39</v>
      </c>
      <c r="G658" s="10">
        <v>1</v>
      </c>
      <c r="H658" s="10">
        <v>1</v>
      </c>
      <c r="I658" s="13">
        <v>18000.0</v>
      </c>
      <c r="J658" s="13"/>
      <c r="K658" s="15">
        <f>IF(I658&gt;0, J658/I658, 0)</f>
        <v>0</v>
      </c>
      <c r="L658" s="13">
        <v>18000.0</v>
      </c>
      <c r="M658" s="13"/>
      <c r="N658" s="13">
        <f>L658-M658</f>
        <v>18000</v>
      </c>
      <c r="O658" s="8" t="s">
        <v>40</v>
      </c>
      <c r="P658" s="8" t="s">
        <v>41</v>
      </c>
      <c r="Q658" s="8" t="s">
        <v>42</v>
      </c>
      <c r="R658" s="6" t="s">
        <v>2169</v>
      </c>
      <c r="S658" s="6" t="s">
        <v>42</v>
      </c>
    </row>
    <row r="659" spans="1:19">
      <c r="A659" s="9">
        <v>652</v>
      </c>
      <c r="B659" s="9" t="s">
        <v>944</v>
      </c>
      <c r="C659" s="9" t="s">
        <v>843</v>
      </c>
      <c r="D659" s="9" t="s">
        <v>652</v>
      </c>
      <c r="E659" s="9" t="s">
        <v>68</v>
      </c>
      <c r="F659" s="7" t="s">
        <v>39</v>
      </c>
      <c r="G659" s="11">
        <v>1</v>
      </c>
      <c r="H659" s="11">
        <v>1</v>
      </c>
      <c r="I659" s="14">
        <v>8000.0</v>
      </c>
      <c r="J659" s="14"/>
      <c r="K659" s="16">
        <f>IF(I659&gt;0, J659/I659, 0)</f>
        <v>0</v>
      </c>
      <c r="L659" s="14">
        <v>8000.0</v>
      </c>
      <c r="M659" s="14"/>
      <c r="N659" s="14">
        <f>L659-M659</f>
        <v>8000</v>
      </c>
      <c r="O659" s="9" t="s">
        <v>40</v>
      </c>
      <c r="P659" s="9" t="s">
        <v>71</v>
      </c>
      <c r="Q659" s="9" t="s">
        <v>42</v>
      </c>
      <c r="R659" s="7" t="s">
        <v>2216</v>
      </c>
      <c r="S659" s="7" t="s">
        <v>42</v>
      </c>
    </row>
    <row r="660" spans="1:19">
      <c r="A660" s="8">
        <v>653</v>
      </c>
      <c r="B660" s="8" t="s">
        <v>945</v>
      </c>
      <c r="C660" s="8" t="s">
        <v>843</v>
      </c>
      <c r="D660" s="8" t="s">
        <v>652</v>
      </c>
      <c r="E660" s="8" t="s">
        <v>68</v>
      </c>
      <c r="F660" s="6" t="s">
        <v>39</v>
      </c>
      <c r="G660" s="10">
        <v>1</v>
      </c>
      <c r="H660" s="10">
        <v>1</v>
      </c>
      <c r="I660" s="13">
        <v>8000.0</v>
      </c>
      <c r="J660" s="13"/>
      <c r="K660" s="15">
        <f>IF(I660&gt;0, J660/I660, 0)</f>
        <v>0</v>
      </c>
      <c r="L660" s="13">
        <v>8000.0</v>
      </c>
      <c r="M660" s="13"/>
      <c r="N660" s="13">
        <f>L660-M660</f>
        <v>8000</v>
      </c>
      <c r="O660" s="8" t="s">
        <v>40</v>
      </c>
      <c r="P660" s="8" t="s">
        <v>71</v>
      </c>
      <c r="Q660" s="8" t="s">
        <v>42</v>
      </c>
      <c r="R660" s="6" t="s">
        <v>2095</v>
      </c>
      <c r="S660" s="6" t="s">
        <v>42</v>
      </c>
    </row>
    <row r="661" spans="1:19">
      <c r="A661" s="9">
        <v>654</v>
      </c>
      <c r="B661" s="9" t="s">
        <v>946</v>
      </c>
      <c r="C661" s="9" t="s">
        <v>843</v>
      </c>
      <c r="D661" s="9" t="s">
        <v>652</v>
      </c>
      <c r="E661" s="9" t="s">
        <v>68</v>
      </c>
      <c r="F661" s="7" t="s">
        <v>39</v>
      </c>
      <c r="G661" s="11">
        <v>1</v>
      </c>
      <c r="H661" s="11">
        <v>1</v>
      </c>
      <c r="I661" s="14">
        <v>10000.0</v>
      </c>
      <c r="J661" s="14"/>
      <c r="K661" s="16">
        <f>IF(I661&gt;0, J661/I661, 0)</f>
        <v>0</v>
      </c>
      <c r="L661" s="14">
        <v>10000.0</v>
      </c>
      <c r="M661" s="14"/>
      <c r="N661" s="14">
        <f>L661-M661</f>
        <v>10000</v>
      </c>
      <c r="O661" s="9" t="s">
        <v>40</v>
      </c>
      <c r="P661" s="9" t="s">
        <v>71</v>
      </c>
      <c r="Q661" s="9" t="s">
        <v>42</v>
      </c>
      <c r="R661" s="7" t="s">
        <v>2113</v>
      </c>
      <c r="S661" s="7" t="s">
        <v>42</v>
      </c>
    </row>
    <row r="662" spans="1:19">
      <c r="A662" s="8">
        <v>655</v>
      </c>
      <c r="B662" s="8" t="s">
        <v>947</v>
      </c>
      <c r="C662" s="8" t="s">
        <v>843</v>
      </c>
      <c r="D662" s="8" t="s">
        <v>652</v>
      </c>
      <c r="E662" s="8" t="s">
        <v>33</v>
      </c>
      <c r="F662" s="6" t="s">
        <v>39</v>
      </c>
      <c r="G662" s="10">
        <v>1</v>
      </c>
      <c r="H662" s="10">
        <v>1</v>
      </c>
      <c r="I662" s="13">
        <v>9000.0</v>
      </c>
      <c r="J662" s="13"/>
      <c r="K662" s="15">
        <f>IF(I662&gt;0, J662/I662, 0)</f>
        <v>0</v>
      </c>
      <c r="L662" s="13">
        <v>9000.0</v>
      </c>
      <c r="M662" s="13"/>
      <c r="N662" s="13">
        <f>L662-M662</f>
        <v>9000</v>
      </c>
      <c r="O662" s="8" t="s">
        <v>40</v>
      </c>
      <c r="P662" s="8" t="s">
        <v>41</v>
      </c>
      <c r="Q662" s="8" t="s">
        <v>42</v>
      </c>
      <c r="R662" s="6" t="s">
        <v>2137</v>
      </c>
      <c r="S662" s="6" t="s">
        <v>42</v>
      </c>
    </row>
    <row r="663" spans="1:19">
      <c r="A663" s="9">
        <v>656</v>
      </c>
      <c r="B663" s="9" t="s">
        <v>948</v>
      </c>
      <c r="C663" s="9" t="s">
        <v>843</v>
      </c>
      <c r="D663" s="9" t="s">
        <v>652</v>
      </c>
      <c r="E663" s="9" t="s">
        <v>33</v>
      </c>
      <c r="F663" s="7" t="s">
        <v>39</v>
      </c>
      <c r="G663" s="11">
        <v>1</v>
      </c>
      <c r="H663" s="11">
        <v>1</v>
      </c>
      <c r="I663" s="14">
        <v>8000.0</v>
      </c>
      <c r="J663" s="14"/>
      <c r="K663" s="16">
        <f>IF(I663&gt;0, J663/I663, 0)</f>
        <v>0</v>
      </c>
      <c r="L663" s="14">
        <v>8000.0</v>
      </c>
      <c r="M663" s="14"/>
      <c r="N663" s="14">
        <f>L663-M663</f>
        <v>8000</v>
      </c>
      <c r="O663" s="9" t="s">
        <v>40</v>
      </c>
      <c r="P663" s="9" t="s">
        <v>41</v>
      </c>
      <c r="Q663" s="9" t="s">
        <v>42</v>
      </c>
      <c r="R663" s="7" t="s">
        <v>2159</v>
      </c>
      <c r="S663" s="7" t="s">
        <v>42</v>
      </c>
    </row>
    <row r="664" spans="1:19">
      <c r="A664" s="8">
        <v>657</v>
      </c>
      <c r="B664" s="8" t="s">
        <v>949</v>
      </c>
      <c r="C664" s="8" t="s">
        <v>843</v>
      </c>
      <c r="D664" s="8" t="s">
        <v>652</v>
      </c>
      <c r="E664" s="8" t="s">
        <v>33</v>
      </c>
      <c r="F664" s="6" t="s">
        <v>39</v>
      </c>
      <c r="G664" s="10">
        <v>1</v>
      </c>
      <c r="H664" s="10">
        <v>1</v>
      </c>
      <c r="I664" s="13">
        <v>8000.0</v>
      </c>
      <c r="J664" s="13"/>
      <c r="K664" s="15">
        <f>IF(I664&gt;0, J664/I664, 0)</f>
        <v>0</v>
      </c>
      <c r="L664" s="13">
        <v>8000.0</v>
      </c>
      <c r="M664" s="13"/>
      <c r="N664" s="13">
        <f>L664-M664</f>
        <v>8000</v>
      </c>
      <c r="O664" s="8" t="s">
        <v>40</v>
      </c>
      <c r="P664" s="8" t="s">
        <v>41</v>
      </c>
      <c r="Q664" s="8" t="s">
        <v>42</v>
      </c>
      <c r="R664" s="6" t="s">
        <v>2121</v>
      </c>
      <c r="S664" s="6" t="s">
        <v>42</v>
      </c>
    </row>
    <row r="665" spans="1:19">
      <c r="A665" s="9">
        <v>658</v>
      </c>
      <c r="B665" s="9" t="s">
        <v>950</v>
      </c>
      <c r="C665" s="9" t="s">
        <v>843</v>
      </c>
      <c r="D665" s="9" t="s">
        <v>652</v>
      </c>
      <c r="E665" s="9" t="s">
        <v>33</v>
      </c>
      <c r="F665" s="7" t="s">
        <v>39</v>
      </c>
      <c r="G665" s="11">
        <v>1</v>
      </c>
      <c r="H665" s="11">
        <v>2</v>
      </c>
      <c r="I665" s="14">
        <v>14000.0</v>
      </c>
      <c r="J665" s="14"/>
      <c r="K665" s="16">
        <f>IF(I665&gt;0, J665/I665, 0)</f>
        <v>0</v>
      </c>
      <c r="L665" s="14">
        <v>14000.0</v>
      </c>
      <c r="M665" s="14"/>
      <c r="N665" s="14">
        <f>L665-M665</f>
        <v>14000</v>
      </c>
      <c r="O665" s="9" t="s">
        <v>40</v>
      </c>
      <c r="P665" s="9" t="s">
        <v>41</v>
      </c>
      <c r="Q665" s="9" t="s">
        <v>42</v>
      </c>
      <c r="R665" s="7" t="s">
        <v>2168</v>
      </c>
      <c r="S665" s="7" t="s">
        <v>42</v>
      </c>
    </row>
    <row r="666" spans="1:19">
      <c r="A666" s="8">
        <v>659</v>
      </c>
      <c r="B666" s="8" t="s">
        <v>951</v>
      </c>
      <c r="C666" s="8" t="s">
        <v>843</v>
      </c>
      <c r="D666" s="8" t="s">
        <v>652</v>
      </c>
      <c r="E666" s="8" t="s">
        <v>33</v>
      </c>
      <c r="F666" s="6" t="s">
        <v>39</v>
      </c>
      <c r="G666" s="10">
        <v>1</v>
      </c>
      <c r="H666" s="10">
        <v>2</v>
      </c>
      <c r="I666" s="13">
        <v>14000.0</v>
      </c>
      <c r="J666" s="13"/>
      <c r="K666" s="15">
        <f>IF(I666&gt;0, J666/I666, 0)</f>
        <v>0</v>
      </c>
      <c r="L666" s="13">
        <v>14000.0</v>
      </c>
      <c r="M666" s="13"/>
      <c r="N666" s="13">
        <f>L666-M666</f>
        <v>14000</v>
      </c>
      <c r="O666" s="8" t="s">
        <v>40</v>
      </c>
      <c r="P666" s="8" t="s">
        <v>41</v>
      </c>
      <c r="Q666" s="8" t="s">
        <v>42</v>
      </c>
      <c r="R666" s="6" t="s">
        <v>2117</v>
      </c>
      <c r="S666" s="6" t="s">
        <v>42</v>
      </c>
    </row>
    <row r="667" spans="1:19">
      <c r="A667" s="9">
        <v>660</v>
      </c>
      <c r="B667" s="9" t="s">
        <v>952</v>
      </c>
      <c r="C667" s="9" t="s">
        <v>953</v>
      </c>
      <c r="D667" s="9" t="s">
        <v>652</v>
      </c>
      <c r="E667" s="9" t="s">
        <v>33</v>
      </c>
      <c r="F667" s="7" t="s">
        <v>39</v>
      </c>
      <c r="G667" s="11">
        <v>1</v>
      </c>
      <c r="H667" s="11">
        <v>1</v>
      </c>
      <c r="I667" s="14">
        <v>8000.0</v>
      </c>
      <c r="J667" s="14"/>
      <c r="K667" s="16">
        <f>IF(I667&gt;0, J667/I667, 0)</f>
        <v>0</v>
      </c>
      <c r="L667" s="14">
        <v>8000.0</v>
      </c>
      <c r="M667" s="14"/>
      <c r="N667" s="14">
        <f>L667-M667</f>
        <v>8000</v>
      </c>
      <c r="O667" s="9" t="s">
        <v>40</v>
      </c>
      <c r="P667" s="9" t="s">
        <v>41</v>
      </c>
      <c r="Q667" s="9" t="s">
        <v>42</v>
      </c>
      <c r="R667" s="7" t="s">
        <v>2167</v>
      </c>
      <c r="S667" s="7" t="s">
        <v>42</v>
      </c>
    </row>
    <row r="668" spans="1:19">
      <c r="A668" s="8">
        <v>661</v>
      </c>
      <c r="B668" s="8" t="s">
        <v>954</v>
      </c>
      <c r="C668" s="8" t="s">
        <v>953</v>
      </c>
      <c r="D668" s="8" t="s">
        <v>652</v>
      </c>
      <c r="E668" s="8" t="s">
        <v>33</v>
      </c>
      <c r="F668" s="6" t="s">
        <v>39</v>
      </c>
      <c r="G668" s="10">
        <v>1</v>
      </c>
      <c r="H668" s="10">
        <v>1</v>
      </c>
      <c r="I668" s="13">
        <v>8000.0</v>
      </c>
      <c r="J668" s="13"/>
      <c r="K668" s="15">
        <f>IF(I668&gt;0, J668/I668, 0)</f>
        <v>0</v>
      </c>
      <c r="L668" s="13">
        <v>8000.0</v>
      </c>
      <c r="M668" s="13"/>
      <c r="N668" s="13">
        <f>L668-M668</f>
        <v>8000</v>
      </c>
      <c r="O668" s="8" t="s">
        <v>40</v>
      </c>
      <c r="P668" s="8" t="s">
        <v>41</v>
      </c>
      <c r="Q668" s="8" t="s">
        <v>42</v>
      </c>
      <c r="R668" s="6" t="s">
        <v>2141</v>
      </c>
      <c r="S668" s="6" t="s">
        <v>42</v>
      </c>
    </row>
    <row r="669" spans="1:19">
      <c r="A669" s="9">
        <v>662</v>
      </c>
      <c r="B669" s="9" t="s">
        <v>955</v>
      </c>
      <c r="C669" s="9" t="s">
        <v>953</v>
      </c>
      <c r="D669" s="9" t="s">
        <v>652</v>
      </c>
      <c r="E669" s="9" t="s">
        <v>33</v>
      </c>
      <c r="F669" s="7" t="s">
        <v>39</v>
      </c>
      <c r="G669" s="11">
        <v>1</v>
      </c>
      <c r="H669" s="11">
        <v>1</v>
      </c>
      <c r="I669" s="14">
        <v>7000.0</v>
      </c>
      <c r="J669" s="14"/>
      <c r="K669" s="16">
        <f>IF(I669&gt;0, J669/I669, 0)</f>
        <v>0</v>
      </c>
      <c r="L669" s="14">
        <v>7000.0</v>
      </c>
      <c r="M669" s="14"/>
      <c r="N669" s="14">
        <f>L669-M669</f>
        <v>7000</v>
      </c>
      <c r="O669" s="9" t="s">
        <v>40</v>
      </c>
      <c r="P669" s="9" t="s">
        <v>41</v>
      </c>
      <c r="Q669" s="9" t="s">
        <v>42</v>
      </c>
      <c r="R669" s="7" t="s">
        <v>2092</v>
      </c>
      <c r="S669" s="7" t="s">
        <v>42</v>
      </c>
    </row>
    <row r="670" spans="1:19">
      <c r="A670" s="8">
        <v>663</v>
      </c>
      <c r="B670" s="8" t="s">
        <v>956</v>
      </c>
      <c r="C670" s="8" t="s">
        <v>953</v>
      </c>
      <c r="D670" s="8" t="s">
        <v>652</v>
      </c>
      <c r="E670" s="8" t="s">
        <v>33</v>
      </c>
      <c r="F670" s="6" t="s">
        <v>39</v>
      </c>
      <c r="G670" s="10">
        <v>1</v>
      </c>
      <c r="H670" s="10">
        <v>1</v>
      </c>
      <c r="I670" s="13">
        <v>7000.0</v>
      </c>
      <c r="J670" s="13"/>
      <c r="K670" s="15">
        <f>IF(I670&gt;0, J670/I670, 0)</f>
        <v>0</v>
      </c>
      <c r="L670" s="13">
        <v>7000.0</v>
      </c>
      <c r="M670" s="13"/>
      <c r="N670" s="13">
        <f>L670-M670</f>
        <v>7000</v>
      </c>
      <c r="O670" s="8" t="s">
        <v>40</v>
      </c>
      <c r="P670" s="8" t="s">
        <v>41</v>
      </c>
      <c r="Q670" s="8" t="s">
        <v>42</v>
      </c>
      <c r="R670" s="6" t="s">
        <v>2231</v>
      </c>
      <c r="S670" s="6" t="s">
        <v>42</v>
      </c>
    </row>
    <row r="671" spans="1:19">
      <c r="A671" s="9">
        <v>664</v>
      </c>
      <c r="B671" s="9" t="s">
        <v>958</v>
      </c>
      <c r="C671" s="9" t="s">
        <v>953</v>
      </c>
      <c r="D671" s="9" t="s">
        <v>652</v>
      </c>
      <c r="E671" s="9" t="s">
        <v>33</v>
      </c>
      <c r="F671" s="7" t="s">
        <v>39</v>
      </c>
      <c r="G671" s="11">
        <v>1</v>
      </c>
      <c r="H671" s="11">
        <v>1</v>
      </c>
      <c r="I671" s="14">
        <v>8000.0</v>
      </c>
      <c r="J671" s="14"/>
      <c r="K671" s="16">
        <f>IF(I671&gt;0, J671/I671, 0)</f>
        <v>0</v>
      </c>
      <c r="L671" s="14">
        <v>8000.0</v>
      </c>
      <c r="M671" s="14"/>
      <c r="N671" s="14">
        <f>L671-M671</f>
        <v>8000</v>
      </c>
      <c r="O671" s="9" t="s">
        <v>40</v>
      </c>
      <c r="P671" s="9" t="s">
        <v>41</v>
      </c>
      <c r="Q671" s="9" t="s">
        <v>42</v>
      </c>
      <c r="R671" s="7" t="s">
        <v>2167</v>
      </c>
      <c r="S671" s="7" t="s">
        <v>42</v>
      </c>
    </row>
    <row r="672" spans="1:19">
      <c r="A672" s="8">
        <v>665</v>
      </c>
      <c r="B672" s="8" t="s">
        <v>959</v>
      </c>
      <c r="C672" s="8" t="s">
        <v>953</v>
      </c>
      <c r="D672" s="8" t="s">
        <v>652</v>
      </c>
      <c r="E672" s="8" t="s">
        <v>33</v>
      </c>
      <c r="F672" s="6" t="s">
        <v>39</v>
      </c>
      <c r="G672" s="10">
        <v>1</v>
      </c>
      <c r="H672" s="10">
        <v>2</v>
      </c>
      <c r="I672" s="13">
        <v>16000.0</v>
      </c>
      <c r="J672" s="13"/>
      <c r="K672" s="15">
        <f>IF(I672&gt;0, J672/I672, 0)</f>
        <v>0</v>
      </c>
      <c r="L672" s="13">
        <v>16000.0</v>
      </c>
      <c r="M672" s="13"/>
      <c r="N672" s="13">
        <f>L672-M672</f>
        <v>16000</v>
      </c>
      <c r="O672" s="8" t="s">
        <v>40</v>
      </c>
      <c r="P672" s="8" t="s">
        <v>41</v>
      </c>
      <c r="Q672" s="8" t="s">
        <v>42</v>
      </c>
      <c r="R672" s="6" t="s">
        <v>2232</v>
      </c>
      <c r="S672" s="6" t="s">
        <v>42</v>
      </c>
    </row>
    <row r="673" spans="1:19">
      <c r="A673" s="9">
        <v>666</v>
      </c>
      <c r="B673" s="9" t="s">
        <v>960</v>
      </c>
      <c r="C673" s="9" t="s">
        <v>953</v>
      </c>
      <c r="D673" s="9" t="s">
        <v>652</v>
      </c>
      <c r="E673" s="9" t="s">
        <v>33</v>
      </c>
      <c r="F673" s="7" t="s">
        <v>39</v>
      </c>
      <c r="G673" s="11">
        <v>1</v>
      </c>
      <c r="H673" s="11">
        <v>1</v>
      </c>
      <c r="I673" s="14">
        <v>18000.0</v>
      </c>
      <c r="J673" s="14"/>
      <c r="K673" s="16">
        <f>IF(I673&gt;0, J673/I673, 0)</f>
        <v>0</v>
      </c>
      <c r="L673" s="14">
        <v>18000.0</v>
      </c>
      <c r="M673" s="14"/>
      <c r="N673" s="14">
        <f>L673-M673</f>
        <v>18000</v>
      </c>
      <c r="O673" s="9" t="s">
        <v>40</v>
      </c>
      <c r="P673" s="9" t="s">
        <v>41</v>
      </c>
      <c r="Q673" s="9" t="s">
        <v>42</v>
      </c>
      <c r="R673" s="7" t="s">
        <v>2120</v>
      </c>
      <c r="S673" s="7" t="s">
        <v>42</v>
      </c>
    </row>
    <row r="674" spans="1:19">
      <c r="A674" s="8">
        <v>667</v>
      </c>
      <c r="B674" s="8" t="s">
        <v>961</v>
      </c>
      <c r="C674" s="8" t="s">
        <v>953</v>
      </c>
      <c r="D674" s="8" t="s">
        <v>652</v>
      </c>
      <c r="E674" s="8" t="s">
        <v>68</v>
      </c>
      <c r="F674" s="6" t="s">
        <v>39</v>
      </c>
      <c r="G674" s="10">
        <v>1</v>
      </c>
      <c r="H674" s="10">
        <v>1</v>
      </c>
      <c r="I674" s="13">
        <v>10000.0</v>
      </c>
      <c r="J674" s="13"/>
      <c r="K674" s="15">
        <f>IF(I674&gt;0, J674/I674, 0)</f>
        <v>0</v>
      </c>
      <c r="L674" s="13">
        <v>10000.0</v>
      </c>
      <c r="M674" s="13"/>
      <c r="N674" s="13">
        <f>L674-M674</f>
        <v>10000</v>
      </c>
      <c r="O674" s="8" t="s">
        <v>40</v>
      </c>
      <c r="P674" s="8" t="s">
        <v>71</v>
      </c>
      <c r="Q674" s="8" t="s">
        <v>42</v>
      </c>
      <c r="R674" s="6" t="s">
        <v>2164</v>
      </c>
      <c r="S674" s="6" t="s">
        <v>42</v>
      </c>
    </row>
    <row r="675" spans="1:19">
      <c r="A675" s="9">
        <v>668</v>
      </c>
      <c r="B675" s="9" t="s">
        <v>962</v>
      </c>
      <c r="C675" s="9" t="s">
        <v>953</v>
      </c>
      <c r="D675" s="9" t="s">
        <v>652</v>
      </c>
      <c r="E675" s="9" t="s">
        <v>68</v>
      </c>
      <c r="F675" s="7" t="s">
        <v>39</v>
      </c>
      <c r="G675" s="11">
        <v>1</v>
      </c>
      <c r="H675" s="11">
        <v>1</v>
      </c>
      <c r="I675" s="14">
        <v>9000.0</v>
      </c>
      <c r="J675" s="14"/>
      <c r="K675" s="16">
        <f>IF(I675&gt;0, J675/I675, 0)</f>
        <v>0</v>
      </c>
      <c r="L675" s="14">
        <v>9000.0</v>
      </c>
      <c r="M675" s="14"/>
      <c r="N675" s="14">
        <f>L675-M675</f>
        <v>9000</v>
      </c>
      <c r="O675" s="9" t="s">
        <v>40</v>
      </c>
      <c r="P675" s="9" t="s">
        <v>71</v>
      </c>
      <c r="Q675" s="9" t="s">
        <v>42</v>
      </c>
      <c r="R675" s="7" t="s">
        <v>2155</v>
      </c>
      <c r="S675" s="7" t="s">
        <v>42</v>
      </c>
    </row>
    <row r="676" spans="1:19">
      <c r="A676" s="8">
        <v>669</v>
      </c>
      <c r="B676" s="8" t="s">
        <v>963</v>
      </c>
      <c r="C676" s="8" t="s">
        <v>953</v>
      </c>
      <c r="D676" s="8" t="s">
        <v>652</v>
      </c>
      <c r="E676" s="8" t="s">
        <v>33</v>
      </c>
      <c r="F676" s="6" t="s">
        <v>39</v>
      </c>
      <c r="G676" s="10">
        <v>1</v>
      </c>
      <c r="H676" s="10">
        <v>1</v>
      </c>
      <c r="I676" s="13">
        <v>9500.0</v>
      </c>
      <c r="J676" s="13"/>
      <c r="K676" s="15">
        <f>IF(I676&gt;0, J676/I676, 0)</f>
        <v>0</v>
      </c>
      <c r="L676" s="13">
        <v>9500.0</v>
      </c>
      <c r="M676" s="13"/>
      <c r="N676" s="13">
        <f>L676-M676</f>
        <v>9500</v>
      </c>
      <c r="O676" s="8" t="s">
        <v>40</v>
      </c>
      <c r="P676" s="8" t="s">
        <v>41</v>
      </c>
      <c r="Q676" s="8" t="s">
        <v>42</v>
      </c>
      <c r="R676" s="6" t="s">
        <v>2114</v>
      </c>
      <c r="S676" s="6" t="s">
        <v>42</v>
      </c>
    </row>
    <row r="677" spans="1:19">
      <c r="A677" s="9">
        <v>670</v>
      </c>
      <c r="B677" s="9" t="s">
        <v>964</v>
      </c>
      <c r="C677" s="9" t="s">
        <v>953</v>
      </c>
      <c r="D677" s="9" t="s">
        <v>652</v>
      </c>
      <c r="E677" s="9" t="s">
        <v>33</v>
      </c>
      <c r="F677" s="7" t="s">
        <v>39</v>
      </c>
      <c r="G677" s="11">
        <v>1</v>
      </c>
      <c r="H677" s="11">
        <v>1</v>
      </c>
      <c r="I677" s="14">
        <v>16000.0</v>
      </c>
      <c r="J677" s="14"/>
      <c r="K677" s="16">
        <f>IF(I677&gt;0, J677/I677, 0)</f>
        <v>0</v>
      </c>
      <c r="L677" s="14">
        <v>16000.0</v>
      </c>
      <c r="M677" s="14"/>
      <c r="N677" s="14">
        <f>L677-M677</f>
        <v>16000</v>
      </c>
      <c r="O677" s="9" t="s">
        <v>40</v>
      </c>
      <c r="P677" s="9" t="s">
        <v>41</v>
      </c>
      <c r="Q677" s="9" t="s">
        <v>42</v>
      </c>
      <c r="R677" s="7" t="s">
        <v>2094</v>
      </c>
      <c r="S677" s="7" t="s">
        <v>42</v>
      </c>
    </row>
    <row r="678" spans="1:19">
      <c r="A678" s="8">
        <v>671</v>
      </c>
      <c r="B678" s="8" t="s">
        <v>965</v>
      </c>
      <c r="C678" s="8" t="s">
        <v>953</v>
      </c>
      <c r="D678" s="8" t="s">
        <v>652</v>
      </c>
      <c r="E678" s="8" t="s">
        <v>33</v>
      </c>
      <c r="F678" s="6" t="s">
        <v>39</v>
      </c>
      <c r="G678" s="10">
        <v>1</v>
      </c>
      <c r="H678" s="10">
        <v>1</v>
      </c>
      <c r="I678" s="13">
        <v>7000.0</v>
      </c>
      <c r="J678" s="13"/>
      <c r="K678" s="15">
        <f>IF(I678&gt;0, J678/I678, 0)</f>
        <v>0</v>
      </c>
      <c r="L678" s="13">
        <v>7000.0</v>
      </c>
      <c r="M678" s="13"/>
      <c r="N678" s="13">
        <f>L678-M678</f>
        <v>7000</v>
      </c>
      <c r="O678" s="8" t="s">
        <v>40</v>
      </c>
      <c r="P678" s="8" t="s">
        <v>41</v>
      </c>
      <c r="Q678" s="8" t="s">
        <v>42</v>
      </c>
      <c r="R678" s="6" t="s">
        <v>2231</v>
      </c>
      <c r="S678" s="6" t="s">
        <v>42</v>
      </c>
    </row>
    <row r="679" spans="1:19">
      <c r="A679" s="9">
        <v>672</v>
      </c>
      <c r="B679" s="9" t="s">
        <v>966</v>
      </c>
      <c r="C679" s="9" t="s">
        <v>953</v>
      </c>
      <c r="D679" s="9" t="s">
        <v>652</v>
      </c>
      <c r="E679" s="9" t="s">
        <v>33</v>
      </c>
      <c r="F679" s="7" t="s">
        <v>39</v>
      </c>
      <c r="G679" s="11">
        <v>1</v>
      </c>
      <c r="H679" s="11">
        <v>1</v>
      </c>
      <c r="I679" s="14">
        <v>8000.0</v>
      </c>
      <c r="J679" s="14"/>
      <c r="K679" s="16">
        <f>IF(I679&gt;0, J679/I679, 0)</f>
        <v>0</v>
      </c>
      <c r="L679" s="14">
        <v>8000.0</v>
      </c>
      <c r="M679" s="14"/>
      <c r="N679" s="14">
        <f>L679-M679</f>
        <v>8000</v>
      </c>
      <c r="O679" s="9" t="s">
        <v>40</v>
      </c>
      <c r="P679" s="9" t="s">
        <v>41</v>
      </c>
      <c r="Q679" s="9" t="s">
        <v>42</v>
      </c>
      <c r="R679" s="7" t="s">
        <v>2091</v>
      </c>
      <c r="S679" s="7" t="s">
        <v>42</v>
      </c>
    </row>
    <row r="680" spans="1:19">
      <c r="A680" s="8">
        <v>673</v>
      </c>
      <c r="B680" s="8" t="s">
        <v>967</v>
      </c>
      <c r="C680" s="8" t="s">
        <v>953</v>
      </c>
      <c r="D680" s="8" t="s">
        <v>652</v>
      </c>
      <c r="E680" s="8" t="s">
        <v>33</v>
      </c>
      <c r="F680" s="6" t="s">
        <v>39</v>
      </c>
      <c r="G680" s="10">
        <v>1</v>
      </c>
      <c r="H680" s="10">
        <v>1</v>
      </c>
      <c r="I680" s="13">
        <v>8000.0</v>
      </c>
      <c r="J680" s="13"/>
      <c r="K680" s="15">
        <f>IF(I680&gt;0, J680/I680, 0)</f>
        <v>0</v>
      </c>
      <c r="L680" s="13">
        <v>8000.0</v>
      </c>
      <c r="M680" s="13"/>
      <c r="N680" s="13">
        <f>L680-M680</f>
        <v>8000</v>
      </c>
      <c r="O680" s="8" t="s">
        <v>40</v>
      </c>
      <c r="P680" s="8" t="s">
        <v>41</v>
      </c>
      <c r="Q680" s="8" t="s">
        <v>42</v>
      </c>
      <c r="R680" s="6" t="s">
        <v>2084</v>
      </c>
      <c r="S680" s="6" t="s">
        <v>42</v>
      </c>
    </row>
    <row r="681" spans="1:19">
      <c r="A681" s="9">
        <v>674</v>
      </c>
      <c r="B681" s="9" t="s">
        <v>968</v>
      </c>
      <c r="C681" s="9" t="s">
        <v>953</v>
      </c>
      <c r="D681" s="9" t="s">
        <v>652</v>
      </c>
      <c r="E681" s="9" t="s">
        <v>33</v>
      </c>
      <c r="F681" s="7" t="s">
        <v>39</v>
      </c>
      <c r="G681" s="11">
        <v>1</v>
      </c>
      <c r="H681" s="11">
        <v>1</v>
      </c>
      <c r="I681" s="14">
        <v>7000.0</v>
      </c>
      <c r="J681" s="14"/>
      <c r="K681" s="16">
        <f>IF(I681&gt;0, J681/I681, 0)</f>
        <v>0</v>
      </c>
      <c r="L681" s="14">
        <v>7000.0</v>
      </c>
      <c r="M681" s="14"/>
      <c r="N681" s="14">
        <f>L681-M681</f>
        <v>7000</v>
      </c>
      <c r="O681" s="9" t="s">
        <v>40</v>
      </c>
      <c r="P681" s="9" t="s">
        <v>41</v>
      </c>
      <c r="Q681" s="9" t="s">
        <v>42</v>
      </c>
      <c r="R681" s="7" t="s">
        <v>2155</v>
      </c>
      <c r="S681" s="7" t="s">
        <v>42</v>
      </c>
    </row>
    <row r="682" spans="1:19">
      <c r="A682" s="8">
        <v>675</v>
      </c>
      <c r="B682" s="8" t="s">
        <v>969</v>
      </c>
      <c r="C682" s="8" t="s">
        <v>953</v>
      </c>
      <c r="D682" s="8" t="s">
        <v>652</v>
      </c>
      <c r="E682" s="8" t="s">
        <v>33</v>
      </c>
      <c r="F682" s="6" t="s">
        <v>39</v>
      </c>
      <c r="G682" s="10">
        <v>1</v>
      </c>
      <c r="H682" s="10">
        <v>1</v>
      </c>
      <c r="I682" s="13">
        <v>16000.0</v>
      </c>
      <c r="J682" s="13"/>
      <c r="K682" s="15">
        <f>IF(I682&gt;0, J682/I682, 0)</f>
        <v>0</v>
      </c>
      <c r="L682" s="13">
        <v>16000.0</v>
      </c>
      <c r="M682" s="13"/>
      <c r="N682" s="13">
        <f>L682-M682</f>
        <v>16000</v>
      </c>
      <c r="O682" s="8" t="s">
        <v>40</v>
      </c>
      <c r="P682" s="8" t="s">
        <v>41</v>
      </c>
      <c r="Q682" s="8" t="s">
        <v>42</v>
      </c>
      <c r="R682" s="6" t="s">
        <v>2086</v>
      </c>
      <c r="S682" s="6" t="s">
        <v>42</v>
      </c>
    </row>
    <row r="683" spans="1:19">
      <c r="A683" s="9">
        <v>676</v>
      </c>
      <c r="B683" s="9" t="s">
        <v>970</v>
      </c>
      <c r="C683" s="9" t="s">
        <v>953</v>
      </c>
      <c r="D683" s="9" t="s">
        <v>652</v>
      </c>
      <c r="E683" s="9" t="s">
        <v>33</v>
      </c>
      <c r="F683" s="7" t="s">
        <v>39</v>
      </c>
      <c r="G683" s="11">
        <v>1</v>
      </c>
      <c r="H683" s="11">
        <v>2</v>
      </c>
      <c r="I683" s="14">
        <v>32000.0</v>
      </c>
      <c r="J683" s="14"/>
      <c r="K683" s="16">
        <f>IF(I683&gt;0, J683/I683, 0)</f>
        <v>0</v>
      </c>
      <c r="L683" s="14">
        <v>32000.0</v>
      </c>
      <c r="M683" s="14"/>
      <c r="N683" s="14">
        <f>L683-M683</f>
        <v>32000</v>
      </c>
      <c r="O683" s="9" t="s">
        <v>40</v>
      </c>
      <c r="P683" s="9" t="s">
        <v>41</v>
      </c>
      <c r="Q683" s="9" t="s">
        <v>42</v>
      </c>
      <c r="R683" s="7" t="s">
        <v>2233</v>
      </c>
      <c r="S683" s="7" t="s">
        <v>42</v>
      </c>
    </row>
    <row r="684" spans="1:19">
      <c r="A684" s="8">
        <v>677</v>
      </c>
      <c r="B684" s="8" t="s">
        <v>971</v>
      </c>
      <c r="C684" s="8" t="s">
        <v>953</v>
      </c>
      <c r="D684" s="8" t="s">
        <v>652</v>
      </c>
      <c r="E684" s="8" t="s">
        <v>33</v>
      </c>
      <c r="F684" s="6" t="s">
        <v>39</v>
      </c>
      <c r="G684" s="10">
        <v>1</v>
      </c>
      <c r="H684" s="10">
        <v>1</v>
      </c>
      <c r="I684" s="13">
        <v>8000.0</v>
      </c>
      <c r="J684" s="13"/>
      <c r="K684" s="15">
        <f>IF(I684&gt;0, J684/I684, 0)</f>
        <v>0</v>
      </c>
      <c r="L684" s="13">
        <v>8000.0</v>
      </c>
      <c r="M684" s="13"/>
      <c r="N684" s="13">
        <f>L684-M684</f>
        <v>8000</v>
      </c>
      <c r="O684" s="8" t="s">
        <v>40</v>
      </c>
      <c r="P684" s="8" t="s">
        <v>41</v>
      </c>
      <c r="Q684" s="8" t="s">
        <v>42</v>
      </c>
      <c r="R684" s="6" t="s">
        <v>2152</v>
      </c>
      <c r="S684" s="6" t="s">
        <v>42</v>
      </c>
    </row>
    <row r="685" spans="1:19">
      <c r="A685" s="9">
        <v>678</v>
      </c>
      <c r="B685" s="9" t="s">
        <v>972</v>
      </c>
      <c r="C685" s="9" t="s">
        <v>953</v>
      </c>
      <c r="D685" s="9" t="s">
        <v>652</v>
      </c>
      <c r="E685" s="9" t="s">
        <v>33</v>
      </c>
      <c r="F685" s="7" t="s">
        <v>39</v>
      </c>
      <c r="G685" s="11">
        <v>1</v>
      </c>
      <c r="H685" s="11">
        <v>1</v>
      </c>
      <c r="I685" s="14">
        <v>7000.0</v>
      </c>
      <c r="J685" s="14"/>
      <c r="K685" s="16">
        <f>IF(I685&gt;0, J685/I685, 0)</f>
        <v>0</v>
      </c>
      <c r="L685" s="14">
        <v>7000.0</v>
      </c>
      <c r="M685" s="14"/>
      <c r="N685" s="14">
        <f>L685-M685</f>
        <v>7000</v>
      </c>
      <c r="O685" s="9" t="s">
        <v>40</v>
      </c>
      <c r="P685" s="9" t="s">
        <v>41</v>
      </c>
      <c r="Q685" s="9" t="s">
        <v>42</v>
      </c>
      <c r="R685" s="7" t="s">
        <v>2107</v>
      </c>
      <c r="S685" s="7" t="s">
        <v>42</v>
      </c>
    </row>
    <row r="686" spans="1:19">
      <c r="A686" s="8">
        <v>679</v>
      </c>
      <c r="B686" s="8" t="s">
        <v>973</v>
      </c>
      <c r="C686" s="8" t="s">
        <v>953</v>
      </c>
      <c r="D686" s="8" t="s">
        <v>652</v>
      </c>
      <c r="E686" s="8" t="s">
        <v>68</v>
      </c>
      <c r="F686" s="6" t="s">
        <v>39</v>
      </c>
      <c r="G686" s="10">
        <v>1</v>
      </c>
      <c r="H686" s="10">
        <v>2</v>
      </c>
      <c r="I686" s="13">
        <v>20000.0</v>
      </c>
      <c r="J686" s="13"/>
      <c r="K686" s="15">
        <f>IF(I686&gt;0, J686/I686, 0)</f>
        <v>0</v>
      </c>
      <c r="L686" s="13">
        <v>20000.0</v>
      </c>
      <c r="M686" s="13"/>
      <c r="N686" s="13">
        <f>L686-M686</f>
        <v>20000</v>
      </c>
      <c r="O686" s="8" t="s">
        <v>40</v>
      </c>
      <c r="P686" s="8" t="s">
        <v>71</v>
      </c>
      <c r="Q686" s="8" t="s">
        <v>42</v>
      </c>
      <c r="R686" s="6" t="s">
        <v>2168</v>
      </c>
      <c r="S686" s="6" t="s">
        <v>42</v>
      </c>
    </row>
    <row r="687" spans="1:19">
      <c r="A687" s="9">
        <v>680</v>
      </c>
      <c r="B687" s="9" t="s">
        <v>974</v>
      </c>
      <c r="C687" s="9" t="s">
        <v>953</v>
      </c>
      <c r="D687" s="9" t="s">
        <v>652</v>
      </c>
      <c r="E687" s="9" t="s">
        <v>33</v>
      </c>
      <c r="F687" s="7" t="s">
        <v>39</v>
      </c>
      <c r="G687" s="11">
        <v>1</v>
      </c>
      <c r="H687" s="11">
        <v>1</v>
      </c>
      <c r="I687" s="14">
        <v>18000.0</v>
      </c>
      <c r="J687" s="14"/>
      <c r="K687" s="16">
        <f>IF(I687&gt;0, J687/I687, 0)</f>
        <v>0</v>
      </c>
      <c r="L687" s="14">
        <v>18000.0</v>
      </c>
      <c r="M687" s="14"/>
      <c r="N687" s="14">
        <f>L687-M687</f>
        <v>18000</v>
      </c>
      <c r="O687" s="9" t="s">
        <v>40</v>
      </c>
      <c r="P687" s="9" t="s">
        <v>41</v>
      </c>
      <c r="Q687" s="9" t="s">
        <v>42</v>
      </c>
      <c r="R687" s="7" t="s">
        <v>2075</v>
      </c>
      <c r="S687" s="7" t="s">
        <v>42</v>
      </c>
    </row>
    <row r="688" spans="1:19">
      <c r="A688" s="8">
        <v>681</v>
      </c>
      <c r="B688" s="8" t="s">
        <v>975</v>
      </c>
      <c r="C688" s="8" t="s">
        <v>953</v>
      </c>
      <c r="D688" s="8" t="s">
        <v>652</v>
      </c>
      <c r="E688" s="8" t="s">
        <v>33</v>
      </c>
      <c r="F688" s="6" t="s">
        <v>39</v>
      </c>
      <c r="G688" s="10">
        <v>1</v>
      </c>
      <c r="H688" s="10">
        <v>1</v>
      </c>
      <c r="I688" s="13">
        <v>8000.0</v>
      </c>
      <c r="J688" s="13"/>
      <c r="K688" s="15">
        <f>IF(I688&gt;0, J688/I688, 0)</f>
        <v>0</v>
      </c>
      <c r="L688" s="13">
        <v>8000.0</v>
      </c>
      <c r="M688" s="13"/>
      <c r="N688" s="13">
        <f>L688-M688</f>
        <v>8000</v>
      </c>
      <c r="O688" s="8" t="s">
        <v>40</v>
      </c>
      <c r="P688" s="8" t="s">
        <v>41</v>
      </c>
      <c r="Q688" s="8" t="s">
        <v>42</v>
      </c>
      <c r="R688" s="6" t="s">
        <v>2122</v>
      </c>
      <c r="S688" s="6" t="s">
        <v>42</v>
      </c>
    </row>
    <row r="689" spans="1:19">
      <c r="A689" s="9">
        <v>682</v>
      </c>
      <c r="B689" s="9" t="s">
        <v>976</v>
      </c>
      <c r="C689" s="9" t="s">
        <v>953</v>
      </c>
      <c r="D689" s="9" t="s">
        <v>652</v>
      </c>
      <c r="E689" s="9" t="s">
        <v>68</v>
      </c>
      <c r="F689" s="7" t="s">
        <v>39</v>
      </c>
      <c r="G689" s="11">
        <v>1</v>
      </c>
      <c r="H689" s="11">
        <v>1</v>
      </c>
      <c r="I689" s="14">
        <v>10000.0</v>
      </c>
      <c r="J689" s="14"/>
      <c r="K689" s="16">
        <f>IF(I689&gt;0, J689/I689, 0)</f>
        <v>0</v>
      </c>
      <c r="L689" s="14">
        <v>10000.0</v>
      </c>
      <c r="M689" s="14"/>
      <c r="N689" s="14">
        <f>L689-M689</f>
        <v>10000</v>
      </c>
      <c r="O689" s="9" t="s">
        <v>40</v>
      </c>
      <c r="P689" s="9" t="s">
        <v>71</v>
      </c>
      <c r="Q689" s="9" t="s">
        <v>42</v>
      </c>
      <c r="R689" s="7" t="s">
        <v>2130</v>
      </c>
      <c r="S689" s="7" t="s">
        <v>42</v>
      </c>
    </row>
    <row r="690" spans="1:19">
      <c r="A690" s="8">
        <v>683</v>
      </c>
      <c r="B690" s="8" t="s">
        <v>977</v>
      </c>
      <c r="C690" s="8" t="s">
        <v>953</v>
      </c>
      <c r="D690" s="8" t="s">
        <v>652</v>
      </c>
      <c r="E690" s="8" t="s">
        <v>68</v>
      </c>
      <c r="F690" s="6" t="s">
        <v>39</v>
      </c>
      <c r="G690" s="10">
        <v>1</v>
      </c>
      <c r="H690" s="10">
        <v>1</v>
      </c>
      <c r="I690" s="13">
        <v>8000.0</v>
      </c>
      <c r="J690" s="13"/>
      <c r="K690" s="15">
        <f>IF(I690&gt;0, J690/I690, 0)</f>
        <v>0</v>
      </c>
      <c r="L690" s="13">
        <v>8000.0</v>
      </c>
      <c r="M690" s="13"/>
      <c r="N690" s="13">
        <f>L690-M690</f>
        <v>8000</v>
      </c>
      <c r="O690" s="8" t="s">
        <v>40</v>
      </c>
      <c r="P690" s="8" t="s">
        <v>71</v>
      </c>
      <c r="Q690" s="8" t="s">
        <v>42</v>
      </c>
      <c r="R690" s="6" t="s">
        <v>2194</v>
      </c>
      <c r="S690" s="6" t="s">
        <v>42</v>
      </c>
    </row>
    <row r="691" spans="1:19">
      <c r="A691" s="9">
        <v>684</v>
      </c>
      <c r="B691" s="9" t="s">
        <v>978</v>
      </c>
      <c r="C691" s="9" t="s">
        <v>953</v>
      </c>
      <c r="D691" s="9" t="s">
        <v>652</v>
      </c>
      <c r="E691" s="9" t="s">
        <v>33</v>
      </c>
      <c r="F691" s="7" t="s">
        <v>39</v>
      </c>
      <c r="G691" s="11">
        <v>1</v>
      </c>
      <c r="H691" s="11">
        <v>1</v>
      </c>
      <c r="I691" s="14">
        <v>8000.0</v>
      </c>
      <c r="J691" s="14"/>
      <c r="K691" s="16">
        <f>IF(I691&gt;0, J691/I691, 0)</f>
        <v>0</v>
      </c>
      <c r="L691" s="14">
        <v>8000.0</v>
      </c>
      <c r="M691" s="14"/>
      <c r="N691" s="14">
        <f>L691-M691</f>
        <v>8000</v>
      </c>
      <c r="O691" s="9" t="s">
        <v>40</v>
      </c>
      <c r="P691" s="9" t="s">
        <v>41</v>
      </c>
      <c r="Q691" s="9" t="s">
        <v>42</v>
      </c>
      <c r="R691" s="7" t="s">
        <v>2141</v>
      </c>
      <c r="S691" s="7" t="s">
        <v>42</v>
      </c>
    </row>
    <row r="692" spans="1:19">
      <c r="A692" s="8">
        <v>685</v>
      </c>
      <c r="B692" s="8" t="s">
        <v>979</v>
      </c>
      <c r="C692" s="8" t="s">
        <v>953</v>
      </c>
      <c r="D692" s="8" t="s">
        <v>652</v>
      </c>
      <c r="E692" s="8" t="s">
        <v>33</v>
      </c>
      <c r="F692" s="6" t="s">
        <v>39</v>
      </c>
      <c r="G692" s="10">
        <v>1</v>
      </c>
      <c r="H692" s="10">
        <v>2</v>
      </c>
      <c r="I692" s="13">
        <v>14000.0</v>
      </c>
      <c r="J692" s="13"/>
      <c r="K692" s="15">
        <f>IF(I692&gt;0, J692/I692, 0)</f>
        <v>0</v>
      </c>
      <c r="L692" s="13">
        <v>14000.0</v>
      </c>
      <c r="M692" s="13"/>
      <c r="N692" s="13">
        <f>L692-M692</f>
        <v>14000</v>
      </c>
      <c r="O692" s="8" t="s">
        <v>40</v>
      </c>
      <c r="P692" s="8" t="s">
        <v>41</v>
      </c>
      <c r="Q692" s="8" t="s">
        <v>42</v>
      </c>
      <c r="R692" s="6" t="s">
        <v>2198</v>
      </c>
      <c r="S692" s="6" t="s">
        <v>42</v>
      </c>
    </row>
    <row r="693" spans="1:19">
      <c r="A693" s="9">
        <v>686</v>
      </c>
      <c r="B693" s="9" t="s">
        <v>980</v>
      </c>
      <c r="C693" s="9" t="s">
        <v>953</v>
      </c>
      <c r="D693" s="9" t="s">
        <v>652</v>
      </c>
      <c r="E693" s="9" t="s">
        <v>33</v>
      </c>
      <c r="F693" s="7" t="s">
        <v>39</v>
      </c>
      <c r="G693" s="11">
        <v>1</v>
      </c>
      <c r="H693" s="11">
        <v>1</v>
      </c>
      <c r="I693" s="14">
        <v>16000.0</v>
      </c>
      <c r="J693" s="14"/>
      <c r="K693" s="16">
        <f>IF(I693&gt;0, J693/I693, 0)</f>
        <v>0</v>
      </c>
      <c r="L693" s="14">
        <v>16000.0</v>
      </c>
      <c r="M693" s="14"/>
      <c r="N693" s="14">
        <f>L693-M693</f>
        <v>16000</v>
      </c>
      <c r="O693" s="9" t="s">
        <v>40</v>
      </c>
      <c r="P693" s="9" t="s">
        <v>41</v>
      </c>
      <c r="Q693" s="9" t="s">
        <v>42</v>
      </c>
      <c r="R693" s="7" t="s">
        <v>2132</v>
      </c>
      <c r="S693" s="7" t="s">
        <v>42</v>
      </c>
    </row>
    <row r="694" spans="1:19">
      <c r="A694" s="8">
        <v>687</v>
      </c>
      <c r="B694" s="8" t="s">
        <v>981</v>
      </c>
      <c r="C694" s="8" t="s">
        <v>953</v>
      </c>
      <c r="D694" s="8" t="s">
        <v>652</v>
      </c>
      <c r="E694" s="8" t="s">
        <v>33</v>
      </c>
      <c r="F694" s="6" t="s">
        <v>39</v>
      </c>
      <c r="G694" s="10">
        <v>1</v>
      </c>
      <c r="H694" s="10">
        <v>1</v>
      </c>
      <c r="I694" s="13">
        <v>18000.0</v>
      </c>
      <c r="J694" s="13"/>
      <c r="K694" s="15">
        <f>IF(I694&gt;0, J694/I694, 0)</f>
        <v>0</v>
      </c>
      <c r="L694" s="13">
        <v>18000.0</v>
      </c>
      <c r="M694" s="13"/>
      <c r="N694" s="13">
        <f>L694-M694</f>
        <v>18000</v>
      </c>
      <c r="O694" s="8" t="s">
        <v>40</v>
      </c>
      <c r="P694" s="8" t="s">
        <v>41</v>
      </c>
      <c r="Q694" s="8" t="s">
        <v>42</v>
      </c>
      <c r="R694" s="6" t="s">
        <v>2103</v>
      </c>
      <c r="S694" s="6" t="s">
        <v>42</v>
      </c>
    </row>
    <row r="695" spans="1:19">
      <c r="A695" s="9">
        <v>688</v>
      </c>
      <c r="B695" s="9" t="s">
        <v>982</v>
      </c>
      <c r="C695" s="9" t="s">
        <v>953</v>
      </c>
      <c r="D695" s="9" t="s">
        <v>652</v>
      </c>
      <c r="E695" s="9" t="s">
        <v>33</v>
      </c>
      <c r="F695" s="7" t="s">
        <v>39</v>
      </c>
      <c r="G695" s="11">
        <v>1</v>
      </c>
      <c r="H695" s="11">
        <v>2</v>
      </c>
      <c r="I695" s="14">
        <v>14000.0</v>
      </c>
      <c r="J695" s="14"/>
      <c r="K695" s="16">
        <f>IF(I695&gt;0, J695/I695, 0)</f>
        <v>0</v>
      </c>
      <c r="L695" s="14">
        <v>14000.0</v>
      </c>
      <c r="M695" s="14"/>
      <c r="N695" s="14">
        <f>L695-M695</f>
        <v>14000</v>
      </c>
      <c r="O695" s="9" t="s">
        <v>40</v>
      </c>
      <c r="P695" s="9" t="s">
        <v>41</v>
      </c>
      <c r="Q695" s="9" t="s">
        <v>42</v>
      </c>
      <c r="R695" s="7" t="s">
        <v>2234</v>
      </c>
      <c r="S695" s="7" t="s">
        <v>42</v>
      </c>
    </row>
    <row r="696" spans="1:19">
      <c r="A696" s="8">
        <v>689</v>
      </c>
      <c r="B696" s="8" t="s">
        <v>983</v>
      </c>
      <c r="C696" s="8" t="s">
        <v>953</v>
      </c>
      <c r="D696" s="8" t="s">
        <v>652</v>
      </c>
      <c r="E696" s="8" t="s">
        <v>33</v>
      </c>
      <c r="F696" s="6" t="s">
        <v>39</v>
      </c>
      <c r="G696" s="10">
        <v>1</v>
      </c>
      <c r="H696" s="10">
        <v>1</v>
      </c>
      <c r="I696" s="13">
        <v>7000.0</v>
      </c>
      <c r="J696" s="13"/>
      <c r="K696" s="15">
        <f>IF(I696&gt;0, J696/I696, 0)</f>
        <v>0</v>
      </c>
      <c r="L696" s="13">
        <v>7000.0</v>
      </c>
      <c r="M696" s="13"/>
      <c r="N696" s="13">
        <f>L696-M696</f>
        <v>7000</v>
      </c>
      <c r="O696" s="8" t="s">
        <v>40</v>
      </c>
      <c r="P696" s="8" t="s">
        <v>41</v>
      </c>
      <c r="Q696" s="8" t="s">
        <v>42</v>
      </c>
      <c r="R696" s="6" t="s">
        <v>2142</v>
      </c>
      <c r="S696" s="6" t="s">
        <v>42</v>
      </c>
    </row>
    <row r="697" spans="1:19">
      <c r="A697" s="9">
        <v>690</v>
      </c>
      <c r="B697" s="9" t="s">
        <v>984</v>
      </c>
      <c r="C697" s="9" t="s">
        <v>953</v>
      </c>
      <c r="D697" s="9" t="s">
        <v>652</v>
      </c>
      <c r="E697" s="9" t="s">
        <v>33</v>
      </c>
      <c r="F697" s="7" t="s">
        <v>39</v>
      </c>
      <c r="G697" s="11">
        <v>1</v>
      </c>
      <c r="H697" s="11">
        <v>2</v>
      </c>
      <c r="I697" s="14">
        <v>14000.0</v>
      </c>
      <c r="J697" s="14"/>
      <c r="K697" s="16">
        <f>IF(I697&gt;0, J697/I697, 0)</f>
        <v>0</v>
      </c>
      <c r="L697" s="14">
        <v>14000.0</v>
      </c>
      <c r="M697" s="14"/>
      <c r="N697" s="14">
        <f>L697-M697</f>
        <v>14000</v>
      </c>
      <c r="O697" s="9" t="s">
        <v>40</v>
      </c>
      <c r="P697" s="9" t="s">
        <v>41</v>
      </c>
      <c r="Q697" s="9" t="s">
        <v>42</v>
      </c>
      <c r="R697" s="7" t="s">
        <v>2102</v>
      </c>
      <c r="S697" s="7" t="s">
        <v>42</v>
      </c>
    </row>
    <row r="698" spans="1:19">
      <c r="A698" s="8">
        <v>691</v>
      </c>
      <c r="B698" s="8" t="s">
        <v>985</v>
      </c>
      <c r="C698" s="8" t="s">
        <v>953</v>
      </c>
      <c r="D698" s="8" t="s">
        <v>652</v>
      </c>
      <c r="E698" s="8" t="s">
        <v>68</v>
      </c>
      <c r="F698" s="6" t="s">
        <v>39</v>
      </c>
      <c r="G698" s="10">
        <v>1</v>
      </c>
      <c r="H698" s="10">
        <v>2</v>
      </c>
      <c r="I698" s="13">
        <v>20000.0</v>
      </c>
      <c r="J698" s="13"/>
      <c r="K698" s="15">
        <f>IF(I698&gt;0, J698/I698, 0)</f>
        <v>0</v>
      </c>
      <c r="L698" s="13">
        <v>20000.0</v>
      </c>
      <c r="M698" s="13"/>
      <c r="N698" s="13">
        <f>L698-M698</f>
        <v>20000</v>
      </c>
      <c r="O698" s="8" t="s">
        <v>40</v>
      </c>
      <c r="P698" s="8" t="s">
        <v>71</v>
      </c>
      <c r="Q698" s="8" t="s">
        <v>42</v>
      </c>
      <c r="R698" s="6" t="s">
        <v>2098</v>
      </c>
      <c r="S698" s="6" t="s">
        <v>42</v>
      </c>
    </row>
    <row r="699" spans="1:19">
      <c r="A699" s="9">
        <v>692</v>
      </c>
      <c r="B699" s="9" t="s">
        <v>986</v>
      </c>
      <c r="C699" s="9" t="s">
        <v>953</v>
      </c>
      <c r="D699" s="9" t="s">
        <v>652</v>
      </c>
      <c r="E699" s="9" t="s">
        <v>33</v>
      </c>
      <c r="F699" s="7" t="s">
        <v>39</v>
      </c>
      <c r="G699" s="11">
        <v>1</v>
      </c>
      <c r="H699" s="11">
        <v>1</v>
      </c>
      <c r="I699" s="14">
        <v>18000.0</v>
      </c>
      <c r="J699" s="14"/>
      <c r="K699" s="16">
        <f>IF(I699&gt;0, J699/I699, 0)</f>
        <v>0</v>
      </c>
      <c r="L699" s="14">
        <v>18000.0</v>
      </c>
      <c r="M699" s="14"/>
      <c r="N699" s="14">
        <f>L699-M699</f>
        <v>18000</v>
      </c>
      <c r="O699" s="9" t="s">
        <v>40</v>
      </c>
      <c r="P699" s="9" t="s">
        <v>41</v>
      </c>
      <c r="Q699" s="9" t="s">
        <v>42</v>
      </c>
      <c r="R699" s="7" t="s">
        <v>2075</v>
      </c>
      <c r="S699" s="7" t="s">
        <v>42</v>
      </c>
    </row>
    <row r="700" spans="1:19">
      <c r="A700" s="8">
        <v>693</v>
      </c>
      <c r="B700" s="8" t="s">
        <v>987</v>
      </c>
      <c r="C700" s="8" t="s">
        <v>953</v>
      </c>
      <c r="D700" s="8" t="s">
        <v>652</v>
      </c>
      <c r="E700" s="8" t="s">
        <v>33</v>
      </c>
      <c r="F700" s="6" t="s">
        <v>39</v>
      </c>
      <c r="G700" s="10">
        <v>1</v>
      </c>
      <c r="H700" s="10">
        <v>1</v>
      </c>
      <c r="I700" s="13">
        <v>7000.0</v>
      </c>
      <c r="J700" s="13"/>
      <c r="K700" s="15">
        <f>IF(I700&gt;0, J700/I700, 0)</f>
        <v>0</v>
      </c>
      <c r="L700" s="13">
        <v>7000.0</v>
      </c>
      <c r="M700" s="13"/>
      <c r="N700" s="13">
        <f>L700-M700</f>
        <v>7000</v>
      </c>
      <c r="O700" s="8" t="s">
        <v>40</v>
      </c>
      <c r="P700" s="8" t="s">
        <v>41</v>
      </c>
      <c r="Q700" s="8" t="s">
        <v>42</v>
      </c>
      <c r="R700" s="6" t="s">
        <v>2231</v>
      </c>
      <c r="S700" s="6" t="s">
        <v>42</v>
      </c>
    </row>
    <row r="701" spans="1:19">
      <c r="A701" s="9">
        <v>694</v>
      </c>
      <c r="B701" s="9" t="s">
        <v>988</v>
      </c>
      <c r="C701" s="9" t="s">
        <v>953</v>
      </c>
      <c r="D701" s="9" t="s">
        <v>652</v>
      </c>
      <c r="E701" s="9" t="s">
        <v>33</v>
      </c>
      <c r="F701" s="7" t="s">
        <v>39</v>
      </c>
      <c r="G701" s="11">
        <v>1</v>
      </c>
      <c r="H701" s="11">
        <v>1</v>
      </c>
      <c r="I701" s="14">
        <v>8000.0</v>
      </c>
      <c r="J701" s="14"/>
      <c r="K701" s="16">
        <f>IF(I701&gt;0, J701/I701, 0)</f>
        <v>0</v>
      </c>
      <c r="L701" s="14">
        <v>8000.0</v>
      </c>
      <c r="M701" s="14"/>
      <c r="N701" s="14">
        <f>L701-M701</f>
        <v>8000</v>
      </c>
      <c r="O701" s="9" t="s">
        <v>40</v>
      </c>
      <c r="P701" s="9" t="s">
        <v>41</v>
      </c>
      <c r="Q701" s="9" t="s">
        <v>42</v>
      </c>
      <c r="R701" s="7" t="s">
        <v>2134</v>
      </c>
      <c r="S701" s="7" t="s">
        <v>42</v>
      </c>
    </row>
    <row r="702" spans="1:19">
      <c r="A702" s="8">
        <v>695</v>
      </c>
      <c r="B702" s="8" t="s">
        <v>989</v>
      </c>
      <c r="C702" s="8" t="s">
        <v>953</v>
      </c>
      <c r="D702" s="8" t="s">
        <v>652</v>
      </c>
      <c r="E702" s="8" t="s">
        <v>33</v>
      </c>
      <c r="F702" s="6" t="s">
        <v>39</v>
      </c>
      <c r="G702" s="10">
        <v>1</v>
      </c>
      <c r="H702" s="10">
        <v>1</v>
      </c>
      <c r="I702" s="13">
        <v>7000.0</v>
      </c>
      <c r="J702" s="13"/>
      <c r="K702" s="15">
        <f>IF(I702&gt;0, J702/I702, 0)</f>
        <v>0</v>
      </c>
      <c r="L702" s="13">
        <v>7000.0</v>
      </c>
      <c r="M702" s="13"/>
      <c r="N702" s="13">
        <f>L702-M702</f>
        <v>7000</v>
      </c>
      <c r="O702" s="8" t="s">
        <v>40</v>
      </c>
      <c r="P702" s="8" t="s">
        <v>41</v>
      </c>
      <c r="Q702" s="8" t="s">
        <v>42</v>
      </c>
      <c r="R702" s="6" t="s">
        <v>2088</v>
      </c>
      <c r="S702" s="6" t="s">
        <v>42</v>
      </c>
    </row>
    <row r="703" spans="1:19">
      <c r="A703" s="9">
        <v>696</v>
      </c>
      <c r="B703" s="9" t="s">
        <v>990</v>
      </c>
      <c r="C703" s="9" t="s">
        <v>953</v>
      </c>
      <c r="D703" s="9" t="s">
        <v>652</v>
      </c>
      <c r="E703" s="9" t="s">
        <v>33</v>
      </c>
      <c r="F703" s="7" t="s">
        <v>39</v>
      </c>
      <c r="G703" s="11">
        <v>1</v>
      </c>
      <c r="H703" s="11">
        <v>1</v>
      </c>
      <c r="I703" s="14">
        <v>8500.0</v>
      </c>
      <c r="J703" s="14"/>
      <c r="K703" s="16">
        <f>IF(I703&gt;0, J703/I703, 0)</f>
        <v>0</v>
      </c>
      <c r="L703" s="14">
        <v>8500.0</v>
      </c>
      <c r="M703" s="14"/>
      <c r="N703" s="14">
        <f>L703-M703</f>
        <v>8500</v>
      </c>
      <c r="O703" s="9" t="s">
        <v>40</v>
      </c>
      <c r="P703" s="9" t="s">
        <v>41</v>
      </c>
      <c r="Q703" s="9" t="s">
        <v>42</v>
      </c>
      <c r="R703" s="7" t="s">
        <v>2099</v>
      </c>
      <c r="S703" s="7" t="s">
        <v>42</v>
      </c>
    </row>
    <row r="704" spans="1:19">
      <c r="A704" s="8">
        <v>697</v>
      </c>
      <c r="B704" s="8" t="s">
        <v>991</v>
      </c>
      <c r="C704" s="8" t="s">
        <v>953</v>
      </c>
      <c r="D704" s="8" t="s">
        <v>652</v>
      </c>
      <c r="E704" s="8" t="s">
        <v>33</v>
      </c>
      <c r="F704" s="6" t="s">
        <v>39</v>
      </c>
      <c r="G704" s="10">
        <v>1</v>
      </c>
      <c r="H704" s="10">
        <v>1</v>
      </c>
      <c r="I704" s="13">
        <v>16500.0</v>
      </c>
      <c r="J704" s="13"/>
      <c r="K704" s="15">
        <f>IF(I704&gt;0, J704/I704, 0)</f>
        <v>0</v>
      </c>
      <c r="L704" s="13">
        <v>16500.0</v>
      </c>
      <c r="M704" s="13"/>
      <c r="N704" s="13">
        <f>L704-M704</f>
        <v>16500</v>
      </c>
      <c r="O704" s="8" t="s">
        <v>40</v>
      </c>
      <c r="P704" s="8" t="s">
        <v>41</v>
      </c>
      <c r="Q704" s="8" t="s">
        <v>42</v>
      </c>
      <c r="R704" s="6" t="s">
        <v>2126</v>
      </c>
      <c r="S704" s="6" t="s">
        <v>42</v>
      </c>
    </row>
    <row r="705" spans="1:19">
      <c r="A705" s="9">
        <v>698</v>
      </c>
      <c r="B705" s="9" t="s">
        <v>992</v>
      </c>
      <c r="C705" s="9" t="s">
        <v>953</v>
      </c>
      <c r="D705" s="9" t="s">
        <v>652</v>
      </c>
      <c r="E705" s="9" t="s">
        <v>68</v>
      </c>
      <c r="F705" s="7" t="s">
        <v>39</v>
      </c>
      <c r="G705" s="11">
        <v>1</v>
      </c>
      <c r="H705" s="11">
        <v>1</v>
      </c>
      <c r="I705" s="14">
        <v>17000.0</v>
      </c>
      <c r="J705" s="14"/>
      <c r="K705" s="16">
        <f>IF(I705&gt;0, J705/I705, 0)</f>
        <v>0</v>
      </c>
      <c r="L705" s="14">
        <v>17000.0</v>
      </c>
      <c r="M705" s="14"/>
      <c r="N705" s="14">
        <f>L705-M705</f>
        <v>17000</v>
      </c>
      <c r="O705" s="9" t="s">
        <v>40</v>
      </c>
      <c r="P705" s="9" t="s">
        <v>71</v>
      </c>
      <c r="Q705" s="9" t="s">
        <v>42</v>
      </c>
      <c r="R705" s="7" t="s">
        <v>2090</v>
      </c>
      <c r="S705" s="7" t="s">
        <v>42</v>
      </c>
    </row>
    <row r="706" spans="1:19">
      <c r="A706" s="8">
        <v>699</v>
      </c>
      <c r="B706" s="8" t="s">
        <v>993</v>
      </c>
      <c r="C706" s="8" t="s">
        <v>953</v>
      </c>
      <c r="D706" s="8" t="s">
        <v>652</v>
      </c>
      <c r="E706" s="8" t="s">
        <v>33</v>
      </c>
      <c r="F706" s="6" t="s">
        <v>39</v>
      </c>
      <c r="G706" s="10">
        <v>1</v>
      </c>
      <c r="H706" s="10">
        <v>1</v>
      </c>
      <c r="I706" s="13">
        <v>16000.0</v>
      </c>
      <c r="J706" s="13"/>
      <c r="K706" s="15">
        <f>IF(I706&gt;0, J706/I706, 0)</f>
        <v>0</v>
      </c>
      <c r="L706" s="13">
        <v>16000.0</v>
      </c>
      <c r="M706" s="13"/>
      <c r="N706" s="13">
        <f>L706-M706</f>
        <v>16000</v>
      </c>
      <c r="O706" s="8" t="s">
        <v>40</v>
      </c>
      <c r="P706" s="8" t="s">
        <v>41</v>
      </c>
      <c r="Q706" s="8" t="s">
        <v>42</v>
      </c>
      <c r="R706" s="6" t="s">
        <v>2094</v>
      </c>
      <c r="S706" s="6" t="s">
        <v>42</v>
      </c>
    </row>
    <row r="707" spans="1:19">
      <c r="A707" s="9">
        <v>700</v>
      </c>
      <c r="B707" s="9" t="s">
        <v>994</v>
      </c>
      <c r="C707" s="9" t="s">
        <v>953</v>
      </c>
      <c r="D707" s="9" t="s">
        <v>652</v>
      </c>
      <c r="E707" s="9" t="s">
        <v>33</v>
      </c>
      <c r="F707" s="7" t="s">
        <v>39</v>
      </c>
      <c r="G707" s="11">
        <v>1</v>
      </c>
      <c r="H707" s="11">
        <v>1</v>
      </c>
      <c r="I707" s="14">
        <v>8000.0</v>
      </c>
      <c r="J707" s="14"/>
      <c r="K707" s="16">
        <f>IF(I707&gt;0, J707/I707, 0)</f>
        <v>0</v>
      </c>
      <c r="L707" s="14">
        <v>8000.0</v>
      </c>
      <c r="M707" s="14"/>
      <c r="N707" s="14">
        <f>L707-M707</f>
        <v>8000</v>
      </c>
      <c r="O707" s="9" t="s">
        <v>40</v>
      </c>
      <c r="P707" s="9" t="s">
        <v>41</v>
      </c>
      <c r="Q707" s="9" t="s">
        <v>42</v>
      </c>
      <c r="R707" s="7" t="s">
        <v>2167</v>
      </c>
      <c r="S707" s="7" t="s">
        <v>42</v>
      </c>
    </row>
    <row r="708" spans="1:19">
      <c r="A708" s="8">
        <v>701</v>
      </c>
      <c r="B708" s="8" t="s">
        <v>995</v>
      </c>
      <c r="C708" s="8" t="s">
        <v>953</v>
      </c>
      <c r="D708" s="8" t="s">
        <v>652</v>
      </c>
      <c r="E708" s="8" t="s">
        <v>33</v>
      </c>
      <c r="F708" s="6" t="s">
        <v>39</v>
      </c>
      <c r="G708" s="10">
        <v>1</v>
      </c>
      <c r="H708" s="10">
        <v>1</v>
      </c>
      <c r="I708" s="13">
        <v>8000.0</v>
      </c>
      <c r="J708" s="13"/>
      <c r="K708" s="15">
        <f>IF(I708&gt;0, J708/I708, 0)</f>
        <v>0</v>
      </c>
      <c r="L708" s="13">
        <v>8000.0</v>
      </c>
      <c r="M708" s="13"/>
      <c r="N708" s="13">
        <f>L708-M708</f>
        <v>8000</v>
      </c>
      <c r="O708" s="8" t="s">
        <v>40</v>
      </c>
      <c r="P708" s="8" t="s">
        <v>41</v>
      </c>
      <c r="Q708" s="8" t="s">
        <v>42</v>
      </c>
      <c r="R708" s="6" t="s">
        <v>2084</v>
      </c>
      <c r="S708" s="6" t="s">
        <v>42</v>
      </c>
    </row>
    <row r="709" spans="1:19">
      <c r="A709" s="9">
        <v>702</v>
      </c>
      <c r="B709" s="9" t="s">
        <v>996</v>
      </c>
      <c r="C709" s="9" t="s">
        <v>953</v>
      </c>
      <c r="D709" s="9" t="s">
        <v>652</v>
      </c>
      <c r="E709" s="9" t="s">
        <v>33</v>
      </c>
      <c r="F709" s="7" t="s">
        <v>39</v>
      </c>
      <c r="G709" s="11">
        <v>1</v>
      </c>
      <c r="H709" s="11">
        <v>1</v>
      </c>
      <c r="I709" s="14">
        <v>7000.0</v>
      </c>
      <c r="J709" s="14"/>
      <c r="K709" s="16">
        <f>IF(I709&gt;0, J709/I709, 0)</f>
        <v>0</v>
      </c>
      <c r="L709" s="14">
        <v>7000.0</v>
      </c>
      <c r="M709" s="14"/>
      <c r="N709" s="14">
        <f>L709-M709</f>
        <v>7000</v>
      </c>
      <c r="O709" s="9" t="s">
        <v>40</v>
      </c>
      <c r="P709" s="9" t="s">
        <v>41</v>
      </c>
      <c r="Q709" s="9" t="s">
        <v>42</v>
      </c>
      <c r="R709" s="7" t="s">
        <v>2092</v>
      </c>
      <c r="S709" s="7" t="s">
        <v>42</v>
      </c>
    </row>
    <row r="710" spans="1:19">
      <c r="A710" s="8">
        <v>703</v>
      </c>
      <c r="B710" s="8" t="s">
        <v>997</v>
      </c>
      <c r="C710" s="8" t="s">
        <v>953</v>
      </c>
      <c r="D710" s="8" t="s">
        <v>652</v>
      </c>
      <c r="E710" s="8" t="s">
        <v>33</v>
      </c>
      <c r="F710" s="6" t="s">
        <v>39</v>
      </c>
      <c r="G710" s="10">
        <v>1</v>
      </c>
      <c r="H710" s="10">
        <v>1</v>
      </c>
      <c r="I710" s="13">
        <v>7000.0</v>
      </c>
      <c r="J710" s="13"/>
      <c r="K710" s="15">
        <f>IF(I710&gt;0, J710/I710, 0)</f>
        <v>0</v>
      </c>
      <c r="L710" s="13">
        <v>7000.0</v>
      </c>
      <c r="M710" s="13"/>
      <c r="N710" s="13">
        <f>L710-M710</f>
        <v>7000</v>
      </c>
      <c r="O710" s="8" t="s">
        <v>40</v>
      </c>
      <c r="P710" s="8" t="s">
        <v>41</v>
      </c>
      <c r="Q710" s="8" t="s">
        <v>42</v>
      </c>
      <c r="R710" s="6" t="s">
        <v>2109</v>
      </c>
      <c r="S710" s="6" t="s">
        <v>42</v>
      </c>
    </row>
    <row r="711" spans="1:19">
      <c r="A711" s="9">
        <v>704</v>
      </c>
      <c r="B711" s="9" t="s">
        <v>998</v>
      </c>
      <c r="C711" s="9" t="s">
        <v>953</v>
      </c>
      <c r="D711" s="9" t="s">
        <v>652</v>
      </c>
      <c r="E711" s="9" t="s">
        <v>33</v>
      </c>
      <c r="F711" s="7" t="s">
        <v>39</v>
      </c>
      <c r="G711" s="11">
        <v>1</v>
      </c>
      <c r="H711" s="11">
        <v>1</v>
      </c>
      <c r="I711" s="14">
        <v>7500.0</v>
      </c>
      <c r="J711" s="14"/>
      <c r="K711" s="16">
        <f>IF(I711&gt;0, J711/I711, 0)</f>
        <v>0</v>
      </c>
      <c r="L711" s="14">
        <v>7500.0</v>
      </c>
      <c r="M711" s="14"/>
      <c r="N711" s="14">
        <f>L711-M711</f>
        <v>7500</v>
      </c>
      <c r="O711" s="9" t="s">
        <v>40</v>
      </c>
      <c r="P711" s="9" t="s">
        <v>41</v>
      </c>
      <c r="Q711" s="9" t="s">
        <v>42</v>
      </c>
      <c r="R711" s="7" t="s">
        <v>2077</v>
      </c>
      <c r="S711" s="7" t="s">
        <v>42</v>
      </c>
    </row>
    <row r="712" spans="1:19">
      <c r="A712" s="8">
        <v>705</v>
      </c>
      <c r="B712" s="8" t="s">
        <v>999</v>
      </c>
      <c r="C712" s="8" t="s">
        <v>953</v>
      </c>
      <c r="D712" s="8" t="s">
        <v>652</v>
      </c>
      <c r="E712" s="8" t="s">
        <v>33</v>
      </c>
      <c r="F712" s="6" t="s">
        <v>39</v>
      </c>
      <c r="G712" s="10">
        <v>1</v>
      </c>
      <c r="H712" s="10">
        <v>2</v>
      </c>
      <c r="I712" s="13">
        <v>16000.0</v>
      </c>
      <c r="J712" s="13"/>
      <c r="K712" s="15">
        <f>IF(I712&gt;0, J712/I712, 0)</f>
        <v>0</v>
      </c>
      <c r="L712" s="13">
        <v>16000.0</v>
      </c>
      <c r="M712" s="13"/>
      <c r="N712" s="13">
        <f>L712-M712</f>
        <v>16000</v>
      </c>
      <c r="O712" s="8" t="s">
        <v>40</v>
      </c>
      <c r="P712" s="8" t="s">
        <v>41</v>
      </c>
      <c r="Q712" s="8" t="s">
        <v>42</v>
      </c>
      <c r="R712" s="6" t="s">
        <v>2184</v>
      </c>
      <c r="S712" s="6" t="s">
        <v>42</v>
      </c>
    </row>
    <row r="713" spans="1:19">
      <c r="A713" s="9">
        <v>706</v>
      </c>
      <c r="B713" s="9" t="s">
        <v>1000</v>
      </c>
      <c r="C713" s="9" t="s">
        <v>953</v>
      </c>
      <c r="D713" s="9" t="s">
        <v>652</v>
      </c>
      <c r="E713" s="9" t="s">
        <v>33</v>
      </c>
      <c r="F713" s="7" t="s">
        <v>39</v>
      </c>
      <c r="G713" s="11">
        <v>1</v>
      </c>
      <c r="H713" s="11">
        <v>2</v>
      </c>
      <c r="I713" s="14">
        <v>16000.0</v>
      </c>
      <c r="J713" s="14"/>
      <c r="K713" s="16">
        <f>IF(I713&gt;0, J713/I713, 0)</f>
        <v>0</v>
      </c>
      <c r="L713" s="14">
        <v>16000.0</v>
      </c>
      <c r="M713" s="14"/>
      <c r="N713" s="14">
        <f>L713-M713</f>
        <v>16000</v>
      </c>
      <c r="O713" s="9" t="s">
        <v>40</v>
      </c>
      <c r="P713" s="9" t="s">
        <v>41</v>
      </c>
      <c r="Q713" s="9" t="s">
        <v>42</v>
      </c>
      <c r="R713" s="7" t="s">
        <v>2104</v>
      </c>
      <c r="S713" s="7" t="s">
        <v>42</v>
      </c>
    </row>
    <row r="714" spans="1:19">
      <c r="A714" s="8">
        <v>707</v>
      </c>
      <c r="B714" s="8" t="s">
        <v>1001</v>
      </c>
      <c r="C714" s="8" t="s">
        <v>953</v>
      </c>
      <c r="D714" s="8" t="s">
        <v>652</v>
      </c>
      <c r="E714" s="8" t="s">
        <v>68</v>
      </c>
      <c r="F714" s="6" t="s">
        <v>39</v>
      </c>
      <c r="G714" s="10">
        <v>1</v>
      </c>
      <c r="H714" s="10">
        <v>1</v>
      </c>
      <c r="I714" s="13">
        <v>18000.0</v>
      </c>
      <c r="J714" s="13"/>
      <c r="K714" s="15">
        <f>IF(I714&gt;0, J714/I714, 0)</f>
        <v>0</v>
      </c>
      <c r="L714" s="13">
        <v>18000.0</v>
      </c>
      <c r="M714" s="13"/>
      <c r="N714" s="13">
        <f>L714-M714</f>
        <v>18000</v>
      </c>
      <c r="O714" s="8" t="s">
        <v>40</v>
      </c>
      <c r="P714" s="8" t="s">
        <v>71</v>
      </c>
      <c r="Q714" s="8" t="s">
        <v>42</v>
      </c>
      <c r="R714" s="6" t="s">
        <v>2118</v>
      </c>
      <c r="S714" s="6" t="s">
        <v>42</v>
      </c>
    </row>
    <row r="715" spans="1:19">
      <c r="A715" s="9">
        <v>708</v>
      </c>
      <c r="B715" s="9" t="s">
        <v>1003</v>
      </c>
      <c r="C715" s="9" t="s">
        <v>953</v>
      </c>
      <c r="D715" s="9" t="s">
        <v>652</v>
      </c>
      <c r="E715" s="9" t="s">
        <v>33</v>
      </c>
      <c r="F715" s="7" t="s">
        <v>39</v>
      </c>
      <c r="G715" s="11">
        <v>1</v>
      </c>
      <c r="H715" s="11">
        <v>2</v>
      </c>
      <c r="I715" s="14">
        <v>16000.0</v>
      </c>
      <c r="J715" s="14"/>
      <c r="K715" s="16">
        <f>IF(I715&gt;0, J715/I715, 0)</f>
        <v>0</v>
      </c>
      <c r="L715" s="14">
        <v>16000.0</v>
      </c>
      <c r="M715" s="14"/>
      <c r="N715" s="14">
        <f>L715-M715</f>
        <v>16000</v>
      </c>
      <c r="O715" s="9" t="s">
        <v>40</v>
      </c>
      <c r="P715" s="9" t="s">
        <v>41</v>
      </c>
      <c r="Q715" s="9" t="s">
        <v>42</v>
      </c>
      <c r="R715" s="7" t="s">
        <v>2104</v>
      </c>
      <c r="S715" s="7" t="s">
        <v>42</v>
      </c>
    </row>
    <row r="716" spans="1:19">
      <c r="A716" s="8">
        <v>709</v>
      </c>
      <c r="B716" s="8" t="s">
        <v>1004</v>
      </c>
      <c r="C716" s="8" t="s">
        <v>953</v>
      </c>
      <c r="D716" s="8" t="s">
        <v>652</v>
      </c>
      <c r="E716" s="8" t="s">
        <v>33</v>
      </c>
      <c r="F716" s="6" t="s">
        <v>39</v>
      </c>
      <c r="G716" s="10">
        <v>1</v>
      </c>
      <c r="H716" s="10">
        <v>1</v>
      </c>
      <c r="I716" s="13">
        <v>8000.0</v>
      </c>
      <c r="J716" s="13"/>
      <c r="K716" s="15">
        <f>IF(I716&gt;0, J716/I716, 0)</f>
        <v>0</v>
      </c>
      <c r="L716" s="13">
        <v>8000.0</v>
      </c>
      <c r="M716" s="13"/>
      <c r="N716" s="13">
        <f>L716-M716</f>
        <v>8000</v>
      </c>
      <c r="O716" s="8" t="s">
        <v>40</v>
      </c>
      <c r="P716" s="8" t="s">
        <v>41</v>
      </c>
      <c r="Q716" s="8" t="s">
        <v>42</v>
      </c>
      <c r="R716" s="6" t="s">
        <v>2122</v>
      </c>
      <c r="S716" s="6" t="s">
        <v>42</v>
      </c>
    </row>
    <row r="717" spans="1:19">
      <c r="A717" s="9">
        <v>710</v>
      </c>
      <c r="B717" s="9" t="s">
        <v>1005</v>
      </c>
      <c r="C717" s="9" t="s">
        <v>953</v>
      </c>
      <c r="D717" s="9" t="s">
        <v>652</v>
      </c>
      <c r="E717" s="9" t="s">
        <v>33</v>
      </c>
      <c r="F717" s="7" t="s">
        <v>39</v>
      </c>
      <c r="G717" s="11">
        <v>1</v>
      </c>
      <c r="H717" s="11">
        <v>1</v>
      </c>
      <c r="I717" s="14">
        <v>18000.0</v>
      </c>
      <c r="J717" s="14"/>
      <c r="K717" s="16">
        <f>IF(I717&gt;0, J717/I717, 0)</f>
        <v>0</v>
      </c>
      <c r="L717" s="14">
        <v>18000.0</v>
      </c>
      <c r="M717" s="14"/>
      <c r="N717" s="14">
        <f>L717-M717</f>
        <v>18000</v>
      </c>
      <c r="O717" s="9" t="s">
        <v>40</v>
      </c>
      <c r="P717" s="9" t="s">
        <v>41</v>
      </c>
      <c r="Q717" s="9" t="s">
        <v>42</v>
      </c>
      <c r="R717" s="7" t="s">
        <v>2103</v>
      </c>
      <c r="S717" s="7" t="s">
        <v>42</v>
      </c>
    </row>
    <row r="718" spans="1:19">
      <c r="A718" s="8">
        <v>711</v>
      </c>
      <c r="B718" s="8" t="s">
        <v>1006</v>
      </c>
      <c r="C718" s="8" t="s">
        <v>953</v>
      </c>
      <c r="D718" s="8" t="s">
        <v>652</v>
      </c>
      <c r="E718" s="8" t="s">
        <v>33</v>
      </c>
      <c r="F718" s="6" t="s">
        <v>39</v>
      </c>
      <c r="G718" s="10">
        <v>1</v>
      </c>
      <c r="H718" s="10">
        <v>4</v>
      </c>
      <c r="I718" s="13">
        <v>28000.0</v>
      </c>
      <c r="J718" s="13"/>
      <c r="K718" s="15">
        <f>IF(I718&gt;0, J718/I718, 0)</f>
        <v>0</v>
      </c>
      <c r="L718" s="13">
        <v>28000.0</v>
      </c>
      <c r="M718" s="13"/>
      <c r="N718" s="13">
        <f>L718-M718</f>
        <v>28000</v>
      </c>
      <c r="O718" s="8" t="s">
        <v>40</v>
      </c>
      <c r="P718" s="8" t="s">
        <v>41</v>
      </c>
      <c r="Q718" s="8" t="s">
        <v>42</v>
      </c>
      <c r="R718" s="6" t="s">
        <v>2212</v>
      </c>
      <c r="S718" s="6" t="s">
        <v>42</v>
      </c>
    </row>
    <row r="719" spans="1:19">
      <c r="A719" s="9">
        <v>712</v>
      </c>
      <c r="B719" s="9" t="s">
        <v>1007</v>
      </c>
      <c r="C719" s="9" t="s">
        <v>953</v>
      </c>
      <c r="D719" s="9" t="s">
        <v>652</v>
      </c>
      <c r="E719" s="9" t="s">
        <v>33</v>
      </c>
      <c r="F719" s="7" t="s">
        <v>39</v>
      </c>
      <c r="G719" s="11">
        <v>1</v>
      </c>
      <c r="H719" s="11">
        <v>1</v>
      </c>
      <c r="I719" s="14">
        <v>8000.0</v>
      </c>
      <c r="J719" s="14"/>
      <c r="K719" s="16">
        <f>IF(I719&gt;0, J719/I719, 0)</f>
        <v>0</v>
      </c>
      <c r="L719" s="14">
        <v>8000.0</v>
      </c>
      <c r="M719" s="14"/>
      <c r="N719" s="14">
        <f>L719-M719</f>
        <v>8000</v>
      </c>
      <c r="O719" s="9" t="s">
        <v>40</v>
      </c>
      <c r="P719" s="9" t="s">
        <v>41</v>
      </c>
      <c r="Q719" s="9" t="s">
        <v>42</v>
      </c>
      <c r="R719" s="7" t="s">
        <v>2167</v>
      </c>
      <c r="S719" s="7" t="s">
        <v>42</v>
      </c>
    </row>
    <row r="720" spans="1:19">
      <c r="A720" s="8">
        <v>713</v>
      </c>
      <c r="B720" s="8" t="s">
        <v>1008</v>
      </c>
      <c r="C720" s="8" t="s">
        <v>953</v>
      </c>
      <c r="D720" s="8" t="s">
        <v>652</v>
      </c>
      <c r="E720" s="8" t="s">
        <v>33</v>
      </c>
      <c r="F720" s="6" t="s">
        <v>39</v>
      </c>
      <c r="G720" s="10">
        <v>1</v>
      </c>
      <c r="H720" s="10">
        <v>1</v>
      </c>
      <c r="I720" s="13">
        <v>18000.0</v>
      </c>
      <c r="J720" s="13"/>
      <c r="K720" s="15">
        <f>IF(I720&gt;0, J720/I720, 0)</f>
        <v>0</v>
      </c>
      <c r="L720" s="13">
        <v>18000.0</v>
      </c>
      <c r="M720" s="13"/>
      <c r="N720" s="13">
        <f>L720-M720</f>
        <v>18000</v>
      </c>
      <c r="O720" s="8" t="s">
        <v>40</v>
      </c>
      <c r="P720" s="8" t="s">
        <v>41</v>
      </c>
      <c r="Q720" s="8" t="s">
        <v>42</v>
      </c>
      <c r="R720" s="6" t="s">
        <v>2170</v>
      </c>
      <c r="S720" s="6" t="s">
        <v>42</v>
      </c>
    </row>
    <row r="721" spans="1:19">
      <c r="A721" s="9">
        <v>714</v>
      </c>
      <c r="B721" s="9" t="s">
        <v>1009</v>
      </c>
      <c r="C721" s="9" t="s">
        <v>953</v>
      </c>
      <c r="D721" s="9" t="s">
        <v>652</v>
      </c>
      <c r="E721" s="9" t="s">
        <v>33</v>
      </c>
      <c r="F721" s="7" t="s">
        <v>39</v>
      </c>
      <c r="G721" s="11">
        <v>1</v>
      </c>
      <c r="H721" s="11">
        <v>3</v>
      </c>
      <c r="I721" s="14">
        <v>21000.0</v>
      </c>
      <c r="J721" s="14"/>
      <c r="K721" s="16">
        <f>IF(I721&gt;0, J721/I721, 0)</f>
        <v>0</v>
      </c>
      <c r="L721" s="14">
        <v>21000.0</v>
      </c>
      <c r="M721" s="14"/>
      <c r="N721" s="14">
        <f>L721-M721</f>
        <v>21000</v>
      </c>
      <c r="O721" s="9" t="s">
        <v>40</v>
      </c>
      <c r="P721" s="9" t="s">
        <v>41</v>
      </c>
      <c r="Q721" s="9" t="s">
        <v>42</v>
      </c>
      <c r="R721" s="7" t="s">
        <v>2235</v>
      </c>
      <c r="S721" s="7" t="s">
        <v>42</v>
      </c>
    </row>
    <row r="722" spans="1:19">
      <c r="A722" s="8">
        <v>715</v>
      </c>
      <c r="B722" s="8" t="s">
        <v>1010</v>
      </c>
      <c r="C722" s="8" t="s">
        <v>953</v>
      </c>
      <c r="D722" s="8" t="s">
        <v>652</v>
      </c>
      <c r="E722" s="8" t="s">
        <v>33</v>
      </c>
      <c r="F722" s="6" t="s">
        <v>39</v>
      </c>
      <c r="G722" s="10">
        <v>1</v>
      </c>
      <c r="H722" s="10">
        <v>2</v>
      </c>
      <c r="I722" s="13">
        <v>16000.0</v>
      </c>
      <c r="J722" s="13"/>
      <c r="K722" s="15">
        <f>IF(I722&gt;0, J722/I722, 0)</f>
        <v>0</v>
      </c>
      <c r="L722" s="13">
        <v>16000.0</v>
      </c>
      <c r="M722" s="13"/>
      <c r="N722" s="13">
        <f>L722-M722</f>
        <v>16000</v>
      </c>
      <c r="O722" s="8" t="s">
        <v>40</v>
      </c>
      <c r="P722" s="8" t="s">
        <v>41</v>
      </c>
      <c r="Q722" s="8" t="s">
        <v>42</v>
      </c>
      <c r="R722" s="6" t="s">
        <v>2236</v>
      </c>
      <c r="S722" s="6" t="s">
        <v>42</v>
      </c>
    </row>
    <row r="723" spans="1:19">
      <c r="A723" s="9">
        <v>716</v>
      </c>
      <c r="B723" s="9" t="s">
        <v>1011</v>
      </c>
      <c r="C723" s="9" t="s">
        <v>953</v>
      </c>
      <c r="D723" s="9" t="s">
        <v>652</v>
      </c>
      <c r="E723" s="9" t="s">
        <v>33</v>
      </c>
      <c r="F723" s="7" t="s">
        <v>39</v>
      </c>
      <c r="G723" s="11">
        <v>1</v>
      </c>
      <c r="H723" s="11">
        <v>1</v>
      </c>
      <c r="I723" s="14">
        <v>16000.0</v>
      </c>
      <c r="J723" s="14"/>
      <c r="K723" s="16">
        <f>IF(I723&gt;0, J723/I723, 0)</f>
        <v>0</v>
      </c>
      <c r="L723" s="14">
        <v>16000.0</v>
      </c>
      <c r="M723" s="14"/>
      <c r="N723" s="14">
        <f>L723-M723</f>
        <v>16000</v>
      </c>
      <c r="O723" s="9" t="s">
        <v>40</v>
      </c>
      <c r="P723" s="9" t="s">
        <v>41</v>
      </c>
      <c r="Q723" s="9" t="s">
        <v>42</v>
      </c>
      <c r="R723" s="7" t="s">
        <v>2132</v>
      </c>
      <c r="S723" s="7" t="s">
        <v>42</v>
      </c>
    </row>
    <row r="724" spans="1:19">
      <c r="A724" s="8">
        <v>717</v>
      </c>
      <c r="B724" s="8" t="s">
        <v>1012</v>
      </c>
      <c r="C724" s="8" t="s">
        <v>953</v>
      </c>
      <c r="D724" s="8" t="s">
        <v>652</v>
      </c>
      <c r="E724" s="8" t="s">
        <v>33</v>
      </c>
      <c r="F724" s="6" t="s">
        <v>39</v>
      </c>
      <c r="G724" s="10">
        <v>1</v>
      </c>
      <c r="H724" s="10">
        <v>1</v>
      </c>
      <c r="I724" s="13">
        <v>8000.0</v>
      </c>
      <c r="J724" s="13"/>
      <c r="K724" s="15">
        <f>IF(I724&gt;0, J724/I724, 0)</f>
        <v>0</v>
      </c>
      <c r="L724" s="13">
        <v>8000.0</v>
      </c>
      <c r="M724" s="13"/>
      <c r="N724" s="13">
        <f>L724-M724</f>
        <v>8000</v>
      </c>
      <c r="O724" s="8" t="s">
        <v>40</v>
      </c>
      <c r="P724" s="8" t="s">
        <v>41</v>
      </c>
      <c r="Q724" s="8" t="s">
        <v>42</v>
      </c>
      <c r="R724" s="6" t="s">
        <v>2122</v>
      </c>
      <c r="S724" s="6" t="s">
        <v>42</v>
      </c>
    </row>
    <row r="725" spans="1:19">
      <c r="A725" s="9">
        <v>718</v>
      </c>
      <c r="B725" s="9" t="s">
        <v>1013</v>
      </c>
      <c r="C725" s="9" t="s">
        <v>953</v>
      </c>
      <c r="D725" s="9" t="s">
        <v>652</v>
      </c>
      <c r="E725" s="9" t="s">
        <v>33</v>
      </c>
      <c r="F725" s="7" t="s">
        <v>39</v>
      </c>
      <c r="G725" s="11">
        <v>1</v>
      </c>
      <c r="H725" s="11">
        <v>1</v>
      </c>
      <c r="I725" s="14">
        <v>8500.0</v>
      </c>
      <c r="J725" s="14"/>
      <c r="K725" s="16">
        <f>IF(I725&gt;0, J725/I725, 0)</f>
        <v>0</v>
      </c>
      <c r="L725" s="14">
        <v>8500.0</v>
      </c>
      <c r="M725" s="14"/>
      <c r="N725" s="14">
        <f>L725-M725</f>
        <v>8500</v>
      </c>
      <c r="O725" s="9" t="s">
        <v>40</v>
      </c>
      <c r="P725" s="9" t="s">
        <v>41</v>
      </c>
      <c r="Q725" s="9" t="s">
        <v>42</v>
      </c>
      <c r="R725" s="7" t="s">
        <v>2078</v>
      </c>
      <c r="S725" s="7" t="s">
        <v>42</v>
      </c>
    </row>
    <row r="726" spans="1:19">
      <c r="A726" s="8">
        <v>719</v>
      </c>
      <c r="B726" s="8" t="s">
        <v>1014</v>
      </c>
      <c r="C726" s="8" t="s">
        <v>953</v>
      </c>
      <c r="D726" s="8" t="s">
        <v>652</v>
      </c>
      <c r="E726" s="8" t="s">
        <v>33</v>
      </c>
      <c r="F726" s="6" t="s">
        <v>39</v>
      </c>
      <c r="G726" s="10">
        <v>1</v>
      </c>
      <c r="H726" s="10">
        <v>1</v>
      </c>
      <c r="I726" s="13">
        <v>9500.0</v>
      </c>
      <c r="J726" s="13"/>
      <c r="K726" s="15">
        <f>IF(I726&gt;0, J726/I726, 0)</f>
        <v>0</v>
      </c>
      <c r="L726" s="13">
        <v>9500.0</v>
      </c>
      <c r="M726" s="13"/>
      <c r="N726" s="13">
        <f>L726-M726</f>
        <v>9500</v>
      </c>
      <c r="O726" s="8" t="s">
        <v>40</v>
      </c>
      <c r="P726" s="8" t="s">
        <v>41</v>
      </c>
      <c r="Q726" s="8" t="s">
        <v>42</v>
      </c>
      <c r="R726" s="6" t="s">
        <v>2128</v>
      </c>
      <c r="S726" s="6" t="s">
        <v>42</v>
      </c>
    </row>
    <row r="727" spans="1:19">
      <c r="A727" s="9">
        <v>720</v>
      </c>
      <c r="B727" s="9" t="s">
        <v>1015</v>
      </c>
      <c r="C727" s="9" t="s">
        <v>953</v>
      </c>
      <c r="D727" s="9" t="s">
        <v>652</v>
      </c>
      <c r="E727" s="9" t="s">
        <v>33</v>
      </c>
      <c r="F727" s="7" t="s">
        <v>39</v>
      </c>
      <c r="G727" s="11">
        <v>1</v>
      </c>
      <c r="H727" s="11">
        <v>1</v>
      </c>
      <c r="I727" s="14">
        <v>7000.0</v>
      </c>
      <c r="J727" s="14"/>
      <c r="K727" s="16">
        <f>IF(I727&gt;0, J727/I727, 0)</f>
        <v>0</v>
      </c>
      <c r="L727" s="14">
        <v>7000.0</v>
      </c>
      <c r="M727" s="14"/>
      <c r="N727" s="14">
        <f>L727-M727</f>
        <v>7000</v>
      </c>
      <c r="O727" s="9" t="s">
        <v>40</v>
      </c>
      <c r="P727" s="9" t="s">
        <v>41</v>
      </c>
      <c r="Q727" s="9" t="s">
        <v>42</v>
      </c>
      <c r="R727" s="7" t="s">
        <v>2107</v>
      </c>
      <c r="S727" s="7" t="s">
        <v>42</v>
      </c>
    </row>
    <row r="728" spans="1:19">
      <c r="A728" s="8">
        <v>721</v>
      </c>
      <c r="B728" s="8" t="s">
        <v>1016</v>
      </c>
      <c r="C728" s="8" t="s">
        <v>953</v>
      </c>
      <c r="D728" s="8" t="s">
        <v>652</v>
      </c>
      <c r="E728" s="8" t="s">
        <v>68</v>
      </c>
      <c r="F728" s="6" t="s">
        <v>39</v>
      </c>
      <c r="G728" s="10">
        <v>1</v>
      </c>
      <c r="H728" s="10">
        <v>2</v>
      </c>
      <c r="I728" s="13">
        <v>20000.0</v>
      </c>
      <c r="J728" s="13"/>
      <c r="K728" s="15">
        <f>IF(I728&gt;0, J728/I728, 0)</f>
        <v>0</v>
      </c>
      <c r="L728" s="13">
        <v>20000.0</v>
      </c>
      <c r="M728" s="13"/>
      <c r="N728" s="13">
        <f>L728-M728</f>
        <v>20000</v>
      </c>
      <c r="O728" s="8" t="s">
        <v>40</v>
      </c>
      <c r="P728" s="8" t="s">
        <v>71</v>
      </c>
      <c r="Q728" s="8" t="s">
        <v>42</v>
      </c>
      <c r="R728" s="6" t="s">
        <v>2098</v>
      </c>
      <c r="S728" s="6" t="s">
        <v>42</v>
      </c>
    </row>
    <row r="729" spans="1:19">
      <c r="A729" s="9">
        <v>722</v>
      </c>
      <c r="B729" s="9" t="s">
        <v>1017</v>
      </c>
      <c r="C729" s="9" t="s">
        <v>953</v>
      </c>
      <c r="D729" s="9" t="s">
        <v>652</v>
      </c>
      <c r="E729" s="9" t="s">
        <v>33</v>
      </c>
      <c r="F729" s="7" t="s">
        <v>39</v>
      </c>
      <c r="G729" s="11">
        <v>1</v>
      </c>
      <c r="H729" s="11">
        <v>1</v>
      </c>
      <c r="I729" s="14">
        <v>8000.0</v>
      </c>
      <c r="J729" s="14"/>
      <c r="K729" s="16">
        <f>IF(I729&gt;0, J729/I729, 0)</f>
        <v>0</v>
      </c>
      <c r="L729" s="14">
        <v>8000.0</v>
      </c>
      <c r="M729" s="14"/>
      <c r="N729" s="14">
        <f>L729-M729</f>
        <v>8000</v>
      </c>
      <c r="O729" s="9" t="s">
        <v>40</v>
      </c>
      <c r="P729" s="9" t="s">
        <v>41</v>
      </c>
      <c r="Q729" s="9" t="s">
        <v>42</v>
      </c>
      <c r="R729" s="7" t="s">
        <v>2121</v>
      </c>
      <c r="S729" s="7" t="s">
        <v>42</v>
      </c>
    </row>
    <row r="730" spans="1:19">
      <c r="A730" s="8">
        <v>723</v>
      </c>
      <c r="B730" s="8" t="s">
        <v>1018</v>
      </c>
      <c r="C730" s="8" t="s">
        <v>953</v>
      </c>
      <c r="D730" s="8" t="s">
        <v>652</v>
      </c>
      <c r="E730" s="8" t="s">
        <v>33</v>
      </c>
      <c r="F730" s="6" t="s">
        <v>39</v>
      </c>
      <c r="G730" s="10">
        <v>1</v>
      </c>
      <c r="H730" s="10">
        <v>2</v>
      </c>
      <c r="I730" s="13">
        <v>14000.0</v>
      </c>
      <c r="J730" s="13"/>
      <c r="K730" s="15">
        <f>IF(I730&gt;0, J730/I730, 0)</f>
        <v>0</v>
      </c>
      <c r="L730" s="13">
        <v>14000.0</v>
      </c>
      <c r="M730" s="13"/>
      <c r="N730" s="13">
        <f>L730-M730</f>
        <v>14000</v>
      </c>
      <c r="O730" s="8" t="s">
        <v>40</v>
      </c>
      <c r="P730" s="8" t="s">
        <v>41</v>
      </c>
      <c r="Q730" s="8" t="s">
        <v>42</v>
      </c>
      <c r="R730" s="6" t="s">
        <v>2234</v>
      </c>
      <c r="S730" s="6" t="s">
        <v>42</v>
      </c>
    </row>
    <row r="731" spans="1:19">
      <c r="A731" s="9">
        <v>724</v>
      </c>
      <c r="B731" s="9" t="s">
        <v>1019</v>
      </c>
      <c r="C731" s="9" t="s">
        <v>953</v>
      </c>
      <c r="D731" s="9" t="s">
        <v>652</v>
      </c>
      <c r="E731" s="9" t="s">
        <v>33</v>
      </c>
      <c r="F731" s="7" t="s">
        <v>39</v>
      </c>
      <c r="G731" s="11">
        <v>1</v>
      </c>
      <c r="H731" s="11">
        <v>1</v>
      </c>
      <c r="I731" s="14">
        <v>16000.0</v>
      </c>
      <c r="J731" s="14">
        <v>2400.0</v>
      </c>
      <c r="K731" s="16">
        <f>IF(I731&gt;0, J731/I731, 0)</f>
        <v>0.15</v>
      </c>
      <c r="L731" s="14">
        <v>13600.0</v>
      </c>
      <c r="M731" s="14"/>
      <c r="N731" s="14">
        <f>L731-M731</f>
        <v>13600</v>
      </c>
      <c r="O731" s="9" t="s">
        <v>40</v>
      </c>
      <c r="P731" s="9" t="s">
        <v>41</v>
      </c>
      <c r="Q731" s="9" t="s">
        <v>42</v>
      </c>
      <c r="R731" s="7" t="s">
        <v>2118</v>
      </c>
      <c r="S731" s="7" t="s">
        <v>1020</v>
      </c>
    </row>
    <row r="732" spans="1:19">
      <c r="A732" s="8">
        <v>725</v>
      </c>
      <c r="B732" s="8" t="s">
        <v>1021</v>
      </c>
      <c r="C732" s="8" t="s">
        <v>953</v>
      </c>
      <c r="D732" s="8" t="s">
        <v>652</v>
      </c>
      <c r="E732" s="8" t="s">
        <v>33</v>
      </c>
      <c r="F732" s="6" t="s">
        <v>39</v>
      </c>
      <c r="G732" s="10">
        <v>1</v>
      </c>
      <c r="H732" s="10">
        <v>1</v>
      </c>
      <c r="I732" s="13">
        <v>16000.0</v>
      </c>
      <c r="J732" s="13">
        <v>2400.0</v>
      </c>
      <c r="K732" s="15">
        <f>IF(I732&gt;0, J732/I732, 0)</f>
        <v>0.15</v>
      </c>
      <c r="L732" s="13">
        <v>13600.0</v>
      </c>
      <c r="M732" s="13"/>
      <c r="N732" s="13">
        <f>L732-M732</f>
        <v>13600</v>
      </c>
      <c r="O732" s="8" t="s">
        <v>40</v>
      </c>
      <c r="P732" s="8" t="s">
        <v>41</v>
      </c>
      <c r="Q732" s="8" t="s">
        <v>42</v>
      </c>
      <c r="R732" s="6" t="s">
        <v>2075</v>
      </c>
      <c r="S732" s="6" t="s">
        <v>1020</v>
      </c>
    </row>
    <row r="733" spans="1:19">
      <c r="A733" s="9">
        <v>726</v>
      </c>
      <c r="B733" s="9" t="s">
        <v>1022</v>
      </c>
      <c r="C733" s="9" t="s">
        <v>953</v>
      </c>
      <c r="D733" s="9" t="s">
        <v>652</v>
      </c>
      <c r="E733" s="9" t="s">
        <v>68</v>
      </c>
      <c r="F733" s="7" t="s">
        <v>39</v>
      </c>
      <c r="G733" s="11">
        <v>1</v>
      </c>
      <c r="H733" s="11">
        <v>2</v>
      </c>
      <c r="I733" s="14">
        <v>18000.0</v>
      </c>
      <c r="J733" s="14">
        <v>2700.0</v>
      </c>
      <c r="K733" s="16">
        <f>IF(I733&gt;0, J733/I733, 0)</f>
        <v>0.15</v>
      </c>
      <c r="L733" s="14">
        <v>15300.0</v>
      </c>
      <c r="M733" s="14"/>
      <c r="N733" s="14">
        <f>L733-M733</f>
        <v>15300</v>
      </c>
      <c r="O733" s="9" t="s">
        <v>40</v>
      </c>
      <c r="P733" s="9" t="s">
        <v>71</v>
      </c>
      <c r="Q733" s="9" t="s">
        <v>42</v>
      </c>
      <c r="R733" s="7" t="s">
        <v>2237</v>
      </c>
      <c r="S733" s="7" t="s">
        <v>1020</v>
      </c>
    </row>
    <row r="734" spans="1:19">
      <c r="A734" s="8">
        <v>727</v>
      </c>
      <c r="B734" s="8" t="s">
        <v>1024</v>
      </c>
      <c r="C734" s="8" t="s">
        <v>953</v>
      </c>
      <c r="D734" s="8" t="s">
        <v>652</v>
      </c>
      <c r="E734" s="8" t="s">
        <v>33</v>
      </c>
      <c r="F734" s="6" t="s">
        <v>39</v>
      </c>
      <c r="G734" s="10">
        <v>1</v>
      </c>
      <c r="H734" s="10">
        <v>2</v>
      </c>
      <c r="I734" s="13">
        <v>16000.0</v>
      </c>
      <c r="J734" s="13">
        <v>2400.0</v>
      </c>
      <c r="K734" s="15">
        <f>IF(I734&gt;0, J734/I734, 0)</f>
        <v>0.15</v>
      </c>
      <c r="L734" s="13">
        <v>13600.0</v>
      </c>
      <c r="M734" s="13"/>
      <c r="N734" s="13">
        <f>L734-M734</f>
        <v>13600</v>
      </c>
      <c r="O734" s="8" t="s">
        <v>40</v>
      </c>
      <c r="P734" s="8" t="s">
        <v>41</v>
      </c>
      <c r="Q734" s="8" t="s">
        <v>42</v>
      </c>
      <c r="R734" s="6" t="s">
        <v>2238</v>
      </c>
      <c r="S734" s="6" t="s">
        <v>1020</v>
      </c>
    </row>
    <row r="735" spans="1:19">
      <c r="A735" s="9">
        <v>728</v>
      </c>
      <c r="B735" s="9" t="s">
        <v>1025</v>
      </c>
      <c r="C735" s="9" t="s">
        <v>953</v>
      </c>
      <c r="D735" s="9" t="s">
        <v>652</v>
      </c>
      <c r="E735" s="9" t="s">
        <v>33</v>
      </c>
      <c r="F735" s="7" t="s">
        <v>39</v>
      </c>
      <c r="G735" s="11">
        <v>1</v>
      </c>
      <c r="H735" s="11">
        <v>2</v>
      </c>
      <c r="I735" s="14">
        <v>14000.0</v>
      </c>
      <c r="J735" s="14">
        <v>2100.0</v>
      </c>
      <c r="K735" s="16">
        <f>IF(I735&gt;0, J735/I735, 0)</f>
        <v>0.15</v>
      </c>
      <c r="L735" s="14">
        <v>11900.0</v>
      </c>
      <c r="M735" s="14"/>
      <c r="N735" s="14">
        <f>L735-M735</f>
        <v>11900</v>
      </c>
      <c r="O735" s="9" t="s">
        <v>40</v>
      </c>
      <c r="P735" s="9" t="s">
        <v>41</v>
      </c>
      <c r="Q735" s="9" t="s">
        <v>42</v>
      </c>
      <c r="R735" s="7" t="s">
        <v>2184</v>
      </c>
      <c r="S735" s="7" t="s">
        <v>42</v>
      </c>
    </row>
    <row r="736" spans="1:19">
      <c r="A736" s="8">
        <v>729</v>
      </c>
      <c r="B736" s="8" t="s">
        <v>1026</v>
      </c>
      <c r="C736" s="8" t="s">
        <v>953</v>
      </c>
      <c r="D736" s="8" t="s">
        <v>652</v>
      </c>
      <c r="E736" s="8" t="s">
        <v>33</v>
      </c>
      <c r="F736" s="6" t="s">
        <v>39</v>
      </c>
      <c r="G736" s="10">
        <v>1</v>
      </c>
      <c r="H736" s="10">
        <v>2</v>
      </c>
      <c r="I736" s="13">
        <v>14000.0</v>
      </c>
      <c r="J736" s="13">
        <v>2100.0</v>
      </c>
      <c r="K736" s="15">
        <f>IF(I736&gt;0, J736/I736, 0)</f>
        <v>0.15</v>
      </c>
      <c r="L736" s="13">
        <v>11900.0</v>
      </c>
      <c r="M736" s="13"/>
      <c r="N736" s="13">
        <f>L736-M736</f>
        <v>11900</v>
      </c>
      <c r="O736" s="8" t="s">
        <v>40</v>
      </c>
      <c r="P736" s="8" t="s">
        <v>41</v>
      </c>
      <c r="Q736" s="8" t="s">
        <v>42</v>
      </c>
      <c r="R736" s="6" t="s">
        <v>2098</v>
      </c>
      <c r="S736" s="6" t="s">
        <v>42</v>
      </c>
    </row>
    <row r="737" spans="1:19">
      <c r="A737" s="9">
        <v>730</v>
      </c>
      <c r="B737" s="9" t="s">
        <v>1027</v>
      </c>
      <c r="C737" s="9" t="s">
        <v>953</v>
      </c>
      <c r="D737" s="9" t="s">
        <v>652</v>
      </c>
      <c r="E737" s="9" t="s">
        <v>68</v>
      </c>
      <c r="F737" s="7" t="s">
        <v>39</v>
      </c>
      <c r="G737" s="11">
        <v>1</v>
      </c>
      <c r="H737" s="11">
        <v>1</v>
      </c>
      <c r="I737" s="14">
        <v>18000.0</v>
      </c>
      <c r="J737" s="14"/>
      <c r="K737" s="16">
        <f>IF(I737&gt;0, J737/I737, 0)</f>
        <v>0</v>
      </c>
      <c r="L737" s="14">
        <v>18000.0</v>
      </c>
      <c r="M737" s="14"/>
      <c r="N737" s="14">
        <f>L737-M737</f>
        <v>18000</v>
      </c>
      <c r="O737" s="9" t="s">
        <v>40</v>
      </c>
      <c r="P737" s="9" t="s">
        <v>71</v>
      </c>
      <c r="Q737" s="9" t="s">
        <v>42</v>
      </c>
      <c r="R737" s="7" t="s">
        <v>2239</v>
      </c>
      <c r="S737" s="7" t="s">
        <v>42</v>
      </c>
    </row>
    <row r="738" spans="1:19">
      <c r="A738" s="8">
        <v>731</v>
      </c>
      <c r="B738" s="8" t="s">
        <v>1029</v>
      </c>
      <c r="C738" s="8" t="s">
        <v>953</v>
      </c>
      <c r="D738" s="8" t="s">
        <v>652</v>
      </c>
      <c r="E738" s="8" t="s">
        <v>33</v>
      </c>
      <c r="F738" s="6" t="s">
        <v>39</v>
      </c>
      <c r="G738" s="10">
        <v>1</v>
      </c>
      <c r="H738" s="10">
        <v>1</v>
      </c>
      <c r="I738" s="13">
        <v>8000.0</v>
      </c>
      <c r="J738" s="13"/>
      <c r="K738" s="15">
        <f>IF(I738&gt;0, J738/I738, 0)</f>
        <v>0</v>
      </c>
      <c r="L738" s="13">
        <v>8000.0</v>
      </c>
      <c r="M738" s="13"/>
      <c r="N738" s="13">
        <f>L738-M738</f>
        <v>8000</v>
      </c>
      <c r="O738" s="8" t="s">
        <v>40</v>
      </c>
      <c r="P738" s="8" t="s">
        <v>41</v>
      </c>
      <c r="Q738" s="8" t="s">
        <v>42</v>
      </c>
      <c r="R738" s="6" t="s">
        <v>2158</v>
      </c>
      <c r="S738" s="6" t="s">
        <v>42</v>
      </c>
    </row>
    <row r="739" spans="1:19">
      <c r="A739" s="9">
        <v>732</v>
      </c>
      <c r="B739" s="9" t="s">
        <v>1030</v>
      </c>
      <c r="C739" s="9" t="s">
        <v>953</v>
      </c>
      <c r="D739" s="9" t="s">
        <v>652</v>
      </c>
      <c r="E739" s="9" t="s">
        <v>33</v>
      </c>
      <c r="F739" s="7" t="s">
        <v>39</v>
      </c>
      <c r="G739" s="11">
        <v>1</v>
      </c>
      <c r="H739" s="11">
        <v>1</v>
      </c>
      <c r="I739" s="14">
        <v>16500.0</v>
      </c>
      <c r="J739" s="14"/>
      <c r="K739" s="16">
        <f>IF(I739&gt;0, J739/I739, 0)</f>
        <v>0</v>
      </c>
      <c r="L739" s="14">
        <v>16500.0</v>
      </c>
      <c r="M739" s="14"/>
      <c r="N739" s="14">
        <f>L739-M739</f>
        <v>16500</v>
      </c>
      <c r="O739" s="9" t="s">
        <v>40</v>
      </c>
      <c r="P739" s="9" t="s">
        <v>41</v>
      </c>
      <c r="Q739" s="9" t="s">
        <v>42</v>
      </c>
      <c r="R739" s="7" t="s">
        <v>2240</v>
      </c>
      <c r="S739" s="7" t="s">
        <v>42</v>
      </c>
    </row>
    <row r="740" spans="1:19">
      <c r="A740" s="8">
        <v>733</v>
      </c>
      <c r="B740" s="8" t="s">
        <v>1032</v>
      </c>
      <c r="C740" s="8" t="s">
        <v>953</v>
      </c>
      <c r="D740" s="8" t="s">
        <v>652</v>
      </c>
      <c r="E740" s="8" t="s">
        <v>33</v>
      </c>
      <c r="F740" s="6" t="s">
        <v>39</v>
      </c>
      <c r="G740" s="10">
        <v>1</v>
      </c>
      <c r="H740" s="10">
        <v>1</v>
      </c>
      <c r="I740" s="13">
        <v>16500.0</v>
      </c>
      <c r="J740" s="13"/>
      <c r="K740" s="15">
        <f>IF(I740&gt;0, J740/I740, 0)</f>
        <v>0</v>
      </c>
      <c r="L740" s="13">
        <v>16500.0</v>
      </c>
      <c r="M740" s="13"/>
      <c r="N740" s="13">
        <f>L740-M740</f>
        <v>16500</v>
      </c>
      <c r="O740" s="8" t="s">
        <v>40</v>
      </c>
      <c r="P740" s="8" t="s">
        <v>41</v>
      </c>
      <c r="Q740" s="8" t="s">
        <v>42</v>
      </c>
      <c r="R740" s="6" t="s">
        <v>2173</v>
      </c>
      <c r="S740" s="6" t="s">
        <v>42</v>
      </c>
    </row>
    <row r="741" spans="1:19">
      <c r="A741" s="9">
        <v>734</v>
      </c>
      <c r="B741" s="9" t="s">
        <v>1033</v>
      </c>
      <c r="C741" s="9" t="s">
        <v>953</v>
      </c>
      <c r="D741" s="9" t="s">
        <v>652</v>
      </c>
      <c r="E741" s="9" t="s">
        <v>33</v>
      </c>
      <c r="F741" s="7" t="s">
        <v>39</v>
      </c>
      <c r="G741" s="11">
        <v>1</v>
      </c>
      <c r="H741" s="11">
        <v>2</v>
      </c>
      <c r="I741" s="14">
        <v>16000.0</v>
      </c>
      <c r="J741" s="14"/>
      <c r="K741" s="16">
        <f>IF(I741&gt;0, J741/I741, 0)</f>
        <v>0</v>
      </c>
      <c r="L741" s="14">
        <v>16000.0</v>
      </c>
      <c r="M741" s="14"/>
      <c r="N741" s="14">
        <f>L741-M741</f>
        <v>16000</v>
      </c>
      <c r="O741" s="9" t="s">
        <v>40</v>
      </c>
      <c r="P741" s="9" t="s">
        <v>41</v>
      </c>
      <c r="Q741" s="9" t="s">
        <v>42</v>
      </c>
      <c r="R741" s="7" t="s">
        <v>2145</v>
      </c>
      <c r="S741" s="7" t="s">
        <v>42</v>
      </c>
    </row>
    <row r="742" spans="1:19">
      <c r="A742" s="8">
        <v>735</v>
      </c>
      <c r="B742" s="8" t="s">
        <v>1034</v>
      </c>
      <c r="C742" s="8" t="s">
        <v>953</v>
      </c>
      <c r="D742" s="8" t="s">
        <v>652</v>
      </c>
      <c r="E742" s="8" t="s">
        <v>33</v>
      </c>
      <c r="F742" s="6" t="s">
        <v>39</v>
      </c>
      <c r="G742" s="10">
        <v>1</v>
      </c>
      <c r="H742" s="10">
        <v>1</v>
      </c>
      <c r="I742" s="13">
        <v>16000.0</v>
      </c>
      <c r="J742" s="13"/>
      <c r="K742" s="15">
        <f>IF(I742&gt;0, J742/I742, 0)</f>
        <v>0</v>
      </c>
      <c r="L742" s="13">
        <v>16000.0</v>
      </c>
      <c r="M742" s="13"/>
      <c r="N742" s="13">
        <f>L742-M742</f>
        <v>16000</v>
      </c>
      <c r="O742" s="8" t="s">
        <v>40</v>
      </c>
      <c r="P742" s="8" t="s">
        <v>41</v>
      </c>
      <c r="Q742" s="8" t="s">
        <v>42</v>
      </c>
      <c r="R742" s="6" t="s">
        <v>2144</v>
      </c>
      <c r="S742" s="6" t="s">
        <v>42</v>
      </c>
    </row>
    <row r="743" spans="1:19">
      <c r="A743" s="9">
        <v>736</v>
      </c>
      <c r="B743" s="9" t="s">
        <v>1035</v>
      </c>
      <c r="C743" s="9" t="s">
        <v>953</v>
      </c>
      <c r="D743" s="9" t="s">
        <v>652</v>
      </c>
      <c r="E743" s="9" t="s">
        <v>33</v>
      </c>
      <c r="F743" s="7" t="s">
        <v>39</v>
      </c>
      <c r="G743" s="11">
        <v>1</v>
      </c>
      <c r="H743" s="11">
        <v>1</v>
      </c>
      <c r="I743" s="14">
        <v>16000.0</v>
      </c>
      <c r="J743" s="14"/>
      <c r="K743" s="16">
        <f>IF(I743&gt;0, J743/I743, 0)</f>
        <v>0</v>
      </c>
      <c r="L743" s="14">
        <v>16000.0</v>
      </c>
      <c r="M743" s="14"/>
      <c r="N743" s="14">
        <f>L743-M743</f>
        <v>16000</v>
      </c>
      <c r="O743" s="9" t="s">
        <v>40</v>
      </c>
      <c r="P743" s="9" t="s">
        <v>41</v>
      </c>
      <c r="Q743" s="9" t="s">
        <v>42</v>
      </c>
      <c r="R743" s="7" t="s">
        <v>2132</v>
      </c>
      <c r="S743" s="7" t="s">
        <v>42</v>
      </c>
    </row>
    <row r="744" spans="1:19">
      <c r="A744" s="8">
        <v>737</v>
      </c>
      <c r="B744" s="8" t="s">
        <v>1036</v>
      </c>
      <c r="C744" s="8" t="s">
        <v>953</v>
      </c>
      <c r="D744" s="8" t="s">
        <v>652</v>
      </c>
      <c r="E744" s="8" t="s">
        <v>68</v>
      </c>
      <c r="F744" s="6" t="s">
        <v>39</v>
      </c>
      <c r="G744" s="10">
        <v>1</v>
      </c>
      <c r="H744" s="10">
        <v>1</v>
      </c>
      <c r="I744" s="13">
        <v>8000.0</v>
      </c>
      <c r="J744" s="13"/>
      <c r="K744" s="15">
        <f>IF(I744&gt;0, J744/I744, 0)</f>
        <v>0</v>
      </c>
      <c r="L744" s="13">
        <v>8000.0</v>
      </c>
      <c r="M744" s="13"/>
      <c r="N744" s="13">
        <f>L744-M744</f>
        <v>8000</v>
      </c>
      <c r="O744" s="8" t="s">
        <v>40</v>
      </c>
      <c r="P744" s="8" t="s">
        <v>71</v>
      </c>
      <c r="Q744" s="8" t="s">
        <v>42</v>
      </c>
      <c r="R744" s="6" t="s">
        <v>2190</v>
      </c>
      <c r="S744" s="6" t="s">
        <v>42</v>
      </c>
    </row>
    <row r="745" spans="1:19">
      <c r="A745" s="9">
        <v>738</v>
      </c>
      <c r="B745" s="9" t="s">
        <v>1037</v>
      </c>
      <c r="C745" s="9" t="s">
        <v>953</v>
      </c>
      <c r="D745" s="9" t="s">
        <v>652</v>
      </c>
      <c r="E745" s="9" t="s">
        <v>33</v>
      </c>
      <c r="F745" s="7" t="s">
        <v>39</v>
      </c>
      <c r="G745" s="11">
        <v>1</v>
      </c>
      <c r="H745" s="11">
        <v>1</v>
      </c>
      <c r="I745" s="14">
        <v>7000.0</v>
      </c>
      <c r="J745" s="14"/>
      <c r="K745" s="16">
        <f>IF(I745&gt;0, J745/I745, 0)</f>
        <v>0</v>
      </c>
      <c r="L745" s="14">
        <v>7000.0</v>
      </c>
      <c r="M745" s="14"/>
      <c r="N745" s="14">
        <f>L745-M745</f>
        <v>7000</v>
      </c>
      <c r="O745" s="9" t="s">
        <v>40</v>
      </c>
      <c r="P745" s="9" t="s">
        <v>41</v>
      </c>
      <c r="Q745" s="9" t="s">
        <v>42</v>
      </c>
      <c r="R745" s="7" t="s">
        <v>2155</v>
      </c>
      <c r="S745" s="7" t="s">
        <v>42</v>
      </c>
    </row>
    <row r="746" spans="1:19">
      <c r="A746" s="8">
        <v>739</v>
      </c>
      <c r="B746" s="8" t="s">
        <v>1038</v>
      </c>
      <c r="C746" s="8" t="s">
        <v>953</v>
      </c>
      <c r="D746" s="8" t="s">
        <v>652</v>
      </c>
      <c r="E746" s="8" t="s">
        <v>68</v>
      </c>
      <c r="F746" s="6" t="s">
        <v>39</v>
      </c>
      <c r="G746" s="10">
        <v>1</v>
      </c>
      <c r="H746" s="10">
        <v>1</v>
      </c>
      <c r="I746" s="13">
        <v>18000.0</v>
      </c>
      <c r="J746" s="13"/>
      <c r="K746" s="15">
        <f>IF(I746&gt;0, J746/I746, 0)</f>
        <v>0</v>
      </c>
      <c r="L746" s="13">
        <v>18000.0</v>
      </c>
      <c r="M746" s="13"/>
      <c r="N746" s="13">
        <f>L746-M746</f>
        <v>18000</v>
      </c>
      <c r="O746" s="8" t="s">
        <v>40</v>
      </c>
      <c r="P746" s="8" t="s">
        <v>71</v>
      </c>
      <c r="Q746" s="8" t="s">
        <v>42</v>
      </c>
      <c r="R746" s="6" t="s">
        <v>2124</v>
      </c>
      <c r="S746" s="6" t="s">
        <v>42</v>
      </c>
    </row>
    <row r="747" spans="1:19">
      <c r="A747" s="9">
        <v>740</v>
      </c>
      <c r="B747" s="9" t="s">
        <v>1039</v>
      </c>
      <c r="C747" s="9" t="s">
        <v>953</v>
      </c>
      <c r="D747" s="9" t="s">
        <v>652</v>
      </c>
      <c r="E747" s="9" t="s">
        <v>33</v>
      </c>
      <c r="F747" s="7" t="s">
        <v>39</v>
      </c>
      <c r="G747" s="11">
        <v>1</v>
      </c>
      <c r="H747" s="11">
        <v>1</v>
      </c>
      <c r="I747" s="14">
        <v>9500.0</v>
      </c>
      <c r="J747" s="14"/>
      <c r="K747" s="16">
        <f>IF(I747&gt;0, J747/I747, 0)</f>
        <v>0</v>
      </c>
      <c r="L747" s="14">
        <v>9500.0</v>
      </c>
      <c r="M747" s="14"/>
      <c r="N747" s="14">
        <f>L747-M747</f>
        <v>9500</v>
      </c>
      <c r="O747" s="9" t="s">
        <v>40</v>
      </c>
      <c r="P747" s="9" t="s">
        <v>41</v>
      </c>
      <c r="Q747" s="9" t="s">
        <v>42</v>
      </c>
      <c r="R747" s="7" t="s">
        <v>2135</v>
      </c>
      <c r="S747" s="7" t="s">
        <v>42</v>
      </c>
    </row>
    <row r="748" spans="1:19">
      <c r="A748" s="8">
        <v>741</v>
      </c>
      <c r="B748" s="8" t="s">
        <v>1040</v>
      </c>
      <c r="C748" s="8" t="s">
        <v>953</v>
      </c>
      <c r="D748" s="8" t="s">
        <v>652</v>
      </c>
      <c r="E748" s="8" t="s">
        <v>33</v>
      </c>
      <c r="F748" s="6" t="s">
        <v>39</v>
      </c>
      <c r="G748" s="10">
        <v>1</v>
      </c>
      <c r="H748" s="10">
        <v>1</v>
      </c>
      <c r="I748" s="13">
        <v>8500.0</v>
      </c>
      <c r="J748" s="13"/>
      <c r="K748" s="15">
        <f>IF(I748&gt;0, J748/I748, 0)</f>
        <v>0</v>
      </c>
      <c r="L748" s="13">
        <v>8500.0</v>
      </c>
      <c r="M748" s="13"/>
      <c r="N748" s="13">
        <f>L748-M748</f>
        <v>8500</v>
      </c>
      <c r="O748" s="8" t="s">
        <v>40</v>
      </c>
      <c r="P748" s="8" t="s">
        <v>41</v>
      </c>
      <c r="Q748" s="8" t="s">
        <v>42</v>
      </c>
      <c r="R748" s="6" t="s">
        <v>2171</v>
      </c>
      <c r="S748" s="6" t="s">
        <v>42</v>
      </c>
    </row>
    <row r="749" spans="1:19">
      <c r="A749" s="9">
        <v>742</v>
      </c>
      <c r="B749" s="9" t="s">
        <v>1041</v>
      </c>
      <c r="C749" s="9" t="s">
        <v>953</v>
      </c>
      <c r="D749" s="9" t="s">
        <v>652</v>
      </c>
      <c r="E749" s="9" t="s">
        <v>33</v>
      </c>
      <c r="F749" s="7" t="s">
        <v>39</v>
      </c>
      <c r="G749" s="11">
        <v>1</v>
      </c>
      <c r="H749" s="11">
        <v>1</v>
      </c>
      <c r="I749" s="14">
        <v>18000.0</v>
      </c>
      <c r="J749" s="14"/>
      <c r="K749" s="16">
        <f>IF(I749&gt;0, J749/I749, 0)</f>
        <v>0</v>
      </c>
      <c r="L749" s="14">
        <v>18000.0</v>
      </c>
      <c r="M749" s="14"/>
      <c r="N749" s="14">
        <f>L749-M749</f>
        <v>18000</v>
      </c>
      <c r="O749" s="9" t="s">
        <v>40</v>
      </c>
      <c r="P749" s="9" t="s">
        <v>41</v>
      </c>
      <c r="Q749" s="9" t="s">
        <v>42</v>
      </c>
      <c r="R749" s="7" t="s">
        <v>2174</v>
      </c>
      <c r="S749" s="7" t="s">
        <v>42</v>
      </c>
    </row>
    <row r="750" spans="1:19">
      <c r="A750" s="8">
        <v>743</v>
      </c>
      <c r="B750" s="8" t="s">
        <v>1042</v>
      </c>
      <c r="C750" s="8" t="s">
        <v>953</v>
      </c>
      <c r="D750" s="8" t="s">
        <v>652</v>
      </c>
      <c r="E750" s="8" t="s">
        <v>33</v>
      </c>
      <c r="F750" s="6" t="s">
        <v>39</v>
      </c>
      <c r="G750" s="10">
        <v>1</v>
      </c>
      <c r="H750" s="10">
        <v>1</v>
      </c>
      <c r="I750" s="13">
        <v>9000.0</v>
      </c>
      <c r="J750" s="13"/>
      <c r="K750" s="15">
        <f>IF(I750&gt;0, J750/I750, 0)</f>
        <v>0</v>
      </c>
      <c r="L750" s="13">
        <v>9000.0</v>
      </c>
      <c r="M750" s="13"/>
      <c r="N750" s="13">
        <f>L750-M750</f>
        <v>9000</v>
      </c>
      <c r="O750" s="8" t="s">
        <v>40</v>
      </c>
      <c r="P750" s="8" t="s">
        <v>41</v>
      </c>
      <c r="Q750" s="8" t="s">
        <v>42</v>
      </c>
      <c r="R750" s="6" t="s">
        <v>2172</v>
      </c>
      <c r="S750" s="6" t="s">
        <v>42</v>
      </c>
    </row>
    <row r="751" spans="1:19">
      <c r="A751" s="9">
        <v>744</v>
      </c>
      <c r="B751" s="9" t="s">
        <v>1043</v>
      </c>
      <c r="C751" s="9" t="s">
        <v>953</v>
      </c>
      <c r="D751" s="9" t="s">
        <v>652</v>
      </c>
      <c r="E751" s="9" t="s">
        <v>68</v>
      </c>
      <c r="F751" s="7" t="s">
        <v>39</v>
      </c>
      <c r="G751" s="11">
        <v>1</v>
      </c>
      <c r="H751" s="11">
        <v>2</v>
      </c>
      <c r="I751" s="14">
        <v>20000.0</v>
      </c>
      <c r="J751" s="14"/>
      <c r="K751" s="16">
        <f>IF(I751&gt;0, J751/I751, 0)</f>
        <v>0</v>
      </c>
      <c r="L751" s="14">
        <v>20000.0</v>
      </c>
      <c r="M751" s="14"/>
      <c r="N751" s="14">
        <f>L751-M751</f>
        <v>20000</v>
      </c>
      <c r="O751" s="9" t="s">
        <v>40</v>
      </c>
      <c r="P751" s="9" t="s">
        <v>71</v>
      </c>
      <c r="Q751" s="9" t="s">
        <v>42</v>
      </c>
      <c r="R751" s="7" t="s">
        <v>2241</v>
      </c>
      <c r="S751" s="7" t="s">
        <v>42</v>
      </c>
    </row>
    <row r="752" spans="1:19">
      <c r="A752" s="8">
        <v>745</v>
      </c>
      <c r="B752" s="8" t="s">
        <v>1044</v>
      </c>
      <c r="C752" s="8" t="s">
        <v>953</v>
      </c>
      <c r="D752" s="8" t="s">
        <v>652</v>
      </c>
      <c r="E752" s="8" t="s">
        <v>68</v>
      </c>
      <c r="F752" s="6" t="s">
        <v>39</v>
      </c>
      <c r="G752" s="10">
        <v>1</v>
      </c>
      <c r="H752" s="10">
        <v>2</v>
      </c>
      <c r="I752" s="13">
        <v>20000.0</v>
      </c>
      <c r="J752" s="13"/>
      <c r="K752" s="15">
        <f>IF(I752&gt;0, J752/I752, 0)</f>
        <v>0</v>
      </c>
      <c r="L752" s="13">
        <v>20000.0</v>
      </c>
      <c r="M752" s="13"/>
      <c r="N752" s="13">
        <f>L752-M752</f>
        <v>20000</v>
      </c>
      <c r="O752" s="8" t="s">
        <v>40</v>
      </c>
      <c r="P752" s="8" t="s">
        <v>71</v>
      </c>
      <c r="Q752" s="8" t="s">
        <v>42</v>
      </c>
      <c r="R752" s="6" t="s">
        <v>2123</v>
      </c>
      <c r="S752" s="6" t="s">
        <v>42</v>
      </c>
    </row>
    <row r="753" spans="1:19">
      <c r="A753" s="9">
        <v>746</v>
      </c>
      <c r="B753" s="9" t="s">
        <v>1045</v>
      </c>
      <c r="C753" s="9" t="s">
        <v>953</v>
      </c>
      <c r="D753" s="9" t="s">
        <v>652</v>
      </c>
      <c r="E753" s="9" t="s">
        <v>33</v>
      </c>
      <c r="F753" s="7" t="s">
        <v>39</v>
      </c>
      <c r="G753" s="11">
        <v>1</v>
      </c>
      <c r="H753" s="11">
        <v>1</v>
      </c>
      <c r="I753" s="14">
        <v>18000.0</v>
      </c>
      <c r="J753" s="14"/>
      <c r="K753" s="16">
        <f>IF(I753&gt;0, J753/I753, 0)</f>
        <v>0</v>
      </c>
      <c r="L753" s="14">
        <v>18000.0</v>
      </c>
      <c r="M753" s="14"/>
      <c r="N753" s="14">
        <f>L753-M753</f>
        <v>18000</v>
      </c>
      <c r="O753" s="9" t="s">
        <v>40</v>
      </c>
      <c r="P753" s="9" t="s">
        <v>41</v>
      </c>
      <c r="Q753" s="9" t="s">
        <v>42</v>
      </c>
      <c r="R753" s="7" t="s">
        <v>2170</v>
      </c>
      <c r="S753" s="7" t="s">
        <v>42</v>
      </c>
    </row>
    <row r="754" spans="1:19">
      <c r="A754" s="8">
        <v>747</v>
      </c>
      <c r="B754" s="8" t="s">
        <v>1046</v>
      </c>
      <c r="C754" s="8" t="s">
        <v>953</v>
      </c>
      <c r="D754" s="8" t="s">
        <v>652</v>
      </c>
      <c r="E754" s="8" t="s">
        <v>33</v>
      </c>
      <c r="F754" s="6" t="s">
        <v>39</v>
      </c>
      <c r="G754" s="10">
        <v>1</v>
      </c>
      <c r="H754" s="10">
        <v>1</v>
      </c>
      <c r="I754" s="13">
        <v>16000.0</v>
      </c>
      <c r="J754" s="13"/>
      <c r="K754" s="15">
        <f>IF(I754&gt;0, J754/I754, 0)</f>
        <v>0</v>
      </c>
      <c r="L754" s="13">
        <v>16000.0</v>
      </c>
      <c r="M754" s="13"/>
      <c r="N754" s="13">
        <f>L754-M754</f>
        <v>16000</v>
      </c>
      <c r="O754" s="8" t="s">
        <v>40</v>
      </c>
      <c r="P754" s="8" t="s">
        <v>41</v>
      </c>
      <c r="Q754" s="8" t="s">
        <v>42</v>
      </c>
      <c r="R754" s="6" t="s">
        <v>2127</v>
      </c>
      <c r="S754" s="6" t="s">
        <v>42</v>
      </c>
    </row>
    <row r="755" spans="1:19">
      <c r="A755" s="9">
        <v>748</v>
      </c>
      <c r="B755" s="9" t="s">
        <v>1047</v>
      </c>
      <c r="C755" s="9" t="s">
        <v>953</v>
      </c>
      <c r="D755" s="9" t="s">
        <v>652</v>
      </c>
      <c r="E755" s="9" t="s">
        <v>33</v>
      </c>
      <c r="F755" s="7" t="s">
        <v>39</v>
      </c>
      <c r="G755" s="11">
        <v>1</v>
      </c>
      <c r="H755" s="11">
        <v>3</v>
      </c>
      <c r="I755" s="14">
        <v>27000.0</v>
      </c>
      <c r="J755" s="14"/>
      <c r="K755" s="16">
        <f>IF(I755&gt;0, J755/I755, 0)</f>
        <v>0</v>
      </c>
      <c r="L755" s="14">
        <v>27000.0</v>
      </c>
      <c r="M755" s="14"/>
      <c r="N755" s="14">
        <f>L755-M755</f>
        <v>27000</v>
      </c>
      <c r="O755" s="9" t="s">
        <v>40</v>
      </c>
      <c r="P755" s="9" t="s">
        <v>41</v>
      </c>
      <c r="Q755" s="9" t="s">
        <v>42</v>
      </c>
      <c r="R755" s="7" t="s">
        <v>2242</v>
      </c>
      <c r="S755" s="7" t="s">
        <v>42</v>
      </c>
    </row>
    <row r="756" spans="1:19">
      <c r="A756" s="8">
        <v>749</v>
      </c>
      <c r="B756" s="8" t="s">
        <v>1048</v>
      </c>
      <c r="C756" s="8" t="s">
        <v>953</v>
      </c>
      <c r="D756" s="8" t="s">
        <v>652</v>
      </c>
      <c r="E756" s="8" t="s">
        <v>33</v>
      </c>
      <c r="F756" s="6" t="s">
        <v>39</v>
      </c>
      <c r="G756" s="10">
        <v>1</v>
      </c>
      <c r="H756" s="10">
        <v>5</v>
      </c>
      <c r="I756" s="13">
        <v>35000.0</v>
      </c>
      <c r="J756" s="13"/>
      <c r="K756" s="15">
        <f>IF(I756&gt;0, J756/I756, 0)</f>
        <v>0</v>
      </c>
      <c r="L756" s="13">
        <v>35000.0</v>
      </c>
      <c r="M756" s="13"/>
      <c r="N756" s="13">
        <f>L756-M756</f>
        <v>35000</v>
      </c>
      <c r="O756" s="8" t="s">
        <v>40</v>
      </c>
      <c r="P756" s="8" t="s">
        <v>41</v>
      </c>
      <c r="Q756" s="8" t="s">
        <v>42</v>
      </c>
      <c r="R756" s="6" t="s">
        <v>2243</v>
      </c>
      <c r="S756" s="6" t="s">
        <v>42</v>
      </c>
    </row>
    <row r="757" spans="1:19">
      <c r="A757" s="9">
        <v>750</v>
      </c>
      <c r="B757" s="9" t="s">
        <v>1049</v>
      </c>
      <c r="C757" s="9" t="s">
        <v>953</v>
      </c>
      <c r="D757" s="9" t="s">
        <v>652</v>
      </c>
      <c r="E757" s="9" t="s">
        <v>33</v>
      </c>
      <c r="F757" s="7" t="s">
        <v>39</v>
      </c>
      <c r="G757" s="11">
        <v>1</v>
      </c>
      <c r="H757" s="11">
        <v>2</v>
      </c>
      <c r="I757" s="14">
        <v>16000.0</v>
      </c>
      <c r="J757" s="14"/>
      <c r="K757" s="16">
        <f>IF(I757&gt;0, J757/I757, 0)</f>
        <v>0</v>
      </c>
      <c r="L757" s="14">
        <v>16000.0</v>
      </c>
      <c r="M757" s="14"/>
      <c r="N757" s="14">
        <f>L757-M757</f>
        <v>16000</v>
      </c>
      <c r="O757" s="9" t="s">
        <v>40</v>
      </c>
      <c r="P757" s="9" t="s">
        <v>41</v>
      </c>
      <c r="Q757" s="9" t="s">
        <v>42</v>
      </c>
      <c r="R757" s="7" t="s">
        <v>2236</v>
      </c>
      <c r="S757" s="7" t="s">
        <v>42</v>
      </c>
    </row>
    <row r="758" spans="1:19">
      <c r="A758" s="8">
        <v>751</v>
      </c>
      <c r="B758" s="8" t="s">
        <v>1050</v>
      </c>
      <c r="C758" s="8" t="s">
        <v>953</v>
      </c>
      <c r="D758" s="8" t="s">
        <v>652</v>
      </c>
      <c r="E758" s="8" t="s">
        <v>33</v>
      </c>
      <c r="F758" s="6" t="s">
        <v>39</v>
      </c>
      <c r="G758" s="10">
        <v>1</v>
      </c>
      <c r="H758" s="10">
        <v>2</v>
      </c>
      <c r="I758" s="13">
        <v>16000.0</v>
      </c>
      <c r="J758" s="13"/>
      <c r="K758" s="15">
        <f>IF(I758&gt;0, J758/I758, 0)</f>
        <v>0</v>
      </c>
      <c r="L758" s="13">
        <v>16000.0</v>
      </c>
      <c r="M758" s="13"/>
      <c r="N758" s="13">
        <f>L758-M758</f>
        <v>16000</v>
      </c>
      <c r="O758" s="8" t="s">
        <v>40</v>
      </c>
      <c r="P758" s="8" t="s">
        <v>41</v>
      </c>
      <c r="Q758" s="8" t="s">
        <v>42</v>
      </c>
      <c r="R758" s="6" t="s">
        <v>2221</v>
      </c>
      <c r="S758" s="6" t="s">
        <v>42</v>
      </c>
    </row>
    <row r="759" spans="1:19">
      <c r="A759" s="9">
        <v>752</v>
      </c>
      <c r="B759" s="9" t="s">
        <v>1051</v>
      </c>
      <c r="C759" s="9" t="s">
        <v>953</v>
      </c>
      <c r="D759" s="9" t="s">
        <v>652</v>
      </c>
      <c r="E759" s="9" t="s">
        <v>33</v>
      </c>
      <c r="F759" s="7" t="s">
        <v>39</v>
      </c>
      <c r="G759" s="11">
        <v>1</v>
      </c>
      <c r="H759" s="11">
        <v>1</v>
      </c>
      <c r="I759" s="14">
        <v>18000.0</v>
      </c>
      <c r="J759" s="14"/>
      <c r="K759" s="16">
        <f>IF(I759&gt;0, J759/I759, 0)</f>
        <v>0</v>
      </c>
      <c r="L759" s="14">
        <v>18000.0</v>
      </c>
      <c r="M759" s="14"/>
      <c r="N759" s="14">
        <f>L759-M759</f>
        <v>18000</v>
      </c>
      <c r="O759" s="9" t="s">
        <v>40</v>
      </c>
      <c r="P759" s="9" t="s">
        <v>41</v>
      </c>
      <c r="Q759" s="9" t="s">
        <v>42</v>
      </c>
      <c r="R759" s="7" t="s">
        <v>2075</v>
      </c>
      <c r="S759" s="7" t="s">
        <v>42</v>
      </c>
    </row>
    <row r="760" spans="1:19">
      <c r="A760" s="8">
        <v>753</v>
      </c>
      <c r="B760" s="8" t="s">
        <v>1052</v>
      </c>
      <c r="C760" s="8" t="s">
        <v>953</v>
      </c>
      <c r="D760" s="8" t="s">
        <v>652</v>
      </c>
      <c r="E760" s="8" t="s">
        <v>33</v>
      </c>
      <c r="F760" s="6" t="s">
        <v>39</v>
      </c>
      <c r="G760" s="10">
        <v>1</v>
      </c>
      <c r="H760" s="10">
        <v>1</v>
      </c>
      <c r="I760" s="13">
        <v>16000.0</v>
      </c>
      <c r="J760" s="13"/>
      <c r="K760" s="15">
        <f>IF(I760&gt;0, J760/I760, 0)</f>
        <v>0</v>
      </c>
      <c r="L760" s="13">
        <v>16000.0</v>
      </c>
      <c r="M760" s="13"/>
      <c r="N760" s="13">
        <f>L760-M760</f>
        <v>16000</v>
      </c>
      <c r="O760" s="8" t="s">
        <v>40</v>
      </c>
      <c r="P760" s="8" t="s">
        <v>41</v>
      </c>
      <c r="Q760" s="8" t="s">
        <v>42</v>
      </c>
      <c r="R760" s="6" t="s">
        <v>2126</v>
      </c>
      <c r="S760" s="6" t="s">
        <v>42</v>
      </c>
    </row>
    <row r="761" spans="1:19">
      <c r="A761" s="9">
        <v>754</v>
      </c>
      <c r="B761" s="9" t="s">
        <v>1053</v>
      </c>
      <c r="C761" s="9" t="s">
        <v>953</v>
      </c>
      <c r="D761" s="9" t="s">
        <v>652</v>
      </c>
      <c r="E761" s="9" t="s">
        <v>33</v>
      </c>
      <c r="F761" s="7" t="s">
        <v>39</v>
      </c>
      <c r="G761" s="11">
        <v>1</v>
      </c>
      <c r="H761" s="11">
        <v>4</v>
      </c>
      <c r="I761" s="14">
        <v>28000.0</v>
      </c>
      <c r="J761" s="14"/>
      <c r="K761" s="16">
        <f>IF(I761&gt;0, J761/I761, 0)</f>
        <v>0</v>
      </c>
      <c r="L761" s="14">
        <v>28000.0</v>
      </c>
      <c r="M761" s="14"/>
      <c r="N761" s="14">
        <f>L761-M761</f>
        <v>28000</v>
      </c>
      <c r="O761" s="9" t="s">
        <v>40</v>
      </c>
      <c r="P761" s="9" t="s">
        <v>41</v>
      </c>
      <c r="Q761" s="9" t="s">
        <v>42</v>
      </c>
      <c r="R761" s="7" t="s">
        <v>2230</v>
      </c>
      <c r="S761" s="7" t="s">
        <v>42</v>
      </c>
    </row>
    <row r="762" spans="1:19">
      <c r="A762" s="8">
        <v>755</v>
      </c>
      <c r="B762" s="8" t="s">
        <v>1054</v>
      </c>
      <c r="C762" s="8" t="s">
        <v>953</v>
      </c>
      <c r="D762" s="8" t="s">
        <v>652</v>
      </c>
      <c r="E762" s="8" t="s">
        <v>33</v>
      </c>
      <c r="F762" s="6" t="s">
        <v>39</v>
      </c>
      <c r="G762" s="10">
        <v>1</v>
      </c>
      <c r="H762" s="10">
        <v>2</v>
      </c>
      <c r="I762" s="13">
        <v>16000.0</v>
      </c>
      <c r="J762" s="13"/>
      <c r="K762" s="15">
        <f>IF(I762&gt;0, J762/I762, 0)</f>
        <v>0</v>
      </c>
      <c r="L762" s="13">
        <v>16000.0</v>
      </c>
      <c r="M762" s="13"/>
      <c r="N762" s="13">
        <f>L762-M762</f>
        <v>16000</v>
      </c>
      <c r="O762" s="8" t="s">
        <v>40</v>
      </c>
      <c r="P762" s="8" t="s">
        <v>41</v>
      </c>
      <c r="Q762" s="8" t="s">
        <v>42</v>
      </c>
      <c r="R762" s="6" t="s">
        <v>2207</v>
      </c>
      <c r="S762" s="6" t="s">
        <v>42</v>
      </c>
    </row>
    <row r="763" spans="1:19">
      <c r="A763" s="9">
        <v>756</v>
      </c>
      <c r="B763" s="9" t="s">
        <v>1055</v>
      </c>
      <c r="C763" s="9" t="s">
        <v>953</v>
      </c>
      <c r="D763" s="9" t="s">
        <v>652</v>
      </c>
      <c r="E763" s="9" t="s">
        <v>33</v>
      </c>
      <c r="F763" s="7" t="s">
        <v>39</v>
      </c>
      <c r="G763" s="11">
        <v>1</v>
      </c>
      <c r="H763" s="11">
        <v>2</v>
      </c>
      <c r="I763" s="14">
        <v>14000.0</v>
      </c>
      <c r="J763" s="14"/>
      <c r="K763" s="16">
        <f>IF(I763&gt;0, J763/I763, 0)</f>
        <v>0</v>
      </c>
      <c r="L763" s="14">
        <v>14000.0</v>
      </c>
      <c r="M763" s="14"/>
      <c r="N763" s="14">
        <f>L763-M763</f>
        <v>14000</v>
      </c>
      <c r="O763" s="9" t="s">
        <v>40</v>
      </c>
      <c r="P763" s="9" t="s">
        <v>41</v>
      </c>
      <c r="Q763" s="9" t="s">
        <v>42</v>
      </c>
      <c r="R763" s="7" t="s">
        <v>2244</v>
      </c>
      <c r="S763" s="7" t="s">
        <v>42</v>
      </c>
    </row>
    <row r="764" spans="1:19">
      <c r="A764" s="8">
        <v>757</v>
      </c>
      <c r="B764" s="8" t="s">
        <v>1056</v>
      </c>
      <c r="C764" s="8" t="s">
        <v>953</v>
      </c>
      <c r="D764" s="8" t="s">
        <v>652</v>
      </c>
      <c r="E764" s="8" t="s">
        <v>33</v>
      </c>
      <c r="F764" s="6" t="s">
        <v>39</v>
      </c>
      <c r="G764" s="10">
        <v>1</v>
      </c>
      <c r="H764" s="10">
        <v>1</v>
      </c>
      <c r="I764" s="13">
        <v>18000.0</v>
      </c>
      <c r="J764" s="13"/>
      <c r="K764" s="15">
        <f>IF(I764&gt;0, J764/I764, 0)</f>
        <v>0</v>
      </c>
      <c r="L764" s="13">
        <v>18000.0</v>
      </c>
      <c r="M764" s="13"/>
      <c r="N764" s="13">
        <f>L764-M764</f>
        <v>18000</v>
      </c>
      <c r="O764" s="8" t="s">
        <v>40</v>
      </c>
      <c r="P764" s="8" t="s">
        <v>41</v>
      </c>
      <c r="Q764" s="8" t="s">
        <v>42</v>
      </c>
      <c r="R764" s="6" t="s">
        <v>2166</v>
      </c>
      <c r="S764" s="6" t="s">
        <v>42</v>
      </c>
    </row>
    <row r="765" spans="1:19">
      <c r="A765" s="9">
        <v>758</v>
      </c>
      <c r="B765" s="9" t="s">
        <v>1057</v>
      </c>
      <c r="C765" s="9" t="s">
        <v>953</v>
      </c>
      <c r="D765" s="9" t="s">
        <v>652</v>
      </c>
      <c r="E765" s="9" t="s">
        <v>33</v>
      </c>
      <c r="F765" s="7" t="s">
        <v>39</v>
      </c>
      <c r="G765" s="11">
        <v>1</v>
      </c>
      <c r="H765" s="11">
        <v>1</v>
      </c>
      <c r="I765" s="14">
        <v>17000.0</v>
      </c>
      <c r="J765" s="14"/>
      <c r="K765" s="16">
        <f>IF(I765&gt;0, J765/I765, 0)</f>
        <v>0</v>
      </c>
      <c r="L765" s="14">
        <v>17000.0</v>
      </c>
      <c r="M765" s="14"/>
      <c r="N765" s="14">
        <f>L765-M765</f>
        <v>17000</v>
      </c>
      <c r="O765" s="9" t="s">
        <v>40</v>
      </c>
      <c r="P765" s="9" t="s">
        <v>41</v>
      </c>
      <c r="Q765" s="9" t="s">
        <v>42</v>
      </c>
      <c r="R765" s="7" t="s">
        <v>2090</v>
      </c>
      <c r="S765" s="7" t="s">
        <v>42</v>
      </c>
    </row>
    <row r="766" spans="1:19">
      <c r="A766" s="8">
        <v>759</v>
      </c>
      <c r="B766" s="8" t="s">
        <v>1058</v>
      </c>
      <c r="C766" s="8" t="s">
        <v>953</v>
      </c>
      <c r="D766" s="8" t="s">
        <v>652</v>
      </c>
      <c r="E766" s="8" t="s">
        <v>68</v>
      </c>
      <c r="F766" s="6" t="s">
        <v>39</v>
      </c>
      <c r="G766" s="10">
        <v>1</v>
      </c>
      <c r="H766" s="10">
        <v>1</v>
      </c>
      <c r="I766" s="13">
        <v>11000.0</v>
      </c>
      <c r="J766" s="13"/>
      <c r="K766" s="15">
        <f>IF(I766&gt;0, J766/I766, 0)</f>
        <v>0</v>
      </c>
      <c r="L766" s="13">
        <v>11000.0</v>
      </c>
      <c r="M766" s="13"/>
      <c r="N766" s="13">
        <f>L766-M766</f>
        <v>11000</v>
      </c>
      <c r="O766" s="8" t="s">
        <v>40</v>
      </c>
      <c r="P766" s="8" t="s">
        <v>71</v>
      </c>
      <c r="Q766" s="8" t="s">
        <v>42</v>
      </c>
      <c r="R766" s="6" t="s">
        <v>2196</v>
      </c>
      <c r="S766" s="6" t="s">
        <v>42</v>
      </c>
    </row>
    <row r="767" spans="1:19">
      <c r="A767" s="9">
        <v>760</v>
      </c>
      <c r="B767" s="9" t="s">
        <v>1059</v>
      </c>
      <c r="C767" s="9" t="s">
        <v>953</v>
      </c>
      <c r="D767" s="9" t="s">
        <v>652</v>
      </c>
      <c r="E767" s="9" t="s">
        <v>68</v>
      </c>
      <c r="F767" s="7" t="s">
        <v>39</v>
      </c>
      <c r="G767" s="11">
        <v>1</v>
      </c>
      <c r="H767" s="11">
        <v>1</v>
      </c>
      <c r="I767" s="14">
        <v>10000.0</v>
      </c>
      <c r="J767" s="14"/>
      <c r="K767" s="16">
        <f>IF(I767&gt;0, J767/I767, 0)</f>
        <v>0</v>
      </c>
      <c r="L767" s="14">
        <v>10000.0</v>
      </c>
      <c r="M767" s="14"/>
      <c r="N767" s="14">
        <f>L767-M767</f>
        <v>10000</v>
      </c>
      <c r="O767" s="9" t="s">
        <v>40</v>
      </c>
      <c r="P767" s="9" t="s">
        <v>71</v>
      </c>
      <c r="Q767" s="9" t="s">
        <v>42</v>
      </c>
      <c r="R767" s="7" t="s">
        <v>2107</v>
      </c>
      <c r="S767" s="7" t="s">
        <v>42</v>
      </c>
    </row>
    <row r="768" spans="1:19">
      <c r="A768" s="8">
        <v>761</v>
      </c>
      <c r="B768" s="8" t="s">
        <v>1060</v>
      </c>
      <c r="C768" s="8" t="s">
        <v>953</v>
      </c>
      <c r="D768" s="8" t="s">
        <v>652</v>
      </c>
      <c r="E768" s="8" t="s">
        <v>68</v>
      </c>
      <c r="F768" s="6" t="s">
        <v>39</v>
      </c>
      <c r="G768" s="10">
        <v>1</v>
      </c>
      <c r="H768" s="10">
        <v>1</v>
      </c>
      <c r="I768" s="13">
        <v>9000.0</v>
      </c>
      <c r="J768" s="13"/>
      <c r="K768" s="15">
        <f>IF(I768&gt;0, J768/I768, 0)</f>
        <v>0</v>
      </c>
      <c r="L768" s="13">
        <v>9000.0</v>
      </c>
      <c r="M768" s="13"/>
      <c r="N768" s="13">
        <f>L768-M768</f>
        <v>9000</v>
      </c>
      <c r="O768" s="8" t="s">
        <v>40</v>
      </c>
      <c r="P768" s="8" t="s">
        <v>71</v>
      </c>
      <c r="Q768" s="8" t="s">
        <v>42</v>
      </c>
      <c r="R768" s="6" t="s">
        <v>2194</v>
      </c>
      <c r="S768" s="6" t="s">
        <v>42</v>
      </c>
    </row>
    <row r="769" spans="1:19">
      <c r="A769" s="9">
        <v>762</v>
      </c>
      <c r="B769" s="9" t="s">
        <v>1061</v>
      </c>
      <c r="C769" s="9" t="s">
        <v>953</v>
      </c>
      <c r="D769" s="9" t="s">
        <v>652</v>
      </c>
      <c r="E769" s="9" t="s">
        <v>68</v>
      </c>
      <c r="F769" s="7" t="s">
        <v>39</v>
      </c>
      <c r="G769" s="11">
        <v>1</v>
      </c>
      <c r="H769" s="11">
        <v>1</v>
      </c>
      <c r="I769" s="14">
        <v>10000.0</v>
      </c>
      <c r="J769" s="14"/>
      <c r="K769" s="16">
        <f>IF(I769&gt;0, J769/I769, 0)</f>
        <v>0</v>
      </c>
      <c r="L769" s="14">
        <v>10000.0</v>
      </c>
      <c r="M769" s="14"/>
      <c r="N769" s="14">
        <f>L769-M769</f>
        <v>10000</v>
      </c>
      <c r="O769" s="9" t="s">
        <v>40</v>
      </c>
      <c r="P769" s="9" t="s">
        <v>71</v>
      </c>
      <c r="Q769" s="9" t="s">
        <v>42</v>
      </c>
      <c r="R769" s="7" t="s">
        <v>2152</v>
      </c>
      <c r="S769" s="7" t="s">
        <v>42</v>
      </c>
    </row>
    <row r="770" spans="1:19">
      <c r="A770" s="8">
        <v>763</v>
      </c>
      <c r="B770" s="8" t="s">
        <v>1062</v>
      </c>
      <c r="C770" s="8" t="s">
        <v>953</v>
      </c>
      <c r="D770" s="8" t="s">
        <v>652</v>
      </c>
      <c r="E770" s="8" t="s">
        <v>33</v>
      </c>
      <c r="F770" s="6" t="s">
        <v>39</v>
      </c>
      <c r="G770" s="10">
        <v>1</v>
      </c>
      <c r="H770" s="10">
        <v>1</v>
      </c>
      <c r="I770" s="13">
        <v>18000.0</v>
      </c>
      <c r="J770" s="13"/>
      <c r="K770" s="15">
        <f>IF(I770&gt;0, J770/I770, 0)</f>
        <v>0</v>
      </c>
      <c r="L770" s="13">
        <v>18000.0</v>
      </c>
      <c r="M770" s="13"/>
      <c r="N770" s="13">
        <f>L770-M770</f>
        <v>18000</v>
      </c>
      <c r="O770" s="8" t="s">
        <v>40</v>
      </c>
      <c r="P770" s="8" t="s">
        <v>41</v>
      </c>
      <c r="Q770" s="8" t="s">
        <v>42</v>
      </c>
      <c r="R770" s="6" t="s">
        <v>2160</v>
      </c>
      <c r="S770" s="6" t="s">
        <v>42</v>
      </c>
    </row>
    <row r="771" spans="1:19">
      <c r="A771" s="9">
        <v>764</v>
      </c>
      <c r="B771" s="9" t="s">
        <v>1063</v>
      </c>
      <c r="C771" s="9" t="s">
        <v>953</v>
      </c>
      <c r="D771" s="9" t="s">
        <v>652</v>
      </c>
      <c r="E771" s="9" t="s">
        <v>33</v>
      </c>
      <c r="F771" s="7" t="s">
        <v>39</v>
      </c>
      <c r="G771" s="11">
        <v>1</v>
      </c>
      <c r="H771" s="11">
        <v>1</v>
      </c>
      <c r="I771" s="14">
        <v>8000.0</v>
      </c>
      <c r="J771" s="14"/>
      <c r="K771" s="16">
        <f>IF(I771&gt;0, J771/I771, 0)</f>
        <v>0</v>
      </c>
      <c r="L771" s="14">
        <v>8000.0</v>
      </c>
      <c r="M771" s="14"/>
      <c r="N771" s="14">
        <f>L771-M771</f>
        <v>8000</v>
      </c>
      <c r="O771" s="9" t="s">
        <v>40</v>
      </c>
      <c r="P771" s="9" t="s">
        <v>41</v>
      </c>
      <c r="Q771" s="9" t="s">
        <v>42</v>
      </c>
      <c r="R771" s="7" t="s">
        <v>2161</v>
      </c>
      <c r="S771" s="7" t="s">
        <v>42</v>
      </c>
    </row>
    <row r="772" spans="1:19">
      <c r="A772" s="8">
        <v>765</v>
      </c>
      <c r="B772" s="8" t="s">
        <v>1064</v>
      </c>
      <c r="C772" s="8" t="s">
        <v>953</v>
      </c>
      <c r="D772" s="8" t="s">
        <v>652</v>
      </c>
      <c r="E772" s="8" t="s">
        <v>33</v>
      </c>
      <c r="F772" s="6" t="s">
        <v>39</v>
      </c>
      <c r="G772" s="10">
        <v>1</v>
      </c>
      <c r="H772" s="10">
        <v>1</v>
      </c>
      <c r="I772" s="13">
        <v>16500.0</v>
      </c>
      <c r="J772" s="13"/>
      <c r="K772" s="15">
        <f>IF(I772&gt;0, J772/I772, 0)</f>
        <v>0</v>
      </c>
      <c r="L772" s="13">
        <v>16500.0</v>
      </c>
      <c r="M772" s="13"/>
      <c r="N772" s="13">
        <f>L772-M772</f>
        <v>16500</v>
      </c>
      <c r="O772" s="8" t="s">
        <v>40</v>
      </c>
      <c r="P772" s="8" t="s">
        <v>41</v>
      </c>
      <c r="Q772" s="8" t="s">
        <v>42</v>
      </c>
      <c r="R772" s="6" t="s">
        <v>2124</v>
      </c>
      <c r="S772" s="6" t="s">
        <v>42</v>
      </c>
    </row>
    <row r="773" spans="1:19">
      <c r="A773" s="9">
        <v>766</v>
      </c>
      <c r="B773" s="9" t="s">
        <v>1065</v>
      </c>
      <c r="C773" s="9" t="s">
        <v>953</v>
      </c>
      <c r="D773" s="9" t="s">
        <v>652</v>
      </c>
      <c r="E773" s="9" t="s">
        <v>33</v>
      </c>
      <c r="F773" s="7" t="s">
        <v>39</v>
      </c>
      <c r="G773" s="11">
        <v>1</v>
      </c>
      <c r="H773" s="11">
        <v>1</v>
      </c>
      <c r="I773" s="14">
        <v>9000.0</v>
      </c>
      <c r="J773" s="14"/>
      <c r="K773" s="16">
        <f>IF(I773&gt;0, J773/I773, 0)</f>
        <v>0</v>
      </c>
      <c r="L773" s="14">
        <v>9000.0</v>
      </c>
      <c r="M773" s="14"/>
      <c r="N773" s="14">
        <f>L773-M773</f>
        <v>9000</v>
      </c>
      <c r="O773" s="9" t="s">
        <v>40</v>
      </c>
      <c r="P773" s="9" t="s">
        <v>41</v>
      </c>
      <c r="Q773" s="9" t="s">
        <v>42</v>
      </c>
      <c r="R773" s="7" t="s">
        <v>2200</v>
      </c>
      <c r="S773" s="7" t="s">
        <v>42</v>
      </c>
    </row>
    <row r="774" spans="1:19">
      <c r="A774" s="8">
        <v>767</v>
      </c>
      <c r="B774" s="8" t="s">
        <v>1066</v>
      </c>
      <c r="C774" s="8" t="s">
        <v>953</v>
      </c>
      <c r="D774" s="8" t="s">
        <v>652</v>
      </c>
      <c r="E774" s="8" t="s">
        <v>33</v>
      </c>
      <c r="F774" s="6" t="s">
        <v>39</v>
      </c>
      <c r="G774" s="10">
        <v>1</v>
      </c>
      <c r="H774" s="10">
        <v>1</v>
      </c>
      <c r="I774" s="13">
        <v>8000.0</v>
      </c>
      <c r="J774" s="13"/>
      <c r="K774" s="15">
        <f>IF(I774&gt;0, J774/I774, 0)</f>
        <v>0</v>
      </c>
      <c r="L774" s="13">
        <v>8000.0</v>
      </c>
      <c r="M774" s="13"/>
      <c r="N774" s="13">
        <f>L774-M774</f>
        <v>8000</v>
      </c>
      <c r="O774" s="8" t="s">
        <v>40</v>
      </c>
      <c r="P774" s="8" t="s">
        <v>41</v>
      </c>
      <c r="Q774" s="8" t="s">
        <v>42</v>
      </c>
      <c r="R774" s="6" t="s">
        <v>2082</v>
      </c>
      <c r="S774" s="6" t="s">
        <v>42</v>
      </c>
    </row>
    <row r="775" spans="1:19">
      <c r="A775" s="9">
        <v>768</v>
      </c>
      <c r="B775" s="9" t="s">
        <v>1067</v>
      </c>
      <c r="C775" s="9" t="s">
        <v>953</v>
      </c>
      <c r="D775" s="9" t="s">
        <v>652</v>
      </c>
      <c r="E775" s="9" t="s">
        <v>33</v>
      </c>
      <c r="F775" s="7" t="s">
        <v>39</v>
      </c>
      <c r="G775" s="11">
        <v>1</v>
      </c>
      <c r="H775" s="11">
        <v>1</v>
      </c>
      <c r="I775" s="14">
        <v>8500.0</v>
      </c>
      <c r="J775" s="14"/>
      <c r="K775" s="16">
        <f>IF(I775&gt;0, J775/I775, 0)</f>
        <v>0</v>
      </c>
      <c r="L775" s="14">
        <v>8500.0</v>
      </c>
      <c r="M775" s="14"/>
      <c r="N775" s="14">
        <f>L775-M775</f>
        <v>8500</v>
      </c>
      <c r="O775" s="9" t="s">
        <v>40</v>
      </c>
      <c r="P775" s="9" t="s">
        <v>41</v>
      </c>
      <c r="Q775" s="9" t="s">
        <v>42</v>
      </c>
      <c r="R775" s="7" t="s">
        <v>2099</v>
      </c>
      <c r="S775" s="7" t="s">
        <v>42</v>
      </c>
    </row>
    <row r="776" spans="1:19">
      <c r="A776" s="8">
        <v>769</v>
      </c>
      <c r="B776" s="8" t="s">
        <v>1068</v>
      </c>
      <c r="C776" s="8" t="s">
        <v>953</v>
      </c>
      <c r="D776" s="8" t="s">
        <v>652</v>
      </c>
      <c r="E776" s="8" t="s">
        <v>33</v>
      </c>
      <c r="F776" s="6" t="s">
        <v>39</v>
      </c>
      <c r="G776" s="10">
        <v>1</v>
      </c>
      <c r="H776" s="10">
        <v>1</v>
      </c>
      <c r="I776" s="13">
        <v>7000.0</v>
      </c>
      <c r="J776" s="13"/>
      <c r="K776" s="15">
        <f>IF(I776&gt;0, J776/I776, 0)</f>
        <v>0</v>
      </c>
      <c r="L776" s="13">
        <v>7000.0</v>
      </c>
      <c r="M776" s="13"/>
      <c r="N776" s="13">
        <f>L776-M776</f>
        <v>7000</v>
      </c>
      <c r="O776" s="8" t="s">
        <v>40</v>
      </c>
      <c r="P776" s="8" t="s">
        <v>41</v>
      </c>
      <c r="Q776" s="8" t="s">
        <v>42</v>
      </c>
      <c r="R776" s="6" t="s">
        <v>2109</v>
      </c>
      <c r="S776" s="6" t="s">
        <v>42</v>
      </c>
    </row>
    <row r="777" spans="1:19">
      <c r="A777" s="9">
        <v>770</v>
      </c>
      <c r="B777" s="9" t="s">
        <v>1069</v>
      </c>
      <c r="C777" s="9" t="s">
        <v>953</v>
      </c>
      <c r="D777" s="9" t="s">
        <v>652</v>
      </c>
      <c r="E777" s="9" t="s">
        <v>33</v>
      </c>
      <c r="F777" s="7" t="s">
        <v>39</v>
      </c>
      <c r="G777" s="11">
        <v>1</v>
      </c>
      <c r="H777" s="11">
        <v>1</v>
      </c>
      <c r="I777" s="14">
        <v>8000.0</v>
      </c>
      <c r="J777" s="14"/>
      <c r="K777" s="16">
        <f>IF(I777&gt;0, J777/I777, 0)</f>
        <v>0</v>
      </c>
      <c r="L777" s="14">
        <v>8000.0</v>
      </c>
      <c r="M777" s="14"/>
      <c r="N777" s="14">
        <f>L777-M777</f>
        <v>8000</v>
      </c>
      <c r="O777" s="9" t="s">
        <v>40</v>
      </c>
      <c r="P777" s="9" t="s">
        <v>41</v>
      </c>
      <c r="Q777" s="9" t="s">
        <v>42</v>
      </c>
      <c r="R777" s="7" t="s">
        <v>2084</v>
      </c>
      <c r="S777" s="7" t="s">
        <v>42</v>
      </c>
    </row>
    <row r="778" spans="1:19">
      <c r="A778" s="8">
        <v>771</v>
      </c>
      <c r="B778" s="8" t="s">
        <v>1070</v>
      </c>
      <c r="C778" s="8" t="s">
        <v>953</v>
      </c>
      <c r="D778" s="8" t="s">
        <v>652</v>
      </c>
      <c r="E778" s="8" t="s">
        <v>33</v>
      </c>
      <c r="F778" s="6" t="s">
        <v>39</v>
      </c>
      <c r="G778" s="10">
        <v>1</v>
      </c>
      <c r="H778" s="10">
        <v>1</v>
      </c>
      <c r="I778" s="13">
        <v>16000.0</v>
      </c>
      <c r="J778" s="13"/>
      <c r="K778" s="15">
        <f>IF(I778&gt;0, J778/I778, 0)</f>
        <v>0</v>
      </c>
      <c r="L778" s="13">
        <v>16000.0</v>
      </c>
      <c r="M778" s="13"/>
      <c r="N778" s="13">
        <f>L778-M778</f>
        <v>16000</v>
      </c>
      <c r="O778" s="8" t="s">
        <v>40</v>
      </c>
      <c r="P778" s="8" t="s">
        <v>41</v>
      </c>
      <c r="Q778" s="8" t="s">
        <v>42</v>
      </c>
      <c r="R778" s="6" t="s">
        <v>2132</v>
      </c>
      <c r="S778" s="6" t="s">
        <v>42</v>
      </c>
    </row>
    <row r="779" spans="1:19">
      <c r="A779" s="9">
        <v>772</v>
      </c>
      <c r="B779" s="9" t="s">
        <v>1071</v>
      </c>
      <c r="C779" s="9" t="s">
        <v>953</v>
      </c>
      <c r="D779" s="9" t="s">
        <v>652</v>
      </c>
      <c r="E779" s="9" t="s">
        <v>33</v>
      </c>
      <c r="F779" s="7" t="s">
        <v>39</v>
      </c>
      <c r="G779" s="11">
        <v>1</v>
      </c>
      <c r="H779" s="11">
        <v>1</v>
      </c>
      <c r="I779" s="14">
        <v>8000.0</v>
      </c>
      <c r="J779" s="14"/>
      <c r="K779" s="16">
        <f>IF(I779&gt;0, J779/I779, 0)</f>
        <v>0</v>
      </c>
      <c r="L779" s="14">
        <v>8000.0</v>
      </c>
      <c r="M779" s="14"/>
      <c r="N779" s="14">
        <f>L779-M779</f>
        <v>8000</v>
      </c>
      <c r="O779" s="9" t="s">
        <v>40</v>
      </c>
      <c r="P779" s="9" t="s">
        <v>41</v>
      </c>
      <c r="Q779" s="9" t="s">
        <v>42</v>
      </c>
      <c r="R779" s="7" t="s">
        <v>2163</v>
      </c>
      <c r="S779" s="7" t="s">
        <v>42</v>
      </c>
    </row>
    <row r="780" spans="1:19">
      <c r="A780" s="8">
        <v>773</v>
      </c>
      <c r="B780" s="8" t="s">
        <v>1072</v>
      </c>
      <c r="C780" s="8" t="s">
        <v>953</v>
      </c>
      <c r="D780" s="8" t="s">
        <v>652</v>
      </c>
      <c r="E780" s="8" t="s">
        <v>33</v>
      </c>
      <c r="F780" s="6" t="s">
        <v>39</v>
      </c>
      <c r="G780" s="10">
        <v>1</v>
      </c>
      <c r="H780" s="10">
        <v>1</v>
      </c>
      <c r="I780" s="13">
        <v>8000.0</v>
      </c>
      <c r="J780" s="13"/>
      <c r="K780" s="15">
        <f>IF(I780&gt;0, J780/I780, 0)</f>
        <v>0</v>
      </c>
      <c r="L780" s="13">
        <v>8000.0</v>
      </c>
      <c r="M780" s="13"/>
      <c r="N780" s="13">
        <f>L780-M780</f>
        <v>8000</v>
      </c>
      <c r="O780" s="8" t="s">
        <v>40</v>
      </c>
      <c r="P780" s="8" t="s">
        <v>41</v>
      </c>
      <c r="Q780" s="8" t="s">
        <v>42</v>
      </c>
      <c r="R780" s="6" t="s">
        <v>2078</v>
      </c>
      <c r="S780" s="6" t="s">
        <v>42</v>
      </c>
    </row>
    <row r="781" spans="1:19">
      <c r="A781" s="9">
        <v>774</v>
      </c>
      <c r="B781" s="9" t="s">
        <v>1073</v>
      </c>
      <c r="C781" s="9" t="s">
        <v>953</v>
      </c>
      <c r="D781" s="9" t="s">
        <v>652</v>
      </c>
      <c r="E781" s="9" t="s">
        <v>33</v>
      </c>
      <c r="F781" s="7" t="s">
        <v>39</v>
      </c>
      <c r="G781" s="11">
        <v>1</v>
      </c>
      <c r="H781" s="11">
        <v>2</v>
      </c>
      <c r="I781" s="14">
        <v>14000.0</v>
      </c>
      <c r="J781" s="14"/>
      <c r="K781" s="16">
        <f>IF(I781&gt;0, J781/I781, 0)</f>
        <v>0</v>
      </c>
      <c r="L781" s="14">
        <v>14000.0</v>
      </c>
      <c r="M781" s="14"/>
      <c r="N781" s="14">
        <f>L781-M781</f>
        <v>14000</v>
      </c>
      <c r="O781" s="9" t="s">
        <v>40</v>
      </c>
      <c r="P781" s="9" t="s">
        <v>41</v>
      </c>
      <c r="Q781" s="9" t="s">
        <v>42</v>
      </c>
      <c r="R781" s="7" t="s">
        <v>2104</v>
      </c>
      <c r="S781" s="7" t="s">
        <v>42</v>
      </c>
    </row>
    <row r="782" spans="1:19">
      <c r="A782" s="8">
        <v>775</v>
      </c>
      <c r="B782" s="8" t="s">
        <v>1074</v>
      </c>
      <c r="C782" s="8" t="s">
        <v>953</v>
      </c>
      <c r="D782" s="8" t="s">
        <v>652</v>
      </c>
      <c r="E782" s="8" t="s">
        <v>33</v>
      </c>
      <c r="F782" s="6" t="s">
        <v>39</v>
      </c>
      <c r="G782" s="10">
        <v>1</v>
      </c>
      <c r="H782" s="10">
        <v>2</v>
      </c>
      <c r="I782" s="13">
        <v>14000.0</v>
      </c>
      <c r="J782" s="13"/>
      <c r="K782" s="15">
        <f>IF(I782&gt;0, J782/I782, 0)</f>
        <v>0</v>
      </c>
      <c r="L782" s="13">
        <v>14000.0</v>
      </c>
      <c r="M782" s="13"/>
      <c r="N782" s="13">
        <f>L782-M782</f>
        <v>14000</v>
      </c>
      <c r="O782" s="8" t="s">
        <v>40</v>
      </c>
      <c r="P782" s="8" t="s">
        <v>41</v>
      </c>
      <c r="Q782" s="8" t="s">
        <v>42</v>
      </c>
      <c r="R782" s="6" t="s">
        <v>2198</v>
      </c>
      <c r="S782" s="6" t="s">
        <v>42</v>
      </c>
    </row>
    <row r="783" spans="1:19">
      <c r="A783" s="9">
        <v>776</v>
      </c>
      <c r="B783" s="9" t="s">
        <v>1075</v>
      </c>
      <c r="C783" s="9" t="s">
        <v>953</v>
      </c>
      <c r="D783" s="9" t="s">
        <v>652</v>
      </c>
      <c r="E783" s="9" t="s">
        <v>33</v>
      </c>
      <c r="F783" s="7" t="s">
        <v>39</v>
      </c>
      <c r="G783" s="11">
        <v>1</v>
      </c>
      <c r="H783" s="11">
        <v>1</v>
      </c>
      <c r="I783" s="14">
        <v>18000.0</v>
      </c>
      <c r="J783" s="14"/>
      <c r="K783" s="16">
        <f>IF(I783&gt;0, J783/I783, 0)</f>
        <v>0</v>
      </c>
      <c r="L783" s="14">
        <v>18000.0</v>
      </c>
      <c r="M783" s="14"/>
      <c r="N783" s="14">
        <f>L783-M783</f>
        <v>18000</v>
      </c>
      <c r="O783" s="9" t="s">
        <v>40</v>
      </c>
      <c r="P783" s="9" t="s">
        <v>41</v>
      </c>
      <c r="Q783" s="9" t="s">
        <v>42</v>
      </c>
      <c r="R783" s="7" t="s">
        <v>2174</v>
      </c>
      <c r="S783" s="7" t="s">
        <v>42</v>
      </c>
    </row>
    <row r="784" spans="1:19">
      <c r="A784" s="8">
        <v>777</v>
      </c>
      <c r="B784" s="8" t="s">
        <v>1076</v>
      </c>
      <c r="C784" s="8" t="s">
        <v>953</v>
      </c>
      <c r="D784" s="8" t="s">
        <v>652</v>
      </c>
      <c r="E784" s="8" t="s">
        <v>33</v>
      </c>
      <c r="F784" s="6" t="s">
        <v>39</v>
      </c>
      <c r="G784" s="10">
        <v>1</v>
      </c>
      <c r="H784" s="10">
        <v>1</v>
      </c>
      <c r="I784" s="13">
        <v>8500.0</v>
      </c>
      <c r="J784" s="13"/>
      <c r="K784" s="15">
        <f>IF(I784&gt;0, J784/I784, 0)</f>
        <v>0</v>
      </c>
      <c r="L784" s="13">
        <v>8500.0</v>
      </c>
      <c r="M784" s="13"/>
      <c r="N784" s="13">
        <f>L784-M784</f>
        <v>8500</v>
      </c>
      <c r="O784" s="8" t="s">
        <v>40</v>
      </c>
      <c r="P784" s="8" t="s">
        <v>41</v>
      </c>
      <c r="Q784" s="8" t="s">
        <v>42</v>
      </c>
      <c r="R784" s="6" t="s">
        <v>2171</v>
      </c>
      <c r="S784" s="6" t="s">
        <v>42</v>
      </c>
    </row>
    <row r="785" spans="1:19">
      <c r="A785" s="9">
        <v>778</v>
      </c>
      <c r="B785" s="9" t="s">
        <v>1077</v>
      </c>
      <c r="C785" s="9" t="s">
        <v>953</v>
      </c>
      <c r="D785" s="9" t="s">
        <v>652</v>
      </c>
      <c r="E785" s="9" t="s">
        <v>33</v>
      </c>
      <c r="F785" s="7" t="s">
        <v>39</v>
      </c>
      <c r="G785" s="11">
        <v>1</v>
      </c>
      <c r="H785" s="11">
        <v>2</v>
      </c>
      <c r="I785" s="14">
        <v>16000.0</v>
      </c>
      <c r="J785" s="14"/>
      <c r="K785" s="16">
        <f>IF(I785&gt;0, J785/I785, 0)</f>
        <v>0</v>
      </c>
      <c r="L785" s="14">
        <v>16000.0</v>
      </c>
      <c r="M785" s="14"/>
      <c r="N785" s="14">
        <f>L785-M785</f>
        <v>16000</v>
      </c>
      <c r="O785" s="9" t="s">
        <v>40</v>
      </c>
      <c r="P785" s="9" t="s">
        <v>41</v>
      </c>
      <c r="Q785" s="9" t="s">
        <v>42</v>
      </c>
      <c r="R785" s="7" t="s">
        <v>2184</v>
      </c>
      <c r="S785" s="7" t="s">
        <v>42</v>
      </c>
    </row>
    <row r="786" spans="1:19">
      <c r="A786" s="8">
        <v>779</v>
      </c>
      <c r="B786" s="8" t="s">
        <v>1078</v>
      </c>
      <c r="C786" s="8" t="s">
        <v>953</v>
      </c>
      <c r="D786" s="8" t="s">
        <v>652</v>
      </c>
      <c r="E786" s="8" t="s">
        <v>33</v>
      </c>
      <c r="F786" s="6" t="s">
        <v>39</v>
      </c>
      <c r="G786" s="10">
        <v>1</v>
      </c>
      <c r="H786" s="10">
        <v>4</v>
      </c>
      <c r="I786" s="13">
        <v>32000.0</v>
      </c>
      <c r="J786" s="13"/>
      <c r="K786" s="15">
        <f>IF(I786&gt;0, J786/I786, 0)</f>
        <v>0</v>
      </c>
      <c r="L786" s="13">
        <v>32000.0</v>
      </c>
      <c r="M786" s="13"/>
      <c r="N786" s="13">
        <f>L786-M786</f>
        <v>32000</v>
      </c>
      <c r="O786" s="8" t="s">
        <v>40</v>
      </c>
      <c r="P786" s="8" t="s">
        <v>41</v>
      </c>
      <c r="Q786" s="8" t="s">
        <v>42</v>
      </c>
      <c r="R786" s="6" t="s">
        <v>2245</v>
      </c>
      <c r="S786" s="6" t="s">
        <v>42</v>
      </c>
    </row>
    <row r="787" spans="1:19">
      <c r="A787" s="9">
        <v>780</v>
      </c>
      <c r="B787" s="9" t="s">
        <v>1079</v>
      </c>
      <c r="C787" s="9" t="s">
        <v>1080</v>
      </c>
      <c r="D787" s="9" t="s">
        <v>652</v>
      </c>
      <c r="E787" s="9" t="s">
        <v>68</v>
      </c>
      <c r="F787" s="7" t="s">
        <v>39</v>
      </c>
      <c r="G787" s="11">
        <v>1</v>
      </c>
      <c r="H787" s="11">
        <v>1</v>
      </c>
      <c r="I787" s="14">
        <v>18000.0</v>
      </c>
      <c r="J787" s="14"/>
      <c r="K787" s="16">
        <f>IF(I787&gt;0, J787/I787, 0)</f>
        <v>0</v>
      </c>
      <c r="L787" s="14">
        <v>18000.0</v>
      </c>
      <c r="M787" s="14"/>
      <c r="N787" s="14">
        <f>L787-M787</f>
        <v>18000</v>
      </c>
      <c r="O787" s="9" t="s">
        <v>40</v>
      </c>
      <c r="P787" s="9" t="s">
        <v>71</v>
      </c>
      <c r="Q787" s="9" t="s">
        <v>42</v>
      </c>
      <c r="R787" s="7" t="s">
        <v>2144</v>
      </c>
      <c r="S787" s="7" t="s">
        <v>42</v>
      </c>
    </row>
    <row r="788" spans="1:19">
      <c r="A788" s="8">
        <v>781</v>
      </c>
      <c r="B788" s="8" t="s">
        <v>1081</v>
      </c>
      <c r="C788" s="8" t="s">
        <v>1080</v>
      </c>
      <c r="D788" s="8" t="s">
        <v>652</v>
      </c>
      <c r="E788" s="8" t="s">
        <v>33</v>
      </c>
      <c r="F788" s="6" t="s">
        <v>39</v>
      </c>
      <c r="G788" s="10">
        <v>1</v>
      </c>
      <c r="H788" s="10">
        <v>1</v>
      </c>
      <c r="I788" s="13">
        <v>16000.0</v>
      </c>
      <c r="J788" s="13"/>
      <c r="K788" s="15">
        <f>IF(I788&gt;0, J788/I788, 0)</f>
        <v>0</v>
      </c>
      <c r="L788" s="13">
        <v>16000.0</v>
      </c>
      <c r="M788" s="13"/>
      <c r="N788" s="13">
        <f>L788-M788</f>
        <v>16000</v>
      </c>
      <c r="O788" s="8" t="s">
        <v>40</v>
      </c>
      <c r="P788" s="8" t="s">
        <v>41</v>
      </c>
      <c r="Q788" s="8" t="s">
        <v>42</v>
      </c>
      <c r="R788" s="6" t="s">
        <v>2132</v>
      </c>
      <c r="S788" s="6" t="s">
        <v>42</v>
      </c>
    </row>
    <row r="789" spans="1:19">
      <c r="A789" s="9">
        <v>782</v>
      </c>
      <c r="B789" s="9" t="s">
        <v>1082</v>
      </c>
      <c r="C789" s="9" t="s">
        <v>1080</v>
      </c>
      <c r="D789" s="9" t="s">
        <v>652</v>
      </c>
      <c r="E789" s="9" t="s">
        <v>33</v>
      </c>
      <c r="F789" s="7" t="s">
        <v>39</v>
      </c>
      <c r="G789" s="11">
        <v>1</v>
      </c>
      <c r="H789" s="11">
        <v>1</v>
      </c>
      <c r="I789" s="14">
        <v>16000.0</v>
      </c>
      <c r="J789" s="14"/>
      <c r="K789" s="16">
        <f>IF(I789&gt;0, J789/I789, 0)</f>
        <v>0</v>
      </c>
      <c r="L789" s="14">
        <v>16000.0</v>
      </c>
      <c r="M789" s="14"/>
      <c r="N789" s="14">
        <f>L789-M789</f>
        <v>16000</v>
      </c>
      <c r="O789" s="9" t="s">
        <v>40</v>
      </c>
      <c r="P789" s="9" t="s">
        <v>41</v>
      </c>
      <c r="Q789" s="9" t="s">
        <v>42</v>
      </c>
      <c r="R789" s="7" t="s">
        <v>2127</v>
      </c>
      <c r="S789" s="7" t="s">
        <v>42</v>
      </c>
    </row>
    <row r="790" spans="1:19">
      <c r="A790" s="8">
        <v>783</v>
      </c>
      <c r="B790" s="8" t="s">
        <v>1083</v>
      </c>
      <c r="C790" s="8" t="s">
        <v>1080</v>
      </c>
      <c r="D790" s="8" t="s">
        <v>652</v>
      </c>
      <c r="E790" s="8" t="s">
        <v>33</v>
      </c>
      <c r="F790" s="6" t="s">
        <v>39</v>
      </c>
      <c r="G790" s="10">
        <v>1</v>
      </c>
      <c r="H790" s="10">
        <v>2</v>
      </c>
      <c r="I790" s="13">
        <v>14000.0</v>
      </c>
      <c r="J790" s="13"/>
      <c r="K790" s="15">
        <f>IF(I790&gt;0, J790/I790, 0)</f>
        <v>0</v>
      </c>
      <c r="L790" s="13">
        <v>14000.0</v>
      </c>
      <c r="M790" s="13"/>
      <c r="N790" s="13">
        <f>L790-M790</f>
        <v>14000</v>
      </c>
      <c r="O790" s="8" t="s">
        <v>40</v>
      </c>
      <c r="P790" s="8" t="s">
        <v>41</v>
      </c>
      <c r="Q790" s="8" t="s">
        <v>42</v>
      </c>
      <c r="R790" s="6" t="s">
        <v>2117</v>
      </c>
      <c r="S790" s="6" t="s">
        <v>42</v>
      </c>
    </row>
    <row r="791" spans="1:19">
      <c r="A791" s="9">
        <v>784</v>
      </c>
      <c r="B791" s="9" t="s">
        <v>1084</v>
      </c>
      <c r="C791" s="9" t="s">
        <v>1080</v>
      </c>
      <c r="D791" s="9" t="s">
        <v>652</v>
      </c>
      <c r="E791" s="9" t="s">
        <v>33</v>
      </c>
      <c r="F791" s="7" t="s">
        <v>39</v>
      </c>
      <c r="G791" s="11">
        <v>1</v>
      </c>
      <c r="H791" s="11">
        <v>4</v>
      </c>
      <c r="I791" s="14">
        <v>32000.0</v>
      </c>
      <c r="J791" s="14"/>
      <c r="K791" s="16">
        <f>IF(I791&gt;0, J791/I791, 0)</f>
        <v>0</v>
      </c>
      <c r="L791" s="14">
        <v>32000.0</v>
      </c>
      <c r="M791" s="14"/>
      <c r="N791" s="14">
        <f>L791-M791</f>
        <v>32000</v>
      </c>
      <c r="O791" s="9" t="s">
        <v>40</v>
      </c>
      <c r="P791" s="9" t="s">
        <v>41</v>
      </c>
      <c r="Q791" s="9" t="s">
        <v>42</v>
      </c>
      <c r="R791" s="7" t="s">
        <v>2245</v>
      </c>
      <c r="S791" s="7" t="s">
        <v>42</v>
      </c>
    </row>
    <row r="792" spans="1:19">
      <c r="A792" s="8">
        <v>785</v>
      </c>
      <c r="B792" s="8" t="s">
        <v>1085</v>
      </c>
      <c r="C792" s="8" t="s">
        <v>1080</v>
      </c>
      <c r="D792" s="8" t="s">
        <v>652</v>
      </c>
      <c r="E792" s="8" t="s">
        <v>33</v>
      </c>
      <c r="F792" s="6" t="s">
        <v>39</v>
      </c>
      <c r="G792" s="10">
        <v>1</v>
      </c>
      <c r="H792" s="10">
        <v>2</v>
      </c>
      <c r="I792" s="13">
        <v>19000.0</v>
      </c>
      <c r="J792" s="13"/>
      <c r="K792" s="15">
        <f>IF(I792&gt;0, J792/I792, 0)</f>
        <v>0</v>
      </c>
      <c r="L792" s="13">
        <v>19000.0</v>
      </c>
      <c r="M792" s="13"/>
      <c r="N792" s="13">
        <f>L792-M792</f>
        <v>19000</v>
      </c>
      <c r="O792" s="8" t="s">
        <v>40</v>
      </c>
      <c r="P792" s="8" t="s">
        <v>41</v>
      </c>
      <c r="Q792" s="8" t="s">
        <v>42</v>
      </c>
      <c r="R792" s="6" t="s">
        <v>2246</v>
      </c>
      <c r="S792" s="6" t="s">
        <v>42</v>
      </c>
    </row>
    <row r="793" spans="1:19">
      <c r="A793" s="9">
        <v>786</v>
      </c>
      <c r="B793" s="9" t="s">
        <v>1086</v>
      </c>
      <c r="C793" s="9" t="s">
        <v>1080</v>
      </c>
      <c r="D793" s="9" t="s">
        <v>652</v>
      </c>
      <c r="E793" s="9" t="s">
        <v>33</v>
      </c>
      <c r="F793" s="7" t="s">
        <v>39</v>
      </c>
      <c r="G793" s="11">
        <v>1</v>
      </c>
      <c r="H793" s="11">
        <v>1</v>
      </c>
      <c r="I793" s="14">
        <v>8000.0</v>
      </c>
      <c r="J793" s="14"/>
      <c r="K793" s="16">
        <f>IF(I793&gt;0, J793/I793, 0)</f>
        <v>0</v>
      </c>
      <c r="L793" s="14">
        <v>8000.0</v>
      </c>
      <c r="M793" s="14"/>
      <c r="N793" s="14">
        <f>L793-M793</f>
        <v>8000</v>
      </c>
      <c r="O793" s="9" t="s">
        <v>40</v>
      </c>
      <c r="P793" s="9" t="s">
        <v>41</v>
      </c>
      <c r="Q793" s="9" t="s">
        <v>42</v>
      </c>
      <c r="R793" s="7" t="s">
        <v>2141</v>
      </c>
      <c r="S793" s="7" t="s">
        <v>42</v>
      </c>
    </row>
    <row r="794" spans="1:19">
      <c r="A794" s="8">
        <v>787</v>
      </c>
      <c r="B794" s="8" t="s">
        <v>1087</v>
      </c>
      <c r="C794" s="8" t="s">
        <v>1080</v>
      </c>
      <c r="D794" s="8" t="s">
        <v>652</v>
      </c>
      <c r="E794" s="8" t="s">
        <v>68</v>
      </c>
      <c r="F794" s="6" t="s">
        <v>39</v>
      </c>
      <c r="G794" s="10">
        <v>1</v>
      </c>
      <c r="H794" s="10">
        <v>1</v>
      </c>
      <c r="I794" s="13">
        <v>8000.0</v>
      </c>
      <c r="J794" s="13"/>
      <c r="K794" s="15">
        <f>IF(I794&gt;0, J794/I794, 0)</f>
        <v>0</v>
      </c>
      <c r="L794" s="13">
        <v>8000.0</v>
      </c>
      <c r="M794" s="13"/>
      <c r="N794" s="13">
        <f>L794-M794</f>
        <v>8000</v>
      </c>
      <c r="O794" s="8" t="s">
        <v>40</v>
      </c>
      <c r="P794" s="8" t="s">
        <v>71</v>
      </c>
      <c r="Q794" s="8" t="s">
        <v>42</v>
      </c>
      <c r="R794" s="6" t="s">
        <v>2216</v>
      </c>
      <c r="S794" s="6" t="s">
        <v>42</v>
      </c>
    </row>
    <row r="795" spans="1:19">
      <c r="A795" s="9">
        <v>788</v>
      </c>
      <c r="B795" s="9" t="s">
        <v>1088</v>
      </c>
      <c r="C795" s="9" t="s">
        <v>1080</v>
      </c>
      <c r="D795" s="9" t="s">
        <v>652</v>
      </c>
      <c r="E795" s="9" t="s">
        <v>68</v>
      </c>
      <c r="F795" s="7" t="s">
        <v>39</v>
      </c>
      <c r="G795" s="11">
        <v>1</v>
      </c>
      <c r="H795" s="11">
        <v>1</v>
      </c>
      <c r="I795" s="14">
        <v>10000.0</v>
      </c>
      <c r="J795" s="14"/>
      <c r="K795" s="16">
        <f>IF(I795&gt;0, J795/I795, 0)</f>
        <v>0</v>
      </c>
      <c r="L795" s="14">
        <v>10000.0</v>
      </c>
      <c r="M795" s="14"/>
      <c r="N795" s="14">
        <f>L795-M795</f>
        <v>10000</v>
      </c>
      <c r="O795" s="9" t="s">
        <v>40</v>
      </c>
      <c r="P795" s="9" t="s">
        <v>71</v>
      </c>
      <c r="Q795" s="9" t="s">
        <v>42</v>
      </c>
      <c r="R795" s="7" t="s">
        <v>2113</v>
      </c>
      <c r="S795" s="7" t="s">
        <v>42</v>
      </c>
    </row>
    <row r="796" spans="1:19">
      <c r="A796" s="8">
        <v>789</v>
      </c>
      <c r="B796" s="8" t="s">
        <v>1089</v>
      </c>
      <c r="C796" s="8" t="s">
        <v>1080</v>
      </c>
      <c r="D796" s="8" t="s">
        <v>652</v>
      </c>
      <c r="E796" s="8" t="s">
        <v>33</v>
      </c>
      <c r="F796" s="6" t="s">
        <v>39</v>
      </c>
      <c r="G796" s="10">
        <v>1</v>
      </c>
      <c r="H796" s="10">
        <v>1</v>
      </c>
      <c r="I796" s="13">
        <v>16000.0</v>
      </c>
      <c r="J796" s="13"/>
      <c r="K796" s="15">
        <f>IF(I796&gt;0, J796/I796, 0)</f>
        <v>0</v>
      </c>
      <c r="L796" s="13">
        <v>16000.0</v>
      </c>
      <c r="M796" s="13"/>
      <c r="N796" s="13">
        <f>L796-M796</f>
        <v>16000</v>
      </c>
      <c r="O796" s="8" t="s">
        <v>40</v>
      </c>
      <c r="P796" s="8" t="s">
        <v>41</v>
      </c>
      <c r="Q796" s="8" t="s">
        <v>42</v>
      </c>
      <c r="R796" s="6" t="s">
        <v>2126</v>
      </c>
      <c r="S796" s="6" t="s">
        <v>42</v>
      </c>
    </row>
    <row r="797" spans="1:19">
      <c r="A797" s="9">
        <v>790</v>
      </c>
      <c r="B797" s="9" t="s">
        <v>1090</v>
      </c>
      <c r="C797" s="9" t="s">
        <v>1080</v>
      </c>
      <c r="D797" s="9" t="s">
        <v>652</v>
      </c>
      <c r="E797" s="9" t="s">
        <v>33</v>
      </c>
      <c r="F797" s="7" t="s">
        <v>39</v>
      </c>
      <c r="G797" s="11">
        <v>1</v>
      </c>
      <c r="H797" s="11">
        <v>2</v>
      </c>
      <c r="I797" s="14">
        <v>14000.0</v>
      </c>
      <c r="J797" s="14"/>
      <c r="K797" s="16">
        <f>IF(I797&gt;0, J797/I797, 0)</f>
        <v>0</v>
      </c>
      <c r="L797" s="14">
        <v>14000.0</v>
      </c>
      <c r="M797" s="14"/>
      <c r="N797" s="14">
        <f>L797-M797</f>
        <v>14000</v>
      </c>
      <c r="O797" s="9" t="s">
        <v>40</v>
      </c>
      <c r="P797" s="9" t="s">
        <v>41</v>
      </c>
      <c r="Q797" s="9" t="s">
        <v>42</v>
      </c>
      <c r="R797" s="7" t="s">
        <v>2198</v>
      </c>
      <c r="S797" s="7" t="s">
        <v>42</v>
      </c>
    </row>
    <row r="798" spans="1:19">
      <c r="A798" s="8">
        <v>791</v>
      </c>
      <c r="B798" s="8" t="s">
        <v>1091</v>
      </c>
      <c r="C798" s="8" t="s">
        <v>1080</v>
      </c>
      <c r="D798" s="8" t="s">
        <v>652</v>
      </c>
      <c r="E798" s="8" t="s">
        <v>33</v>
      </c>
      <c r="F798" s="6" t="s">
        <v>39</v>
      </c>
      <c r="G798" s="10">
        <v>1</v>
      </c>
      <c r="H798" s="10">
        <v>1</v>
      </c>
      <c r="I798" s="13">
        <v>8000.0</v>
      </c>
      <c r="J798" s="13"/>
      <c r="K798" s="15">
        <f>IF(I798&gt;0, J798/I798, 0)</f>
        <v>0</v>
      </c>
      <c r="L798" s="13">
        <v>8000.0</v>
      </c>
      <c r="M798" s="13"/>
      <c r="N798" s="13">
        <f>L798-M798</f>
        <v>8000</v>
      </c>
      <c r="O798" s="8" t="s">
        <v>40</v>
      </c>
      <c r="P798" s="8" t="s">
        <v>41</v>
      </c>
      <c r="Q798" s="8" t="s">
        <v>42</v>
      </c>
      <c r="R798" s="6" t="s">
        <v>2141</v>
      </c>
      <c r="S798" s="6" t="s">
        <v>42</v>
      </c>
    </row>
    <row r="799" spans="1:19">
      <c r="A799" s="9">
        <v>792</v>
      </c>
      <c r="B799" s="9" t="s">
        <v>1092</v>
      </c>
      <c r="C799" s="9" t="s">
        <v>1080</v>
      </c>
      <c r="D799" s="9" t="s">
        <v>652</v>
      </c>
      <c r="E799" s="9" t="s">
        <v>33</v>
      </c>
      <c r="F799" s="7" t="s">
        <v>39</v>
      </c>
      <c r="G799" s="11">
        <v>1</v>
      </c>
      <c r="H799" s="11">
        <v>1</v>
      </c>
      <c r="I799" s="14">
        <v>18000.0</v>
      </c>
      <c r="J799" s="14"/>
      <c r="K799" s="16">
        <f>IF(I799&gt;0, J799/I799, 0)</f>
        <v>0</v>
      </c>
      <c r="L799" s="14">
        <v>18000.0</v>
      </c>
      <c r="M799" s="14"/>
      <c r="N799" s="14">
        <f>L799-M799</f>
        <v>18000</v>
      </c>
      <c r="O799" s="9" t="s">
        <v>40</v>
      </c>
      <c r="P799" s="9" t="s">
        <v>41</v>
      </c>
      <c r="Q799" s="9" t="s">
        <v>42</v>
      </c>
      <c r="R799" s="7" t="s">
        <v>2160</v>
      </c>
      <c r="S799" s="7" t="s">
        <v>42</v>
      </c>
    </row>
    <row r="800" spans="1:19">
      <c r="A800" s="8">
        <v>793</v>
      </c>
      <c r="B800" s="8" t="s">
        <v>1093</v>
      </c>
      <c r="C800" s="8" t="s">
        <v>1080</v>
      </c>
      <c r="D800" s="8" t="s">
        <v>652</v>
      </c>
      <c r="E800" s="8" t="s">
        <v>33</v>
      </c>
      <c r="F800" s="6" t="s">
        <v>39</v>
      </c>
      <c r="G800" s="10">
        <v>1</v>
      </c>
      <c r="H800" s="10">
        <v>1</v>
      </c>
      <c r="I800" s="13">
        <v>9500.0</v>
      </c>
      <c r="J800" s="13"/>
      <c r="K800" s="15">
        <f>IF(I800&gt;0, J800/I800, 0)</f>
        <v>0</v>
      </c>
      <c r="L800" s="13">
        <v>9500.0</v>
      </c>
      <c r="M800" s="13"/>
      <c r="N800" s="13">
        <f>L800-M800</f>
        <v>9500</v>
      </c>
      <c r="O800" s="8" t="s">
        <v>40</v>
      </c>
      <c r="P800" s="8" t="s">
        <v>41</v>
      </c>
      <c r="Q800" s="8" t="s">
        <v>42</v>
      </c>
      <c r="R800" s="6" t="s">
        <v>2106</v>
      </c>
      <c r="S800" s="6" t="s">
        <v>42</v>
      </c>
    </row>
    <row r="801" spans="1:19">
      <c r="A801" s="9">
        <v>794</v>
      </c>
      <c r="B801" s="9" t="s">
        <v>1094</v>
      </c>
      <c r="C801" s="9" t="s">
        <v>1080</v>
      </c>
      <c r="D801" s="9" t="s">
        <v>652</v>
      </c>
      <c r="E801" s="9" t="s">
        <v>33</v>
      </c>
      <c r="F801" s="7" t="s">
        <v>39</v>
      </c>
      <c r="G801" s="11">
        <v>1</v>
      </c>
      <c r="H801" s="11">
        <v>1</v>
      </c>
      <c r="I801" s="14">
        <v>16500.0</v>
      </c>
      <c r="J801" s="14"/>
      <c r="K801" s="16">
        <f>IF(I801&gt;0, J801/I801, 0)</f>
        <v>0</v>
      </c>
      <c r="L801" s="14">
        <v>16500.0</v>
      </c>
      <c r="M801" s="14"/>
      <c r="N801" s="14">
        <f>L801-M801</f>
        <v>16500</v>
      </c>
      <c r="O801" s="9" t="s">
        <v>40</v>
      </c>
      <c r="P801" s="9" t="s">
        <v>41</v>
      </c>
      <c r="Q801" s="9" t="s">
        <v>42</v>
      </c>
      <c r="R801" s="7" t="s">
        <v>2124</v>
      </c>
      <c r="S801" s="7" t="s">
        <v>42</v>
      </c>
    </row>
    <row r="802" spans="1:19">
      <c r="A802" s="8">
        <v>795</v>
      </c>
      <c r="B802" s="8" t="s">
        <v>1095</v>
      </c>
      <c r="C802" s="8" t="s">
        <v>1080</v>
      </c>
      <c r="D802" s="8" t="s">
        <v>652</v>
      </c>
      <c r="E802" s="8" t="s">
        <v>33</v>
      </c>
      <c r="F802" s="6" t="s">
        <v>39</v>
      </c>
      <c r="G802" s="10">
        <v>1</v>
      </c>
      <c r="H802" s="10">
        <v>2</v>
      </c>
      <c r="I802" s="13">
        <v>16000.0</v>
      </c>
      <c r="J802" s="13"/>
      <c r="K802" s="15">
        <f>IF(I802&gt;0, J802/I802, 0)</f>
        <v>0</v>
      </c>
      <c r="L802" s="13">
        <v>16000.0</v>
      </c>
      <c r="M802" s="13"/>
      <c r="N802" s="13">
        <f>L802-M802</f>
        <v>16000</v>
      </c>
      <c r="O802" s="8" t="s">
        <v>40</v>
      </c>
      <c r="P802" s="8" t="s">
        <v>41</v>
      </c>
      <c r="Q802" s="8" t="s">
        <v>42</v>
      </c>
      <c r="R802" s="6" t="s">
        <v>2184</v>
      </c>
      <c r="S802" s="6" t="s">
        <v>42</v>
      </c>
    </row>
    <row r="803" spans="1:19">
      <c r="A803" s="9">
        <v>796</v>
      </c>
      <c r="B803" s="9" t="s">
        <v>1096</v>
      </c>
      <c r="C803" s="9" t="s">
        <v>1080</v>
      </c>
      <c r="D803" s="9" t="s">
        <v>652</v>
      </c>
      <c r="E803" s="9" t="s">
        <v>33</v>
      </c>
      <c r="F803" s="7" t="s">
        <v>39</v>
      </c>
      <c r="G803" s="11">
        <v>1</v>
      </c>
      <c r="H803" s="11">
        <v>1</v>
      </c>
      <c r="I803" s="14">
        <v>8500.0</v>
      </c>
      <c r="J803" s="14"/>
      <c r="K803" s="16">
        <f>IF(I803&gt;0, J803/I803, 0)</f>
        <v>0</v>
      </c>
      <c r="L803" s="14">
        <v>8500.0</v>
      </c>
      <c r="M803" s="14"/>
      <c r="N803" s="14">
        <f>L803-M803</f>
        <v>8500</v>
      </c>
      <c r="O803" s="9" t="s">
        <v>40</v>
      </c>
      <c r="P803" s="9" t="s">
        <v>41</v>
      </c>
      <c r="Q803" s="9" t="s">
        <v>42</v>
      </c>
      <c r="R803" s="7" t="s">
        <v>2171</v>
      </c>
      <c r="S803" s="7" t="s">
        <v>42</v>
      </c>
    </row>
    <row r="804" spans="1:19">
      <c r="A804" s="8">
        <v>797</v>
      </c>
      <c r="B804" s="8" t="s">
        <v>1097</v>
      </c>
      <c r="C804" s="8" t="s">
        <v>1080</v>
      </c>
      <c r="D804" s="8" t="s">
        <v>652</v>
      </c>
      <c r="E804" s="8" t="s">
        <v>33</v>
      </c>
      <c r="F804" s="6" t="s">
        <v>39</v>
      </c>
      <c r="G804" s="10">
        <v>1</v>
      </c>
      <c r="H804" s="10">
        <v>1</v>
      </c>
      <c r="I804" s="13">
        <v>9000.0</v>
      </c>
      <c r="J804" s="13"/>
      <c r="K804" s="15">
        <f>IF(I804&gt;0, J804/I804, 0)</f>
        <v>0</v>
      </c>
      <c r="L804" s="13">
        <v>9000.0</v>
      </c>
      <c r="M804" s="13"/>
      <c r="N804" s="13">
        <f>L804-M804</f>
        <v>9000</v>
      </c>
      <c r="O804" s="8" t="s">
        <v>40</v>
      </c>
      <c r="P804" s="8" t="s">
        <v>41</v>
      </c>
      <c r="Q804" s="8" t="s">
        <v>42</v>
      </c>
      <c r="R804" s="6" t="s">
        <v>2128</v>
      </c>
      <c r="S804" s="6" t="s">
        <v>42</v>
      </c>
    </row>
    <row r="805" spans="1:19">
      <c r="A805" s="9">
        <v>798</v>
      </c>
      <c r="B805" s="9" t="s">
        <v>1098</v>
      </c>
      <c r="C805" s="9" t="s">
        <v>1080</v>
      </c>
      <c r="D805" s="9" t="s">
        <v>652</v>
      </c>
      <c r="E805" s="9" t="s">
        <v>33</v>
      </c>
      <c r="F805" s="7" t="s">
        <v>39</v>
      </c>
      <c r="G805" s="11">
        <v>1</v>
      </c>
      <c r="H805" s="11">
        <v>1</v>
      </c>
      <c r="I805" s="14">
        <v>7000.0</v>
      </c>
      <c r="J805" s="14"/>
      <c r="K805" s="16">
        <f>IF(I805&gt;0, J805/I805, 0)</f>
        <v>0</v>
      </c>
      <c r="L805" s="14">
        <v>7000.0</v>
      </c>
      <c r="M805" s="14"/>
      <c r="N805" s="14">
        <f>L805-M805</f>
        <v>7000</v>
      </c>
      <c r="O805" s="9" t="s">
        <v>40</v>
      </c>
      <c r="P805" s="9" t="s">
        <v>41</v>
      </c>
      <c r="Q805" s="9" t="s">
        <v>42</v>
      </c>
      <c r="R805" s="7" t="s">
        <v>2109</v>
      </c>
      <c r="S805" s="7" t="s">
        <v>42</v>
      </c>
    </row>
    <row r="806" spans="1:19">
      <c r="A806" s="8">
        <v>799</v>
      </c>
      <c r="B806" s="8" t="s">
        <v>1099</v>
      </c>
      <c r="C806" s="8" t="s">
        <v>1080</v>
      </c>
      <c r="D806" s="8" t="s">
        <v>652</v>
      </c>
      <c r="E806" s="8" t="s">
        <v>33</v>
      </c>
      <c r="F806" s="6" t="s">
        <v>39</v>
      </c>
      <c r="G806" s="10">
        <v>1</v>
      </c>
      <c r="H806" s="10">
        <v>1</v>
      </c>
      <c r="I806" s="13">
        <v>8000.0</v>
      </c>
      <c r="J806" s="13"/>
      <c r="K806" s="15">
        <f>IF(I806&gt;0, J806/I806, 0)</f>
        <v>0</v>
      </c>
      <c r="L806" s="13">
        <v>8000.0</v>
      </c>
      <c r="M806" s="13"/>
      <c r="N806" s="13">
        <f>L806-M806</f>
        <v>8000</v>
      </c>
      <c r="O806" s="8" t="s">
        <v>40</v>
      </c>
      <c r="P806" s="8" t="s">
        <v>41</v>
      </c>
      <c r="Q806" s="8" t="s">
        <v>42</v>
      </c>
      <c r="R806" s="6" t="s">
        <v>2122</v>
      </c>
      <c r="S806" s="6" t="s">
        <v>42</v>
      </c>
    </row>
    <row r="807" spans="1:19">
      <c r="A807" s="9">
        <v>800</v>
      </c>
      <c r="B807" s="9" t="s">
        <v>1100</v>
      </c>
      <c r="C807" s="9" t="s">
        <v>1080</v>
      </c>
      <c r="D807" s="9" t="s">
        <v>652</v>
      </c>
      <c r="E807" s="9" t="s">
        <v>33</v>
      </c>
      <c r="F807" s="7" t="s">
        <v>39</v>
      </c>
      <c r="G807" s="11">
        <v>1</v>
      </c>
      <c r="H807" s="11">
        <v>1</v>
      </c>
      <c r="I807" s="14">
        <v>9000.0</v>
      </c>
      <c r="J807" s="14"/>
      <c r="K807" s="16">
        <f>IF(I807&gt;0, J807/I807, 0)</f>
        <v>0</v>
      </c>
      <c r="L807" s="14">
        <v>9000.0</v>
      </c>
      <c r="M807" s="14"/>
      <c r="N807" s="14">
        <f>L807-M807</f>
        <v>9000</v>
      </c>
      <c r="O807" s="9" t="s">
        <v>40</v>
      </c>
      <c r="P807" s="9" t="s">
        <v>41</v>
      </c>
      <c r="Q807" s="9" t="s">
        <v>42</v>
      </c>
      <c r="R807" s="7" t="s">
        <v>2200</v>
      </c>
      <c r="S807" s="7" t="s">
        <v>42</v>
      </c>
    </row>
    <row r="808" spans="1:19">
      <c r="A808" s="8">
        <v>801</v>
      </c>
      <c r="B808" s="8" t="s">
        <v>1101</v>
      </c>
      <c r="C808" s="8" t="s">
        <v>1080</v>
      </c>
      <c r="D808" s="8" t="s">
        <v>652</v>
      </c>
      <c r="E808" s="8" t="s">
        <v>33</v>
      </c>
      <c r="F808" s="6" t="s">
        <v>39</v>
      </c>
      <c r="G808" s="10">
        <v>1</v>
      </c>
      <c r="H808" s="10">
        <v>1</v>
      </c>
      <c r="I808" s="13">
        <v>8000.0</v>
      </c>
      <c r="J808" s="13"/>
      <c r="K808" s="15">
        <f>IF(I808&gt;0, J808/I808, 0)</f>
        <v>0</v>
      </c>
      <c r="L808" s="13">
        <v>8000.0</v>
      </c>
      <c r="M808" s="13"/>
      <c r="N808" s="13">
        <f>L808-M808</f>
        <v>8000</v>
      </c>
      <c r="O808" s="8" t="s">
        <v>40</v>
      </c>
      <c r="P808" s="8" t="s">
        <v>41</v>
      </c>
      <c r="Q808" s="8" t="s">
        <v>42</v>
      </c>
      <c r="R808" s="6" t="s">
        <v>2122</v>
      </c>
      <c r="S808" s="6" t="s">
        <v>42</v>
      </c>
    </row>
    <row r="809" spans="1:19">
      <c r="A809" s="9">
        <v>802</v>
      </c>
      <c r="B809" s="9" t="s">
        <v>1102</v>
      </c>
      <c r="C809" s="9" t="s">
        <v>1080</v>
      </c>
      <c r="D809" s="9" t="s">
        <v>652</v>
      </c>
      <c r="E809" s="9" t="s">
        <v>33</v>
      </c>
      <c r="F809" s="7" t="s">
        <v>39</v>
      </c>
      <c r="G809" s="11">
        <v>1</v>
      </c>
      <c r="H809" s="11">
        <v>1</v>
      </c>
      <c r="I809" s="14">
        <v>16000.0</v>
      </c>
      <c r="J809" s="14"/>
      <c r="K809" s="16">
        <f>IF(I809&gt;0, J809/I809, 0)</f>
        <v>0</v>
      </c>
      <c r="L809" s="14">
        <v>16000.0</v>
      </c>
      <c r="M809" s="14"/>
      <c r="N809" s="14">
        <f>L809-M809</f>
        <v>16000</v>
      </c>
      <c r="O809" s="9" t="s">
        <v>40</v>
      </c>
      <c r="P809" s="9" t="s">
        <v>41</v>
      </c>
      <c r="Q809" s="9" t="s">
        <v>42</v>
      </c>
      <c r="R809" s="7" t="s">
        <v>2132</v>
      </c>
      <c r="S809" s="7" t="s">
        <v>42</v>
      </c>
    </row>
    <row r="810" spans="1:19">
      <c r="A810" s="8">
        <v>803</v>
      </c>
      <c r="B810" s="8" t="s">
        <v>1103</v>
      </c>
      <c r="C810" s="8" t="s">
        <v>1080</v>
      </c>
      <c r="D810" s="8" t="s">
        <v>652</v>
      </c>
      <c r="E810" s="8" t="s">
        <v>33</v>
      </c>
      <c r="F810" s="6" t="s">
        <v>39</v>
      </c>
      <c r="G810" s="10">
        <v>1</v>
      </c>
      <c r="H810" s="10">
        <v>1</v>
      </c>
      <c r="I810" s="13">
        <v>8000.0</v>
      </c>
      <c r="J810" s="13"/>
      <c r="K810" s="15">
        <f>IF(I810&gt;0, J810/I810, 0)</f>
        <v>0</v>
      </c>
      <c r="L810" s="13">
        <v>8000.0</v>
      </c>
      <c r="M810" s="13"/>
      <c r="N810" s="13">
        <f>L810-M810</f>
        <v>8000</v>
      </c>
      <c r="O810" s="8" t="s">
        <v>40</v>
      </c>
      <c r="P810" s="8" t="s">
        <v>41</v>
      </c>
      <c r="Q810" s="8" t="s">
        <v>42</v>
      </c>
      <c r="R810" s="6" t="s">
        <v>2116</v>
      </c>
      <c r="S810" s="6" t="s">
        <v>42</v>
      </c>
    </row>
    <row r="811" spans="1:19">
      <c r="A811" s="9">
        <v>804</v>
      </c>
      <c r="B811" s="9" t="s">
        <v>1104</v>
      </c>
      <c r="C811" s="9" t="s">
        <v>1080</v>
      </c>
      <c r="D811" s="9" t="s">
        <v>652</v>
      </c>
      <c r="E811" s="9" t="s">
        <v>33</v>
      </c>
      <c r="F811" s="7" t="s">
        <v>39</v>
      </c>
      <c r="G811" s="11">
        <v>1</v>
      </c>
      <c r="H811" s="11">
        <v>1</v>
      </c>
      <c r="I811" s="14">
        <v>7000.0</v>
      </c>
      <c r="J811" s="14"/>
      <c r="K811" s="16">
        <f>IF(I811&gt;0, J811/I811, 0)</f>
        <v>0</v>
      </c>
      <c r="L811" s="14">
        <v>7000.0</v>
      </c>
      <c r="M811" s="14"/>
      <c r="N811" s="14">
        <f>L811-M811</f>
        <v>7000</v>
      </c>
      <c r="O811" s="9" t="s">
        <v>40</v>
      </c>
      <c r="P811" s="9" t="s">
        <v>41</v>
      </c>
      <c r="Q811" s="9" t="s">
        <v>42</v>
      </c>
      <c r="R811" s="7" t="s">
        <v>2155</v>
      </c>
      <c r="S811" s="7" t="s">
        <v>42</v>
      </c>
    </row>
    <row r="812" spans="1:19">
      <c r="A812" s="8">
        <v>805</v>
      </c>
      <c r="B812" s="8" t="s">
        <v>1105</v>
      </c>
      <c r="C812" s="8" t="s">
        <v>1080</v>
      </c>
      <c r="D812" s="8" t="s">
        <v>652</v>
      </c>
      <c r="E812" s="8" t="s">
        <v>33</v>
      </c>
      <c r="F812" s="6" t="s">
        <v>39</v>
      </c>
      <c r="G812" s="10">
        <v>1</v>
      </c>
      <c r="H812" s="10">
        <v>1</v>
      </c>
      <c r="I812" s="13">
        <v>18000.0</v>
      </c>
      <c r="J812" s="13"/>
      <c r="K812" s="15">
        <f>IF(I812&gt;0, J812/I812, 0)</f>
        <v>0</v>
      </c>
      <c r="L812" s="13">
        <v>18000.0</v>
      </c>
      <c r="M812" s="13"/>
      <c r="N812" s="13">
        <f>L812-M812</f>
        <v>18000</v>
      </c>
      <c r="O812" s="8" t="s">
        <v>40</v>
      </c>
      <c r="P812" s="8" t="s">
        <v>41</v>
      </c>
      <c r="Q812" s="8" t="s">
        <v>42</v>
      </c>
      <c r="R812" s="6" t="s">
        <v>2170</v>
      </c>
      <c r="S812" s="6" t="s">
        <v>42</v>
      </c>
    </row>
    <row r="813" spans="1:19">
      <c r="A813" s="9">
        <v>806</v>
      </c>
      <c r="B813" s="9" t="s">
        <v>1106</v>
      </c>
      <c r="C813" s="9" t="s">
        <v>1080</v>
      </c>
      <c r="D813" s="9" t="s">
        <v>652</v>
      </c>
      <c r="E813" s="9" t="s">
        <v>33</v>
      </c>
      <c r="F813" s="7" t="s">
        <v>39</v>
      </c>
      <c r="G813" s="11">
        <v>1</v>
      </c>
      <c r="H813" s="11">
        <v>1</v>
      </c>
      <c r="I813" s="14">
        <v>8000.0</v>
      </c>
      <c r="J813" s="14"/>
      <c r="K813" s="16">
        <f>IF(I813&gt;0, J813/I813, 0)</f>
        <v>0</v>
      </c>
      <c r="L813" s="14">
        <v>8000.0</v>
      </c>
      <c r="M813" s="14"/>
      <c r="N813" s="14">
        <f>L813-M813</f>
        <v>8000</v>
      </c>
      <c r="O813" s="9" t="s">
        <v>40</v>
      </c>
      <c r="P813" s="9" t="s">
        <v>41</v>
      </c>
      <c r="Q813" s="9" t="s">
        <v>42</v>
      </c>
      <c r="R813" s="7" t="s">
        <v>2116</v>
      </c>
      <c r="S813" s="7" t="s">
        <v>42</v>
      </c>
    </row>
    <row r="814" spans="1:19">
      <c r="A814" s="8">
        <v>807</v>
      </c>
      <c r="B814" s="8" t="s">
        <v>1107</v>
      </c>
      <c r="C814" s="8" t="s">
        <v>1080</v>
      </c>
      <c r="D814" s="8" t="s">
        <v>652</v>
      </c>
      <c r="E814" s="8" t="s">
        <v>33</v>
      </c>
      <c r="F814" s="6" t="s">
        <v>39</v>
      </c>
      <c r="G814" s="10">
        <v>1</v>
      </c>
      <c r="H814" s="10">
        <v>2</v>
      </c>
      <c r="I814" s="13">
        <v>14000.0</v>
      </c>
      <c r="J814" s="13"/>
      <c r="K814" s="15">
        <f>IF(I814&gt;0, J814/I814, 0)</f>
        <v>0</v>
      </c>
      <c r="L814" s="13">
        <v>14000.0</v>
      </c>
      <c r="M814" s="13"/>
      <c r="N814" s="13">
        <f>L814-M814</f>
        <v>14000</v>
      </c>
      <c r="O814" s="8" t="s">
        <v>40</v>
      </c>
      <c r="P814" s="8" t="s">
        <v>41</v>
      </c>
      <c r="Q814" s="8" t="s">
        <v>42</v>
      </c>
      <c r="R814" s="6" t="s">
        <v>2192</v>
      </c>
      <c r="S814" s="6" t="s">
        <v>42</v>
      </c>
    </row>
    <row r="815" spans="1:19">
      <c r="A815" s="9">
        <v>808</v>
      </c>
      <c r="B815" s="9" t="s">
        <v>1108</v>
      </c>
      <c r="C815" s="9" t="s">
        <v>1080</v>
      </c>
      <c r="D815" s="9" t="s">
        <v>652</v>
      </c>
      <c r="E815" s="9" t="s">
        <v>33</v>
      </c>
      <c r="F815" s="7" t="s">
        <v>39</v>
      </c>
      <c r="G815" s="11">
        <v>1</v>
      </c>
      <c r="H815" s="11">
        <v>1</v>
      </c>
      <c r="I815" s="14">
        <v>18000.0</v>
      </c>
      <c r="J815" s="14"/>
      <c r="K815" s="16">
        <f>IF(I815&gt;0, J815/I815, 0)</f>
        <v>0</v>
      </c>
      <c r="L815" s="14">
        <v>18000.0</v>
      </c>
      <c r="M815" s="14"/>
      <c r="N815" s="14">
        <f>L815-M815</f>
        <v>18000</v>
      </c>
      <c r="O815" s="9" t="s">
        <v>40</v>
      </c>
      <c r="P815" s="9" t="s">
        <v>41</v>
      </c>
      <c r="Q815" s="9" t="s">
        <v>42</v>
      </c>
      <c r="R815" s="7" t="s">
        <v>2144</v>
      </c>
      <c r="S815" s="7" t="s">
        <v>42</v>
      </c>
    </row>
    <row r="816" spans="1:19">
      <c r="A816" s="8">
        <v>809</v>
      </c>
      <c r="B816" s="8" t="s">
        <v>1109</v>
      </c>
      <c r="C816" s="8" t="s">
        <v>1080</v>
      </c>
      <c r="D816" s="8" t="s">
        <v>652</v>
      </c>
      <c r="E816" s="8" t="s">
        <v>33</v>
      </c>
      <c r="F816" s="6" t="s">
        <v>39</v>
      </c>
      <c r="G816" s="10">
        <v>1</v>
      </c>
      <c r="H816" s="10">
        <v>1</v>
      </c>
      <c r="I816" s="13">
        <v>8000.0</v>
      </c>
      <c r="J816" s="13"/>
      <c r="K816" s="15">
        <f>IF(I816&gt;0, J816/I816, 0)</f>
        <v>0</v>
      </c>
      <c r="L816" s="13">
        <v>8000.0</v>
      </c>
      <c r="M816" s="13"/>
      <c r="N816" s="13">
        <f>L816-M816</f>
        <v>8000</v>
      </c>
      <c r="O816" s="8" t="s">
        <v>40</v>
      </c>
      <c r="P816" s="8" t="s">
        <v>41</v>
      </c>
      <c r="Q816" s="8" t="s">
        <v>42</v>
      </c>
      <c r="R816" s="6" t="s">
        <v>2116</v>
      </c>
      <c r="S816" s="6" t="s">
        <v>42</v>
      </c>
    </row>
    <row r="817" spans="1:19">
      <c r="A817" s="9">
        <v>810</v>
      </c>
      <c r="B817" s="9" t="s">
        <v>1110</v>
      </c>
      <c r="C817" s="9" t="s">
        <v>1080</v>
      </c>
      <c r="D817" s="9" t="s">
        <v>652</v>
      </c>
      <c r="E817" s="9" t="s">
        <v>33</v>
      </c>
      <c r="F817" s="7" t="s">
        <v>39</v>
      </c>
      <c r="G817" s="11">
        <v>1</v>
      </c>
      <c r="H817" s="11">
        <v>1</v>
      </c>
      <c r="I817" s="14">
        <v>9000.0</v>
      </c>
      <c r="J817" s="14"/>
      <c r="K817" s="16">
        <f>IF(I817&gt;0, J817/I817, 0)</f>
        <v>0</v>
      </c>
      <c r="L817" s="14">
        <v>9000.0</v>
      </c>
      <c r="M817" s="14"/>
      <c r="N817" s="14">
        <f>L817-M817</f>
        <v>9000</v>
      </c>
      <c r="O817" s="9" t="s">
        <v>40</v>
      </c>
      <c r="P817" s="9" t="s">
        <v>41</v>
      </c>
      <c r="Q817" s="9" t="s">
        <v>42</v>
      </c>
      <c r="R817" s="7" t="s">
        <v>2099</v>
      </c>
      <c r="S817" s="7" t="s">
        <v>42</v>
      </c>
    </row>
    <row r="818" spans="1:19">
      <c r="A818" s="8">
        <v>811</v>
      </c>
      <c r="B818" s="8" t="s">
        <v>1111</v>
      </c>
      <c r="C818" s="8" t="s">
        <v>1080</v>
      </c>
      <c r="D818" s="8" t="s">
        <v>652</v>
      </c>
      <c r="E818" s="8" t="s">
        <v>33</v>
      </c>
      <c r="F818" s="6" t="s">
        <v>39</v>
      </c>
      <c r="G818" s="10">
        <v>1</v>
      </c>
      <c r="H818" s="10">
        <v>2</v>
      </c>
      <c r="I818" s="13">
        <v>36000.0</v>
      </c>
      <c r="J818" s="13"/>
      <c r="K818" s="15">
        <f>IF(I818&gt;0, J818/I818, 0)</f>
        <v>0</v>
      </c>
      <c r="L818" s="13">
        <v>36000.0</v>
      </c>
      <c r="M818" s="13"/>
      <c r="N818" s="13">
        <f>L818-M818</f>
        <v>36000</v>
      </c>
      <c r="O818" s="8" t="s">
        <v>40</v>
      </c>
      <c r="P818" s="8" t="s">
        <v>41</v>
      </c>
      <c r="Q818" s="8" t="s">
        <v>42</v>
      </c>
      <c r="R818" s="6" t="s">
        <v>2247</v>
      </c>
      <c r="S818" s="6" t="s">
        <v>42</v>
      </c>
    </row>
    <row r="819" spans="1:19">
      <c r="A819" s="9">
        <v>812</v>
      </c>
      <c r="B819" s="9" t="s">
        <v>1112</v>
      </c>
      <c r="C819" s="9" t="s">
        <v>1080</v>
      </c>
      <c r="D819" s="9" t="s">
        <v>652</v>
      </c>
      <c r="E819" s="9" t="s">
        <v>33</v>
      </c>
      <c r="F819" s="7" t="s">
        <v>39</v>
      </c>
      <c r="G819" s="11">
        <v>1</v>
      </c>
      <c r="H819" s="11">
        <v>1</v>
      </c>
      <c r="I819" s="14">
        <v>18000.0</v>
      </c>
      <c r="J819" s="14"/>
      <c r="K819" s="16">
        <f>IF(I819&gt;0, J819/I819, 0)</f>
        <v>0</v>
      </c>
      <c r="L819" s="14">
        <v>18000.0</v>
      </c>
      <c r="M819" s="14"/>
      <c r="N819" s="14">
        <f>L819-M819</f>
        <v>18000</v>
      </c>
      <c r="O819" s="9" t="s">
        <v>40</v>
      </c>
      <c r="P819" s="9" t="s">
        <v>41</v>
      </c>
      <c r="Q819" s="9" t="s">
        <v>42</v>
      </c>
      <c r="R819" s="7" t="s">
        <v>2169</v>
      </c>
      <c r="S819" s="7" t="s">
        <v>42</v>
      </c>
    </row>
    <row r="820" spans="1:19">
      <c r="A820" s="8">
        <v>813</v>
      </c>
      <c r="B820" s="8" t="s">
        <v>1113</v>
      </c>
      <c r="C820" s="8" t="s">
        <v>1080</v>
      </c>
      <c r="D820" s="8" t="s">
        <v>652</v>
      </c>
      <c r="E820" s="8" t="s">
        <v>33</v>
      </c>
      <c r="F820" s="6" t="s">
        <v>39</v>
      </c>
      <c r="G820" s="10">
        <v>1</v>
      </c>
      <c r="H820" s="10">
        <v>1</v>
      </c>
      <c r="I820" s="13">
        <v>9000.0</v>
      </c>
      <c r="J820" s="13"/>
      <c r="K820" s="15">
        <f>IF(I820&gt;0, J820/I820, 0)</f>
        <v>0</v>
      </c>
      <c r="L820" s="13">
        <v>9000.0</v>
      </c>
      <c r="M820" s="13"/>
      <c r="N820" s="13">
        <f>L820-M820</f>
        <v>9000</v>
      </c>
      <c r="O820" s="8" t="s">
        <v>40</v>
      </c>
      <c r="P820" s="8" t="s">
        <v>41</v>
      </c>
      <c r="Q820" s="8" t="s">
        <v>42</v>
      </c>
      <c r="R820" s="6" t="s">
        <v>2100</v>
      </c>
      <c r="S820" s="6" t="s">
        <v>42</v>
      </c>
    </row>
    <row r="821" spans="1:19">
      <c r="A821" s="9">
        <v>814</v>
      </c>
      <c r="B821" s="9" t="s">
        <v>1114</v>
      </c>
      <c r="C821" s="9" t="s">
        <v>1080</v>
      </c>
      <c r="D821" s="9" t="s">
        <v>652</v>
      </c>
      <c r="E821" s="9" t="s">
        <v>33</v>
      </c>
      <c r="F821" s="7" t="s">
        <v>39</v>
      </c>
      <c r="G821" s="11">
        <v>1</v>
      </c>
      <c r="H821" s="11">
        <v>1</v>
      </c>
      <c r="I821" s="14">
        <v>18000.0</v>
      </c>
      <c r="J821" s="14"/>
      <c r="K821" s="16">
        <f>IF(I821&gt;0, J821/I821, 0)</f>
        <v>0</v>
      </c>
      <c r="L821" s="14">
        <v>18000.0</v>
      </c>
      <c r="M821" s="14"/>
      <c r="N821" s="14">
        <f>L821-M821</f>
        <v>18000</v>
      </c>
      <c r="O821" s="9" t="s">
        <v>40</v>
      </c>
      <c r="P821" s="9" t="s">
        <v>41</v>
      </c>
      <c r="Q821" s="9" t="s">
        <v>42</v>
      </c>
      <c r="R821" s="7" t="s">
        <v>2169</v>
      </c>
      <c r="S821" s="7" t="s">
        <v>42</v>
      </c>
    </row>
    <row r="822" spans="1:19">
      <c r="A822" s="8">
        <v>815</v>
      </c>
      <c r="B822" s="8" t="s">
        <v>1115</v>
      </c>
      <c r="C822" s="8" t="s">
        <v>1080</v>
      </c>
      <c r="D822" s="8" t="s">
        <v>652</v>
      </c>
      <c r="E822" s="8" t="s">
        <v>33</v>
      </c>
      <c r="F822" s="6" t="s">
        <v>39</v>
      </c>
      <c r="G822" s="10">
        <v>1</v>
      </c>
      <c r="H822" s="10">
        <v>1</v>
      </c>
      <c r="I822" s="13">
        <v>8000.0</v>
      </c>
      <c r="J822" s="13"/>
      <c r="K822" s="15">
        <f>IF(I822&gt;0, J822/I822, 0)</f>
        <v>0</v>
      </c>
      <c r="L822" s="13">
        <v>8000.0</v>
      </c>
      <c r="M822" s="13"/>
      <c r="N822" s="13">
        <f>L822-M822</f>
        <v>8000</v>
      </c>
      <c r="O822" s="8" t="s">
        <v>40</v>
      </c>
      <c r="P822" s="8" t="s">
        <v>41</v>
      </c>
      <c r="Q822" s="8" t="s">
        <v>42</v>
      </c>
      <c r="R822" s="6" t="s">
        <v>2082</v>
      </c>
      <c r="S822" s="6" t="s">
        <v>42</v>
      </c>
    </row>
    <row r="823" spans="1:19">
      <c r="A823" s="9">
        <v>816</v>
      </c>
      <c r="B823" s="9" t="s">
        <v>1116</v>
      </c>
      <c r="C823" s="9" t="s">
        <v>1080</v>
      </c>
      <c r="D823" s="9" t="s">
        <v>652</v>
      </c>
      <c r="E823" s="9" t="s">
        <v>68</v>
      </c>
      <c r="F823" s="7" t="s">
        <v>39</v>
      </c>
      <c r="G823" s="11">
        <v>1</v>
      </c>
      <c r="H823" s="11">
        <v>1</v>
      </c>
      <c r="I823" s="14">
        <v>10000.0</v>
      </c>
      <c r="J823" s="14"/>
      <c r="K823" s="16">
        <f>IF(I823&gt;0, J823/I823, 0)</f>
        <v>0</v>
      </c>
      <c r="L823" s="14">
        <v>10000.0</v>
      </c>
      <c r="M823" s="14"/>
      <c r="N823" s="14">
        <f>L823-M823</f>
        <v>10000</v>
      </c>
      <c r="O823" s="9" t="s">
        <v>40</v>
      </c>
      <c r="P823" s="9" t="s">
        <v>71</v>
      </c>
      <c r="Q823" s="9" t="s">
        <v>42</v>
      </c>
      <c r="R823" s="7" t="s">
        <v>2074</v>
      </c>
      <c r="S823" s="7" t="s">
        <v>42</v>
      </c>
    </row>
    <row r="824" spans="1:19">
      <c r="A824" s="8">
        <v>817</v>
      </c>
      <c r="B824" s="8" t="s">
        <v>1117</v>
      </c>
      <c r="C824" s="8" t="s">
        <v>1080</v>
      </c>
      <c r="D824" s="8" t="s">
        <v>652</v>
      </c>
      <c r="E824" s="8" t="s">
        <v>68</v>
      </c>
      <c r="F824" s="6" t="s">
        <v>39</v>
      </c>
      <c r="G824" s="10">
        <v>1</v>
      </c>
      <c r="H824" s="10">
        <v>1</v>
      </c>
      <c r="I824" s="13">
        <v>18000.0</v>
      </c>
      <c r="J824" s="13"/>
      <c r="K824" s="15">
        <f>IF(I824&gt;0, J824/I824, 0)</f>
        <v>0</v>
      </c>
      <c r="L824" s="13">
        <v>18000.0</v>
      </c>
      <c r="M824" s="13"/>
      <c r="N824" s="13">
        <f>L824-M824</f>
        <v>18000</v>
      </c>
      <c r="O824" s="8" t="s">
        <v>40</v>
      </c>
      <c r="P824" s="8" t="s">
        <v>71</v>
      </c>
      <c r="Q824" s="8" t="s">
        <v>42</v>
      </c>
      <c r="R824" s="6" t="s">
        <v>2093</v>
      </c>
      <c r="S824" s="6" t="s">
        <v>42</v>
      </c>
    </row>
    <row r="825" spans="1:19">
      <c r="A825" s="9">
        <v>818</v>
      </c>
      <c r="B825" s="9" t="s">
        <v>1118</v>
      </c>
      <c r="C825" s="9" t="s">
        <v>1080</v>
      </c>
      <c r="D825" s="9" t="s">
        <v>652</v>
      </c>
      <c r="E825" s="9" t="s">
        <v>33</v>
      </c>
      <c r="F825" s="7" t="s">
        <v>39</v>
      </c>
      <c r="G825" s="11">
        <v>1</v>
      </c>
      <c r="H825" s="11">
        <v>1</v>
      </c>
      <c r="I825" s="14">
        <v>7500.0</v>
      </c>
      <c r="J825" s="14"/>
      <c r="K825" s="16">
        <f>IF(I825&gt;0, J825/I825, 0)</f>
        <v>0</v>
      </c>
      <c r="L825" s="14">
        <v>7500.0</v>
      </c>
      <c r="M825" s="14"/>
      <c r="N825" s="14">
        <f>L825-M825</f>
        <v>7500</v>
      </c>
      <c r="O825" s="9" t="s">
        <v>40</v>
      </c>
      <c r="P825" s="9" t="s">
        <v>41</v>
      </c>
      <c r="Q825" s="9" t="s">
        <v>42</v>
      </c>
      <c r="R825" s="7" t="s">
        <v>2154</v>
      </c>
      <c r="S825" s="7" t="s">
        <v>42</v>
      </c>
    </row>
    <row r="826" spans="1:19">
      <c r="A826" s="8">
        <v>819</v>
      </c>
      <c r="B826" s="8" t="s">
        <v>1119</v>
      </c>
      <c r="C826" s="8" t="s">
        <v>1080</v>
      </c>
      <c r="D826" s="8" t="s">
        <v>652</v>
      </c>
      <c r="E826" s="8" t="s">
        <v>33</v>
      </c>
      <c r="F826" s="6" t="s">
        <v>39</v>
      </c>
      <c r="G826" s="10">
        <v>1</v>
      </c>
      <c r="H826" s="10">
        <v>1</v>
      </c>
      <c r="I826" s="13">
        <v>8000.0</v>
      </c>
      <c r="J826" s="13"/>
      <c r="K826" s="15">
        <f>IF(I826&gt;0, J826/I826, 0)</f>
        <v>0</v>
      </c>
      <c r="L826" s="13">
        <v>8000.0</v>
      </c>
      <c r="M826" s="13"/>
      <c r="N826" s="13">
        <f>L826-M826</f>
        <v>8000</v>
      </c>
      <c r="O826" s="8" t="s">
        <v>40</v>
      </c>
      <c r="P826" s="8" t="s">
        <v>41</v>
      </c>
      <c r="Q826" s="8" t="s">
        <v>42</v>
      </c>
      <c r="R826" s="6" t="s">
        <v>2082</v>
      </c>
      <c r="S826" s="6" t="s">
        <v>42</v>
      </c>
    </row>
    <row r="827" spans="1:19">
      <c r="A827" s="9">
        <v>820</v>
      </c>
      <c r="B827" s="9" t="s">
        <v>1120</v>
      </c>
      <c r="C827" s="9" t="s">
        <v>1080</v>
      </c>
      <c r="D827" s="9" t="s">
        <v>652</v>
      </c>
      <c r="E827" s="9" t="s">
        <v>68</v>
      </c>
      <c r="F827" s="7" t="s">
        <v>39</v>
      </c>
      <c r="G827" s="11">
        <v>1</v>
      </c>
      <c r="H827" s="11">
        <v>1</v>
      </c>
      <c r="I827" s="14">
        <v>10000.0</v>
      </c>
      <c r="J827" s="14"/>
      <c r="K827" s="16">
        <f>IF(I827&gt;0, J827/I827, 0)</f>
        <v>0</v>
      </c>
      <c r="L827" s="14">
        <v>10000.0</v>
      </c>
      <c r="M827" s="14"/>
      <c r="N827" s="14">
        <f>L827-M827</f>
        <v>10000</v>
      </c>
      <c r="O827" s="9" t="s">
        <v>40</v>
      </c>
      <c r="P827" s="9" t="s">
        <v>71</v>
      </c>
      <c r="Q827" s="9" t="s">
        <v>42</v>
      </c>
      <c r="R827" s="7" t="s">
        <v>2130</v>
      </c>
      <c r="S827" s="7" t="s">
        <v>42</v>
      </c>
    </row>
    <row r="828" spans="1:19">
      <c r="A828" s="8">
        <v>821</v>
      </c>
      <c r="B828" s="8" t="s">
        <v>1121</v>
      </c>
      <c r="C828" s="8" t="s">
        <v>1080</v>
      </c>
      <c r="D828" s="8" t="s">
        <v>652</v>
      </c>
      <c r="E828" s="8" t="s">
        <v>68</v>
      </c>
      <c r="F828" s="6" t="s">
        <v>39</v>
      </c>
      <c r="G828" s="10">
        <v>1</v>
      </c>
      <c r="H828" s="10">
        <v>1</v>
      </c>
      <c r="I828" s="13">
        <v>8000.0</v>
      </c>
      <c r="J828" s="13"/>
      <c r="K828" s="15">
        <f>IF(I828&gt;0, J828/I828, 0)</f>
        <v>0</v>
      </c>
      <c r="L828" s="13">
        <v>8000.0</v>
      </c>
      <c r="M828" s="13"/>
      <c r="N828" s="13">
        <f>L828-M828</f>
        <v>8000</v>
      </c>
      <c r="O828" s="8" t="s">
        <v>40</v>
      </c>
      <c r="P828" s="8" t="s">
        <v>71</v>
      </c>
      <c r="Q828" s="8" t="s">
        <v>42</v>
      </c>
      <c r="R828" s="6" t="s">
        <v>2194</v>
      </c>
      <c r="S828" s="6" t="s">
        <v>42</v>
      </c>
    </row>
    <row r="829" spans="1:19">
      <c r="A829" s="9">
        <v>822</v>
      </c>
      <c r="B829" s="9" t="s">
        <v>1122</v>
      </c>
      <c r="C829" s="9" t="s">
        <v>1080</v>
      </c>
      <c r="D829" s="9" t="s">
        <v>652</v>
      </c>
      <c r="E829" s="9" t="s">
        <v>33</v>
      </c>
      <c r="F829" s="7" t="s">
        <v>39</v>
      </c>
      <c r="G829" s="11">
        <v>1</v>
      </c>
      <c r="H829" s="11">
        <v>1</v>
      </c>
      <c r="I829" s="14">
        <v>8000.0</v>
      </c>
      <c r="J829" s="14"/>
      <c r="K829" s="16">
        <f>IF(I829&gt;0, J829/I829, 0)</f>
        <v>0</v>
      </c>
      <c r="L829" s="14">
        <v>8000.0</v>
      </c>
      <c r="M829" s="14"/>
      <c r="N829" s="14">
        <f>L829-M829</f>
        <v>8000</v>
      </c>
      <c r="O829" s="9" t="s">
        <v>40</v>
      </c>
      <c r="P829" s="9" t="s">
        <v>41</v>
      </c>
      <c r="Q829" s="9" t="s">
        <v>42</v>
      </c>
      <c r="R829" s="7" t="s">
        <v>2163</v>
      </c>
      <c r="S829" s="7" t="s">
        <v>42</v>
      </c>
    </row>
    <row r="830" spans="1:19">
      <c r="A830" s="8">
        <v>823</v>
      </c>
      <c r="B830" s="8" t="s">
        <v>1123</v>
      </c>
      <c r="C830" s="8" t="s">
        <v>1080</v>
      </c>
      <c r="D830" s="8" t="s">
        <v>652</v>
      </c>
      <c r="E830" s="8" t="s">
        <v>33</v>
      </c>
      <c r="F830" s="6" t="s">
        <v>39</v>
      </c>
      <c r="G830" s="10">
        <v>1</v>
      </c>
      <c r="H830" s="10">
        <v>1</v>
      </c>
      <c r="I830" s="13">
        <v>16000.0</v>
      </c>
      <c r="J830" s="13"/>
      <c r="K830" s="15">
        <f>IF(I830&gt;0, J830/I830, 0)</f>
        <v>0</v>
      </c>
      <c r="L830" s="13">
        <v>16000.0</v>
      </c>
      <c r="M830" s="13"/>
      <c r="N830" s="13">
        <f>L830-M830</f>
        <v>16000</v>
      </c>
      <c r="O830" s="8" t="s">
        <v>40</v>
      </c>
      <c r="P830" s="8" t="s">
        <v>41</v>
      </c>
      <c r="Q830" s="8" t="s">
        <v>42</v>
      </c>
      <c r="R830" s="6" t="s">
        <v>2132</v>
      </c>
      <c r="S830" s="6" t="s">
        <v>42</v>
      </c>
    </row>
    <row r="831" spans="1:19">
      <c r="A831" s="9">
        <v>824</v>
      </c>
      <c r="B831" s="9" t="s">
        <v>1124</v>
      </c>
      <c r="C831" s="9" t="s">
        <v>1080</v>
      </c>
      <c r="D831" s="9" t="s">
        <v>652</v>
      </c>
      <c r="E831" s="9" t="s">
        <v>33</v>
      </c>
      <c r="F831" s="7" t="s">
        <v>39</v>
      </c>
      <c r="G831" s="11">
        <v>1</v>
      </c>
      <c r="H831" s="11">
        <v>2</v>
      </c>
      <c r="I831" s="14">
        <v>14000.0</v>
      </c>
      <c r="J831" s="14"/>
      <c r="K831" s="16">
        <f>IF(I831&gt;0, J831/I831, 0)</f>
        <v>0</v>
      </c>
      <c r="L831" s="14">
        <v>14000.0</v>
      </c>
      <c r="M831" s="14"/>
      <c r="N831" s="14">
        <f>L831-M831</f>
        <v>14000</v>
      </c>
      <c r="O831" s="9" t="s">
        <v>40</v>
      </c>
      <c r="P831" s="9" t="s">
        <v>41</v>
      </c>
      <c r="Q831" s="9" t="s">
        <v>42</v>
      </c>
      <c r="R831" s="7" t="s">
        <v>2192</v>
      </c>
      <c r="S831" s="7" t="s">
        <v>42</v>
      </c>
    </row>
    <row r="832" spans="1:19">
      <c r="A832" s="8">
        <v>825</v>
      </c>
      <c r="B832" s="8" t="s">
        <v>1125</v>
      </c>
      <c r="C832" s="8" t="s">
        <v>1080</v>
      </c>
      <c r="D832" s="8" t="s">
        <v>652</v>
      </c>
      <c r="E832" s="8" t="s">
        <v>33</v>
      </c>
      <c r="F832" s="6" t="s">
        <v>39</v>
      </c>
      <c r="G832" s="10">
        <v>1</v>
      </c>
      <c r="H832" s="10">
        <v>1</v>
      </c>
      <c r="I832" s="13">
        <v>16000.0</v>
      </c>
      <c r="J832" s="13"/>
      <c r="K832" s="15">
        <f>IF(I832&gt;0, J832/I832, 0)</f>
        <v>0</v>
      </c>
      <c r="L832" s="13">
        <v>16000.0</v>
      </c>
      <c r="M832" s="13"/>
      <c r="N832" s="13">
        <f>L832-M832</f>
        <v>16000</v>
      </c>
      <c r="O832" s="8" t="s">
        <v>40</v>
      </c>
      <c r="P832" s="8" t="s">
        <v>41</v>
      </c>
      <c r="Q832" s="8" t="s">
        <v>42</v>
      </c>
      <c r="R832" s="6" t="s">
        <v>2094</v>
      </c>
      <c r="S832" s="6" t="s">
        <v>42</v>
      </c>
    </row>
    <row r="833" spans="1:19">
      <c r="A833" s="9">
        <v>826</v>
      </c>
      <c r="B833" s="9" t="s">
        <v>1126</v>
      </c>
      <c r="C833" s="9" t="s">
        <v>1080</v>
      </c>
      <c r="D833" s="9" t="s">
        <v>652</v>
      </c>
      <c r="E833" s="9" t="s">
        <v>33</v>
      </c>
      <c r="F833" s="7" t="s">
        <v>39</v>
      </c>
      <c r="G833" s="11">
        <v>1</v>
      </c>
      <c r="H833" s="11">
        <v>1</v>
      </c>
      <c r="I833" s="14">
        <v>16000.0</v>
      </c>
      <c r="J833" s="14"/>
      <c r="K833" s="16">
        <f>IF(I833&gt;0, J833/I833, 0)</f>
        <v>0</v>
      </c>
      <c r="L833" s="14">
        <v>16000.0</v>
      </c>
      <c r="M833" s="14"/>
      <c r="N833" s="14">
        <f>L833-M833</f>
        <v>16000</v>
      </c>
      <c r="O833" s="9" t="s">
        <v>40</v>
      </c>
      <c r="P833" s="9" t="s">
        <v>41</v>
      </c>
      <c r="Q833" s="9" t="s">
        <v>42</v>
      </c>
      <c r="R833" s="7" t="s">
        <v>2126</v>
      </c>
      <c r="S833" s="7" t="s">
        <v>42</v>
      </c>
    </row>
    <row r="834" spans="1:19">
      <c r="A834" s="8">
        <v>827</v>
      </c>
      <c r="B834" s="8" t="s">
        <v>1127</v>
      </c>
      <c r="C834" s="8" t="s">
        <v>1080</v>
      </c>
      <c r="D834" s="8" t="s">
        <v>652</v>
      </c>
      <c r="E834" s="8" t="s">
        <v>33</v>
      </c>
      <c r="F834" s="6" t="s">
        <v>39</v>
      </c>
      <c r="G834" s="10">
        <v>1</v>
      </c>
      <c r="H834" s="10">
        <v>1</v>
      </c>
      <c r="I834" s="13">
        <v>7000.0</v>
      </c>
      <c r="J834" s="13"/>
      <c r="K834" s="15">
        <f>IF(I834&gt;0, J834/I834, 0)</f>
        <v>0</v>
      </c>
      <c r="L834" s="13">
        <v>7000.0</v>
      </c>
      <c r="M834" s="13"/>
      <c r="N834" s="13">
        <f>L834-M834</f>
        <v>7000</v>
      </c>
      <c r="O834" s="8" t="s">
        <v>40</v>
      </c>
      <c r="P834" s="8" t="s">
        <v>41</v>
      </c>
      <c r="Q834" s="8" t="s">
        <v>42</v>
      </c>
      <c r="R834" s="6" t="s">
        <v>2109</v>
      </c>
      <c r="S834" s="6" t="s">
        <v>42</v>
      </c>
    </row>
    <row r="835" spans="1:19">
      <c r="A835" s="9">
        <v>828</v>
      </c>
      <c r="B835" s="9" t="s">
        <v>1128</v>
      </c>
      <c r="C835" s="9" t="s">
        <v>1080</v>
      </c>
      <c r="D835" s="9" t="s">
        <v>652</v>
      </c>
      <c r="E835" s="9" t="s">
        <v>33</v>
      </c>
      <c r="F835" s="7" t="s">
        <v>39</v>
      </c>
      <c r="G835" s="11">
        <v>1</v>
      </c>
      <c r="H835" s="11">
        <v>1</v>
      </c>
      <c r="I835" s="14">
        <v>7000.0</v>
      </c>
      <c r="J835" s="14"/>
      <c r="K835" s="16">
        <f>IF(I835&gt;0, J835/I835, 0)</f>
        <v>0</v>
      </c>
      <c r="L835" s="14">
        <v>7000.0</v>
      </c>
      <c r="M835" s="14"/>
      <c r="N835" s="14">
        <f>L835-M835</f>
        <v>7000</v>
      </c>
      <c r="O835" s="9" t="s">
        <v>40</v>
      </c>
      <c r="P835" s="9" t="s">
        <v>41</v>
      </c>
      <c r="Q835" s="9" t="s">
        <v>42</v>
      </c>
      <c r="R835" s="7" t="s">
        <v>2142</v>
      </c>
      <c r="S835" s="7" t="s">
        <v>42</v>
      </c>
    </row>
    <row r="836" spans="1:19">
      <c r="A836" s="8">
        <v>829</v>
      </c>
      <c r="B836" s="8" t="s">
        <v>1129</v>
      </c>
      <c r="C836" s="8" t="s">
        <v>1080</v>
      </c>
      <c r="D836" s="8" t="s">
        <v>652</v>
      </c>
      <c r="E836" s="8" t="s">
        <v>33</v>
      </c>
      <c r="F836" s="6" t="s">
        <v>39</v>
      </c>
      <c r="G836" s="10">
        <v>1</v>
      </c>
      <c r="H836" s="10">
        <v>1</v>
      </c>
      <c r="I836" s="13">
        <v>9000.0</v>
      </c>
      <c r="J836" s="13"/>
      <c r="K836" s="15">
        <f>IF(I836&gt;0, J836/I836, 0)</f>
        <v>0</v>
      </c>
      <c r="L836" s="13">
        <v>9000.0</v>
      </c>
      <c r="M836" s="13"/>
      <c r="N836" s="13">
        <f>L836-M836</f>
        <v>9000</v>
      </c>
      <c r="O836" s="8" t="s">
        <v>40</v>
      </c>
      <c r="P836" s="8" t="s">
        <v>41</v>
      </c>
      <c r="Q836" s="8" t="s">
        <v>42</v>
      </c>
      <c r="R836" s="6" t="s">
        <v>2163</v>
      </c>
      <c r="S836" s="6" t="s">
        <v>42</v>
      </c>
    </row>
    <row r="837" spans="1:19">
      <c r="A837" s="9">
        <v>830</v>
      </c>
      <c r="B837" s="9" t="s">
        <v>1130</v>
      </c>
      <c r="C837" s="9" t="s">
        <v>1080</v>
      </c>
      <c r="D837" s="9" t="s">
        <v>652</v>
      </c>
      <c r="E837" s="9" t="s">
        <v>33</v>
      </c>
      <c r="F837" s="7" t="s">
        <v>39</v>
      </c>
      <c r="G837" s="11">
        <v>1</v>
      </c>
      <c r="H837" s="11">
        <v>1</v>
      </c>
      <c r="I837" s="14">
        <v>16000.0</v>
      </c>
      <c r="J837" s="14"/>
      <c r="K837" s="16">
        <f>IF(I837&gt;0, J837/I837, 0)</f>
        <v>0</v>
      </c>
      <c r="L837" s="14">
        <v>16000.0</v>
      </c>
      <c r="M837" s="14"/>
      <c r="N837" s="14">
        <f>L837-M837</f>
        <v>16000</v>
      </c>
      <c r="O837" s="9" t="s">
        <v>40</v>
      </c>
      <c r="P837" s="9" t="s">
        <v>41</v>
      </c>
      <c r="Q837" s="9" t="s">
        <v>42</v>
      </c>
      <c r="R837" s="7" t="s">
        <v>2144</v>
      </c>
      <c r="S837" s="7" t="s">
        <v>42</v>
      </c>
    </row>
    <row r="838" spans="1:19">
      <c r="A838" s="8">
        <v>831</v>
      </c>
      <c r="B838" s="8" t="s">
        <v>1131</v>
      </c>
      <c r="C838" s="8" t="s">
        <v>1080</v>
      </c>
      <c r="D838" s="8" t="s">
        <v>652</v>
      </c>
      <c r="E838" s="8" t="s">
        <v>33</v>
      </c>
      <c r="F838" s="6" t="s">
        <v>39</v>
      </c>
      <c r="G838" s="10">
        <v>1</v>
      </c>
      <c r="H838" s="10">
        <v>2</v>
      </c>
      <c r="I838" s="13">
        <v>16000.0</v>
      </c>
      <c r="J838" s="13"/>
      <c r="K838" s="15">
        <f>IF(I838&gt;0, J838/I838, 0)</f>
        <v>0</v>
      </c>
      <c r="L838" s="13">
        <v>16000.0</v>
      </c>
      <c r="M838" s="13"/>
      <c r="N838" s="13">
        <f>L838-M838</f>
        <v>16000</v>
      </c>
      <c r="O838" s="8" t="s">
        <v>40</v>
      </c>
      <c r="P838" s="8" t="s">
        <v>41</v>
      </c>
      <c r="Q838" s="8" t="s">
        <v>42</v>
      </c>
      <c r="R838" s="6" t="s">
        <v>2192</v>
      </c>
      <c r="S838" s="6" t="s">
        <v>42</v>
      </c>
    </row>
    <row r="839" spans="1:19">
      <c r="A839" s="9">
        <v>832</v>
      </c>
      <c r="B839" s="9" t="s">
        <v>1132</v>
      </c>
      <c r="C839" s="9" t="s">
        <v>1080</v>
      </c>
      <c r="D839" s="9" t="s">
        <v>652</v>
      </c>
      <c r="E839" s="9" t="s">
        <v>33</v>
      </c>
      <c r="F839" s="7" t="s">
        <v>39</v>
      </c>
      <c r="G839" s="11">
        <v>1</v>
      </c>
      <c r="H839" s="11">
        <v>1</v>
      </c>
      <c r="I839" s="14">
        <v>9000.0</v>
      </c>
      <c r="J839" s="14"/>
      <c r="K839" s="16">
        <f>IF(I839&gt;0, J839/I839, 0)</f>
        <v>0</v>
      </c>
      <c r="L839" s="14">
        <v>9000.0</v>
      </c>
      <c r="M839" s="14"/>
      <c r="N839" s="14">
        <f>L839-M839</f>
        <v>9000</v>
      </c>
      <c r="O839" s="9" t="s">
        <v>40</v>
      </c>
      <c r="P839" s="9" t="s">
        <v>41</v>
      </c>
      <c r="Q839" s="9" t="s">
        <v>42</v>
      </c>
      <c r="R839" s="7" t="s">
        <v>2137</v>
      </c>
      <c r="S839" s="7" t="s">
        <v>42</v>
      </c>
    </row>
    <row r="840" spans="1:19">
      <c r="A840" s="8">
        <v>833</v>
      </c>
      <c r="B840" s="8" t="s">
        <v>1133</v>
      </c>
      <c r="C840" s="8" t="s">
        <v>1080</v>
      </c>
      <c r="D840" s="8" t="s">
        <v>652</v>
      </c>
      <c r="E840" s="8" t="s">
        <v>33</v>
      </c>
      <c r="F840" s="6" t="s">
        <v>39</v>
      </c>
      <c r="G840" s="10">
        <v>1</v>
      </c>
      <c r="H840" s="10">
        <v>1</v>
      </c>
      <c r="I840" s="13">
        <v>16000.0</v>
      </c>
      <c r="J840" s="13"/>
      <c r="K840" s="15">
        <f>IF(I840&gt;0, J840/I840, 0)</f>
        <v>0</v>
      </c>
      <c r="L840" s="13">
        <v>16000.0</v>
      </c>
      <c r="M840" s="13"/>
      <c r="N840" s="13">
        <f>L840-M840</f>
        <v>16000</v>
      </c>
      <c r="O840" s="8" t="s">
        <v>40</v>
      </c>
      <c r="P840" s="8" t="s">
        <v>41</v>
      </c>
      <c r="Q840" s="8" t="s">
        <v>42</v>
      </c>
      <c r="R840" s="6" t="s">
        <v>2094</v>
      </c>
      <c r="S840" s="6" t="s">
        <v>42</v>
      </c>
    </row>
    <row r="841" spans="1:19">
      <c r="A841" s="9">
        <v>834</v>
      </c>
      <c r="B841" s="9" t="s">
        <v>1134</v>
      </c>
      <c r="C841" s="9" t="s">
        <v>1080</v>
      </c>
      <c r="D841" s="9" t="s">
        <v>652</v>
      </c>
      <c r="E841" s="9" t="s">
        <v>33</v>
      </c>
      <c r="F841" s="7" t="s">
        <v>39</v>
      </c>
      <c r="G841" s="11">
        <v>1</v>
      </c>
      <c r="H841" s="11">
        <v>1</v>
      </c>
      <c r="I841" s="14">
        <v>8000.0</v>
      </c>
      <c r="J841" s="14"/>
      <c r="K841" s="16">
        <f>IF(I841&gt;0, J841/I841, 0)</f>
        <v>0</v>
      </c>
      <c r="L841" s="14">
        <v>8000.0</v>
      </c>
      <c r="M841" s="14"/>
      <c r="N841" s="14">
        <f>L841-M841</f>
        <v>8000</v>
      </c>
      <c r="O841" s="9" t="s">
        <v>40</v>
      </c>
      <c r="P841" s="9" t="s">
        <v>41</v>
      </c>
      <c r="Q841" s="9" t="s">
        <v>42</v>
      </c>
      <c r="R841" s="7" t="s">
        <v>2084</v>
      </c>
      <c r="S841" s="7" t="s">
        <v>42</v>
      </c>
    </row>
    <row r="842" spans="1:19">
      <c r="A842" s="8">
        <v>835</v>
      </c>
      <c r="B842" s="8" t="s">
        <v>1135</v>
      </c>
      <c r="C842" s="8" t="s">
        <v>1080</v>
      </c>
      <c r="D842" s="8" t="s">
        <v>652</v>
      </c>
      <c r="E842" s="8" t="s">
        <v>33</v>
      </c>
      <c r="F842" s="6" t="s">
        <v>39</v>
      </c>
      <c r="G842" s="10">
        <v>1</v>
      </c>
      <c r="H842" s="10">
        <v>1</v>
      </c>
      <c r="I842" s="13">
        <v>7000.0</v>
      </c>
      <c r="J842" s="13"/>
      <c r="K842" s="15">
        <f>IF(I842&gt;0, J842/I842, 0)</f>
        <v>0</v>
      </c>
      <c r="L842" s="13">
        <v>7000.0</v>
      </c>
      <c r="M842" s="13"/>
      <c r="N842" s="13">
        <f>L842-M842</f>
        <v>7000</v>
      </c>
      <c r="O842" s="8" t="s">
        <v>40</v>
      </c>
      <c r="P842" s="8" t="s">
        <v>41</v>
      </c>
      <c r="Q842" s="8" t="s">
        <v>42</v>
      </c>
      <c r="R842" s="6" t="s">
        <v>2092</v>
      </c>
      <c r="S842" s="6" t="s">
        <v>42</v>
      </c>
    </row>
    <row r="843" spans="1:19">
      <c r="A843" s="9">
        <v>836</v>
      </c>
      <c r="B843" s="9" t="s">
        <v>1136</v>
      </c>
      <c r="C843" s="9" t="s">
        <v>1080</v>
      </c>
      <c r="D843" s="9" t="s">
        <v>652</v>
      </c>
      <c r="E843" s="9" t="s">
        <v>68</v>
      </c>
      <c r="F843" s="7" t="s">
        <v>39</v>
      </c>
      <c r="G843" s="11">
        <v>1</v>
      </c>
      <c r="H843" s="11">
        <v>1</v>
      </c>
      <c r="I843" s="14">
        <v>10000.0</v>
      </c>
      <c r="J843" s="14"/>
      <c r="K843" s="16">
        <f>IF(I843&gt;0, J843/I843, 0)</f>
        <v>0</v>
      </c>
      <c r="L843" s="14">
        <v>10000.0</v>
      </c>
      <c r="M843" s="14"/>
      <c r="N843" s="14">
        <f>L843-M843</f>
        <v>10000</v>
      </c>
      <c r="O843" s="9" t="s">
        <v>40</v>
      </c>
      <c r="P843" s="9" t="s">
        <v>71</v>
      </c>
      <c r="Q843" s="9" t="s">
        <v>42</v>
      </c>
      <c r="R843" s="7" t="s">
        <v>2076</v>
      </c>
      <c r="S843" s="7" t="s">
        <v>42</v>
      </c>
    </row>
    <row r="844" spans="1:19">
      <c r="A844" s="8">
        <v>837</v>
      </c>
      <c r="B844" s="8" t="s">
        <v>1138</v>
      </c>
      <c r="C844" s="8" t="s">
        <v>1080</v>
      </c>
      <c r="D844" s="8" t="s">
        <v>652</v>
      </c>
      <c r="E844" s="8" t="s">
        <v>68</v>
      </c>
      <c r="F844" s="6" t="s">
        <v>39</v>
      </c>
      <c r="G844" s="10">
        <v>1</v>
      </c>
      <c r="H844" s="10">
        <v>1</v>
      </c>
      <c r="I844" s="13">
        <v>18000.0</v>
      </c>
      <c r="J844" s="13"/>
      <c r="K844" s="15">
        <f>IF(I844&gt;0, J844/I844, 0)</f>
        <v>0</v>
      </c>
      <c r="L844" s="13">
        <v>18000.0</v>
      </c>
      <c r="M844" s="13"/>
      <c r="N844" s="13">
        <f>L844-M844</f>
        <v>18000</v>
      </c>
      <c r="O844" s="8" t="s">
        <v>40</v>
      </c>
      <c r="P844" s="8" t="s">
        <v>71</v>
      </c>
      <c r="Q844" s="8" t="s">
        <v>42</v>
      </c>
      <c r="R844" s="6" t="s">
        <v>2118</v>
      </c>
      <c r="S844" s="6" t="s">
        <v>42</v>
      </c>
    </row>
    <row r="845" spans="1:19">
      <c r="A845" s="9">
        <v>838</v>
      </c>
      <c r="B845" s="9" t="s">
        <v>1139</v>
      </c>
      <c r="C845" s="9" t="s">
        <v>1080</v>
      </c>
      <c r="D845" s="9" t="s">
        <v>652</v>
      </c>
      <c r="E845" s="9" t="s">
        <v>33</v>
      </c>
      <c r="F845" s="7" t="s">
        <v>39</v>
      </c>
      <c r="G845" s="11">
        <v>1</v>
      </c>
      <c r="H845" s="11">
        <v>1</v>
      </c>
      <c r="I845" s="14">
        <v>7000.0</v>
      </c>
      <c r="J845" s="14"/>
      <c r="K845" s="16">
        <f>IF(I845&gt;0, J845/I845, 0)</f>
        <v>0</v>
      </c>
      <c r="L845" s="14">
        <v>7000.0</v>
      </c>
      <c r="M845" s="14"/>
      <c r="N845" s="14">
        <f>L845-M845</f>
        <v>7000</v>
      </c>
      <c r="O845" s="9" t="s">
        <v>40</v>
      </c>
      <c r="P845" s="9" t="s">
        <v>41</v>
      </c>
      <c r="Q845" s="9" t="s">
        <v>42</v>
      </c>
      <c r="R845" s="7" t="s">
        <v>2107</v>
      </c>
      <c r="S845" s="7" t="s">
        <v>42</v>
      </c>
    </row>
    <row r="846" spans="1:19">
      <c r="A846" s="8">
        <v>839</v>
      </c>
      <c r="B846" s="8" t="s">
        <v>1140</v>
      </c>
      <c r="C846" s="8" t="s">
        <v>1080</v>
      </c>
      <c r="D846" s="8" t="s">
        <v>652</v>
      </c>
      <c r="E846" s="8" t="s">
        <v>33</v>
      </c>
      <c r="F846" s="6" t="s">
        <v>39</v>
      </c>
      <c r="G846" s="10">
        <v>1</v>
      </c>
      <c r="H846" s="10">
        <v>1</v>
      </c>
      <c r="I846" s="13">
        <v>8000.0</v>
      </c>
      <c r="J846" s="13"/>
      <c r="K846" s="15">
        <f>IF(I846&gt;0, J846/I846, 0)</f>
        <v>0</v>
      </c>
      <c r="L846" s="13">
        <v>8000.0</v>
      </c>
      <c r="M846" s="13"/>
      <c r="N846" s="13">
        <f>L846-M846</f>
        <v>8000</v>
      </c>
      <c r="O846" s="8" t="s">
        <v>40</v>
      </c>
      <c r="P846" s="8" t="s">
        <v>41</v>
      </c>
      <c r="Q846" s="8" t="s">
        <v>42</v>
      </c>
      <c r="R846" s="6" t="s">
        <v>2163</v>
      </c>
      <c r="S846" s="6" t="s">
        <v>42</v>
      </c>
    </row>
    <row r="847" spans="1:19">
      <c r="A847" s="9">
        <v>840</v>
      </c>
      <c r="B847" s="9" t="s">
        <v>1141</v>
      </c>
      <c r="C847" s="9" t="s">
        <v>1080</v>
      </c>
      <c r="D847" s="9" t="s">
        <v>652</v>
      </c>
      <c r="E847" s="9" t="s">
        <v>33</v>
      </c>
      <c r="F847" s="7" t="s">
        <v>39</v>
      </c>
      <c r="G847" s="11">
        <v>1</v>
      </c>
      <c r="H847" s="11">
        <v>1</v>
      </c>
      <c r="I847" s="14">
        <v>7000.0</v>
      </c>
      <c r="J847" s="14"/>
      <c r="K847" s="16">
        <f>IF(I847&gt;0, J847/I847, 0)</f>
        <v>0</v>
      </c>
      <c r="L847" s="14">
        <v>7000.0</v>
      </c>
      <c r="M847" s="14"/>
      <c r="N847" s="14">
        <f>L847-M847</f>
        <v>7000</v>
      </c>
      <c r="O847" s="9" t="s">
        <v>40</v>
      </c>
      <c r="P847" s="9" t="s">
        <v>41</v>
      </c>
      <c r="Q847" s="9" t="s">
        <v>42</v>
      </c>
      <c r="R847" s="7" t="s">
        <v>2131</v>
      </c>
      <c r="S847" s="7" t="s">
        <v>42</v>
      </c>
    </row>
    <row r="848" spans="1:19">
      <c r="A848" s="8">
        <v>841</v>
      </c>
      <c r="B848" s="8" t="s">
        <v>1142</v>
      </c>
      <c r="C848" s="8" t="s">
        <v>1080</v>
      </c>
      <c r="D848" s="8" t="s">
        <v>652</v>
      </c>
      <c r="E848" s="8" t="s">
        <v>33</v>
      </c>
      <c r="F848" s="6" t="s">
        <v>39</v>
      </c>
      <c r="G848" s="10">
        <v>1</v>
      </c>
      <c r="H848" s="10">
        <v>1</v>
      </c>
      <c r="I848" s="13">
        <v>7000.0</v>
      </c>
      <c r="J848" s="13"/>
      <c r="K848" s="15">
        <f>IF(I848&gt;0, J848/I848, 0)</f>
        <v>0</v>
      </c>
      <c r="L848" s="13">
        <v>7000.0</v>
      </c>
      <c r="M848" s="13"/>
      <c r="N848" s="13">
        <f>L848-M848</f>
        <v>7000</v>
      </c>
      <c r="O848" s="8" t="s">
        <v>40</v>
      </c>
      <c r="P848" s="8" t="s">
        <v>41</v>
      </c>
      <c r="Q848" s="8" t="s">
        <v>42</v>
      </c>
      <c r="R848" s="6" t="s">
        <v>2092</v>
      </c>
      <c r="S848" s="6" t="s">
        <v>42</v>
      </c>
    </row>
    <row r="849" spans="1:19">
      <c r="A849" s="9">
        <v>842</v>
      </c>
      <c r="B849" s="9" t="s">
        <v>1143</v>
      </c>
      <c r="C849" s="9" t="s">
        <v>1080</v>
      </c>
      <c r="D849" s="9" t="s">
        <v>652</v>
      </c>
      <c r="E849" s="9" t="s">
        <v>33</v>
      </c>
      <c r="F849" s="7" t="s">
        <v>39</v>
      </c>
      <c r="G849" s="11">
        <v>1</v>
      </c>
      <c r="H849" s="11">
        <v>1</v>
      </c>
      <c r="I849" s="14">
        <v>8000.0</v>
      </c>
      <c r="J849" s="14"/>
      <c r="K849" s="16">
        <f>IF(I849&gt;0, J849/I849, 0)</f>
        <v>0</v>
      </c>
      <c r="L849" s="14">
        <v>8000.0</v>
      </c>
      <c r="M849" s="14"/>
      <c r="N849" s="14">
        <f>L849-M849</f>
        <v>8000</v>
      </c>
      <c r="O849" s="9" t="s">
        <v>40</v>
      </c>
      <c r="P849" s="9" t="s">
        <v>41</v>
      </c>
      <c r="Q849" s="9" t="s">
        <v>42</v>
      </c>
      <c r="R849" s="7" t="s">
        <v>2231</v>
      </c>
      <c r="S849" s="7" t="s">
        <v>42</v>
      </c>
    </row>
    <row r="850" spans="1:19">
      <c r="A850" s="8">
        <v>843</v>
      </c>
      <c r="B850" s="8" t="s">
        <v>1144</v>
      </c>
      <c r="C850" s="8" t="s">
        <v>1080</v>
      </c>
      <c r="D850" s="8" t="s">
        <v>652</v>
      </c>
      <c r="E850" s="8" t="s">
        <v>33</v>
      </c>
      <c r="F850" s="6" t="s">
        <v>39</v>
      </c>
      <c r="G850" s="10">
        <v>1</v>
      </c>
      <c r="H850" s="10">
        <v>1</v>
      </c>
      <c r="I850" s="13">
        <v>8000.0</v>
      </c>
      <c r="J850" s="13"/>
      <c r="K850" s="15">
        <f>IF(I850&gt;0, J850/I850, 0)</f>
        <v>0</v>
      </c>
      <c r="L850" s="13">
        <v>8000.0</v>
      </c>
      <c r="M850" s="13"/>
      <c r="N850" s="13">
        <f>L850-M850</f>
        <v>8000</v>
      </c>
      <c r="O850" s="8" t="s">
        <v>40</v>
      </c>
      <c r="P850" s="8" t="s">
        <v>41</v>
      </c>
      <c r="Q850" s="8" t="s">
        <v>42</v>
      </c>
      <c r="R850" s="6" t="s">
        <v>2084</v>
      </c>
      <c r="S850" s="6" t="s">
        <v>42</v>
      </c>
    </row>
    <row r="851" spans="1:19">
      <c r="A851" s="9">
        <v>844</v>
      </c>
      <c r="B851" s="9" t="s">
        <v>1145</v>
      </c>
      <c r="C851" s="9" t="s">
        <v>1080</v>
      </c>
      <c r="D851" s="9" t="s">
        <v>652</v>
      </c>
      <c r="E851" s="9" t="s">
        <v>33</v>
      </c>
      <c r="F851" s="7" t="s">
        <v>39</v>
      </c>
      <c r="G851" s="11">
        <v>1</v>
      </c>
      <c r="H851" s="11">
        <v>1</v>
      </c>
      <c r="I851" s="14">
        <v>7000.0</v>
      </c>
      <c r="J851" s="14"/>
      <c r="K851" s="16">
        <f>IF(I851&gt;0, J851/I851, 0)</f>
        <v>0</v>
      </c>
      <c r="L851" s="14">
        <v>7000.0</v>
      </c>
      <c r="M851" s="14"/>
      <c r="N851" s="14">
        <f>L851-M851</f>
        <v>7000</v>
      </c>
      <c r="O851" s="9" t="s">
        <v>40</v>
      </c>
      <c r="P851" s="9" t="s">
        <v>41</v>
      </c>
      <c r="Q851" s="9" t="s">
        <v>42</v>
      </c>
      <c r="R851" s="7" t="s">
        <v>2109</v>
      </c>
      <c r="S851" s="7" t="s">
        <v>42</v>
      </c>
    </row>
    <row r="852" spans="1:19">
      <c r="A852" s="8">
        <v>845</v>
      </c>
      <c r="B852" s="8" t="s">
        <v>1146</v>
      </c>
      <c r="C852" s="8" t="s">
        <v>1080</v>
      </c>
      <c r="D852" s="8" t="s">
        <v>652</v>
      </c>
      <c r="E852" s="8" t="s">
        <v>33</v>
      </c>
      <c r="F852" s="6" t="s">
        <v>39</v>
      </c>
      <c r="G852" s="10">
        <v>1</v>
      </c>
      <c r="H852" s="10">
        <v>1</v>
      </c>
      <c r="I852" s="13">
        <v>18000.0</v>
      </c>
      <c r="J852" s="13"/>
      <c r="K852" s="15">
        <f>IF(I852&gt;0, J852/I852, 0)</f>
        <v>0</v>
      </c>
      <c r="L852" s="13">
        <v>18000.0</v>
      </c>
      <c r="M852" s="13"/>
      <c r="N852" s="13">
        <f>L852-M852</f>
        <v>18000</v>
      </c>
      <c r="O852" s="8" t="s">
        <v>40</v>
      </c>
      <c r="P852" s="8" t="s">
        <v>41</v>
      </c>
      <c r="Q852" s="8" t="s">
        <v>42</v>
      </c>
      <c r="R852" s="6" t="s">
        <v>2120</v>
      </c>
      <c r="S852" s="6" t="s">
        <v>42</v>
      </c>
    </row>
    <row r="853" spans="1:19">
      <c r="A853" s="9">
        <v>846</v>
      </c>
      <c r="B853" s="9" t="s">
        <v>1147</v>
      </c>
      <c r="C853" s="9" t="s">
        <v>1080</v>
      </c>
      <c r="D853" s="9" t="s">
        <v>652</v>
      </c>
      <c r="E853" s="9" t="s">
        <v>33</v>
      </c>
      <c r="F853" s="7" t="s">
        <v>39</v>
      </c>
      <c r="G853" s="11">
        <v>1</v>
      </c>
      <c r="H853" s="11">
        <v>1</v>
      </c>
      <c r="I853" s="14">
        <v>16000.0</v>
      </c>
      <c r="J853" s="14"/>
      <c r="K853" s="16">
        <f>IF(I853&gt;0, J853/I853, 0)</f>
        <v>0</v>
      </c>
      <c r="L853" s="14">
        <v>16000.0</v>
      </c>
      <c r="M853" s="14"/>
      <c r="N853" s="14">
        <f>L853-M853</f>
        <v>16000</v>
      </c>
      <c r="O853" s="9" t="s">
        <v>40</v>
      </c>
      <c r="P853" s="9" t="s">
        <v>41</v>
      </c>
      <c r="Q853" s="9" t="s">
        <v>42</v>
      </c>
      <c r="R853" s="7" t="s">
        <v>2094</v>
      </c>
      <c r="S853" s="7" t="s">
        <v>42</v>
      </c>
    </row>
    <row r="854" spans="1:19">
      <c r="A854" s="8">
        <v>847</v>
      </c>
      <c r="B854" s="8" t="s">
        <v>1148</v>
      </c>
      <c r="C854" s="8" t="s">
        <v>1080</v>
      </c>
      <c r="D854" s="8" t="s">
        <v>652</v>
      </c>
      <c r="E854" s="8" t="s">
        <v>33</v>
      </c>
      <c r="F854" s="6" t="s">
        <v>39</v>
      </c>
      <c r="G854" s="10">
        <v>1</v>
      </c>
      <c r="H854" s="10">
        <v>1</v>
      </c>
      <c r="I854" s="13">
        <v>18000.0</v>
      </c>
      <c r="J854" s="13"/>
      <c r="K854" s="15">
        <f>IF(I854&gt;0, J854/I854, 0)</f>
        <v>0</v>
      </c>
      <c r="L854" s="13">
        <v>18000.0</v>
      </c>
      <c r="M854" s="13"/>
      <c r="N854" s="13">
        <f>L854-M854</f>
        <v>18000</v>
      </c>
      <c r="O854" s="8" t="s">
        <v>40</v>
      </c>
      <c r="P854" s="8" t="s">
        <v>41</v>
      </c>
      <c r="Q854" s="8" t="s">
        <v>42</v>
      </c>
      <c r="R854" s="6" t="s">
        <v>2169</v>
      </c>
      <c r="S854" s="6" t="s">
        <v>42</v>
      </c>
    </row>
    <row r="855" spans="1:19">
      <c r="A855" s="9">
        <v>848</v>
      </c>
      <c r="B855" s="9" t="s">
        <v>1149</v>
      </c>
      <c r="C855" s="9" t="s">
        <v>1080</v>
      </c>
      <c r="D855" s="9" t="s">
        <v>652</v>
      </c>
      <c r="E855" s="9" t="s">
        <v>33</v>
      </c>
      <c r="F855" s="7" t="s">
        <v>39</v>
      </c>
      <c r="G855" s="11">
        <v>1</v>
      </c>
      <c r="H855" s="11">
        <v>4</v>
      </c>
      <c r="I855" s="14">
        <v>32000.0</v>
      </c>
      <c r="J855" s="14"/>
      <c r="K855" s="16">
        <f>IF(I855&gt;0, J855/I855, 0)</f>
        <v>0</v>
      </c>
      <c r="L855" s="14">
        <v>32000.0</v>
      </c>
      <c r="M855" s="14"/>
      <c r="N855" s="14">
        <f>L855-M855</f>
        <v>32000</v>
      </c>
      <c r="O855" s="9" t="s">
        <v>40</v>
      </c>
      <c r="P855" s="9" t="s">
        <v>41</v>
      </c>
      <c r="Q855" s="9" t="s">
        <v>42</v>
      </c>
      <c r="R855" s="7" t="s">
        <v>2230</v>
      </c>
      <c r="S855" s="7" t="s">
        <v>42</v>
      </c>
    </row>
    <row r="856" spans="1:19">
      <c r="A856" s="8">
        <v>849</v>
      </c>
      <c r="B856" s="8" t="s">
        <v>1150</v>
      </c>
      <c r="C856" s="8" t="s">
        <v>1080</v>
      </c>
      <c r="D856" s="8" t="s">
        <v>652</v>
      </c>
      <c r="E856" s="8" t="s">
        <v>33</v>
      </c>
      <c r="F856" s="6" t="s">
        <v>39</v>
      </c>
      <c r="G856" s="10">
        <v>1</v>
      </c>
      <c r="H856" s="10">
        <v>1</v>
      </c>
      <c r="I856" s="13">
        <v>8000.0</v>
      </c>
      <c r="J856" s="13"/>
      <c r="K856" s="15">
        <f>IF(I856&gt;0, J856/I856, 0)</f>
        <v>0</v>
      </c>
      <c r="L856" s="13">
        <v>8000.0</v>
      </c>
      <c r="M856" s="13"/>
      <c r="N856" s="13">
        <f>L856-M856</f>
        <v>8000</v>
      </c>
      <c r="O856" s="8" t="s">
        <v>40</v>
      </c>
      <c r="P856" s="8" t="s">
        <v>41</v>
      </c>
      <c r="Q856" s="8" t="s">
        <v>42</v>
      </c>
      <c r="R856" s="6" t="s">
        <v>2161</v>
      </c>
      <c r="S856" s="6" t="s">
        <v>42</v>
      </c>
    </row>
    <row r="857" spans="1:19">
      <c r="A857" s="9">
        <v>850</v>
      </c>
      <c r="B857" s="9" t="s">
        <v>1151</v>
      </c>
      <c r="C857" s="9" t="s">
        <v>1080</v>
      </c>
      <c r="D857" s="9" t="s">
        <v>652</v>
      </c>
      <c r="E857" s="9" t="s">
        <v>68</v>
      </c>
      <c r="F857" s="7" t="s">
        <v>39</v>
      </c>
      <c r="G857" s="11">
        <v>1</v>
      </c>
      <c r="H857" s="11">
        <v>3</v>
      </c>
      <c r="I857" s="14">
        <v>30000.0</v>
      </c>
      <c r="J857" s="14"/>
      <c r="K857" s="16">
        <f>IF(I857&gt;0, J857/I857, 0)</f>
        <v>0</v>
      </c>
      <c r="L857" s="14">
        <v>30000.0</v>
      </c>
      <c r="M857" s="14"/>
      <c r="N857" s="14">
        <f>L857-M857</f>
        <v>30000</v>
      </c>
      <c r="O857" s="9" t="s">
        <v>40</v>
      </c>
      <c r="P857" s="9" t="s">
        <v>71</v>
      </c>
      <c r="Q857" s="9" t="s">
        <v>42</v>
      </c>
      <c r="R857" s="7" t="s">
        <v>2248</v>
      </c>
      <c r="S857" s="7" t="s">
        <v>42</v>
      </c>
    </row>
    <row r="858" spans="1:19">
      <c r="A858" s="8">
        <v>851</v>
      </c>
      <c r="B858" s="8" t="s">
        <v>1152</v>
      </c>
      <c r="C858" s="8" t="s">
        <v>1080</v>
      </c>
      <c r="D858" s="8" t="s">
        <v>652</v>
      </c>
      <c r="E858" s="8" t="s">
        <v>68</v>
      </c>
      <c r="F858" s="6" t="s">
        <v>39</v>
      </c>
      <c r="G858" s="10">
        <v>1</v>
      </c>
      <c r="H858" s="10">
        <v>2</v>
      </c>
      <c r="I858" s="13">
        <v>22000.0</v>
      </c>
      <c r="J858" s="13"/>
      <c r="K858" s="15">
        <f>IF(I858&gt;0, J858/I858, 0)</f>
        <v>0</v>
      </c>
      <c r="L858" s="13">
        <v>22000.0</v>
      </c>
      <c r="M858" s="13"/>
      <c r="N858" s="13">
        <f>L858-M858</f>
        <v>22000</v>
      </c>
      <c r="O858" s="8" t="s">
        <v>40</v>
      </c>
      <c r="P858" s="8" t="s">
        <v>71</v>
      </c>
      <c r="Q858" s="8" t="s">
        <v>42</v>
      </c>
      <c r="R858" s="6" t="s">
        <v>2123</v>
      </c>
      <c r="S858" s="6" t="s">
        <v>42</v>
      </c>
    </row>
    <row r="859" spans="1:19">
      <c r="A859" s="9">
        <v>852</v>
      </c>
      <c r="B859" s="9" t="s">
        <v>1153</v>
      </c>
      <c r="C859" s="9" t="s">
        <v>1080</v>
      </c>
      <c r="D859" s="9" t="s">
        <v>652</v>
      </c>
      <c r="E859" s="9" t="s">
        <v>33</v>
      </c>
      <c r="F859" s="7" t="s">
        <v>39</v>
      </c>
      <c r="G859" s="11">
        <v>1</v>
      </c>
      <c r="H859" s="11">
        <v>1</v>
      </c>
      <c r="I859" s="14">
        <v>7000.0</v>
      </c>
      <c r="J859" s="14"/>
      <c r="K859" s="16">
        <f>IF(I859&gt;0, J859/I859, 0)</f>
        <v>0</v>
      </c>
      <c r="L859" s="14">
        <v>7000.0</v>
      </c>
      <c r="M859" s="14"/>
      <c r="N859" s="14">
        <f>L859-M859</f>
        <v>7000</v>
      </c>
      <c r="O859" s="9" t="s">
        <v>40</v>
      </c>
      <c r="P859" s="9" t="s">
        <v>41</v>
      </c>
      <c r="Q859" s="9" t="s">
        <v>42</v>
      </c>
      <c r="R859" s="7" t="s">
        <v>2142</v>
      </c>
      <c r="S859" s="7" t="s">
        <v>42</v>
      </c>
    </row>
    <row r="860" spans="1:19">
      <c r="A860" s="8">
        <v>853</v>
      </c>
      <c r="B860" s="8" t="s">
        <v>1154</v>
      </c>
      <c r="C860" s="8" t="s">
        <v>1080</v>
      </c>
      <c r="D860" s="8" t="s">
        <v>652</v>
      </c>
      <c r="E860" s="8" t="s">
        <v>33</v>
      </c>
      <c r="F860" s="6" t="s">
        <v>39</v>
      </c>
      <c r="G860" s="10">
        <v>1</v>
      </c>
      <c r="H860" s="10">
        <v>2</v>
      </c>
      <c r="I860" s="13">
        <v>16000.0</v>
      </c>
      <c r="J860" s="13"/>
      <c r="K860" s="15">
        <f>IF(I860&gt;0, J860/I860, 0)</f>
        <v>0</v>
      </c>
      <c r="L860" s="13">
        <v>16000.0</v>
      </c>
      <c r="M860" s="13"/>
      <c r="N860" s="13">
        <f>L860-M860</f>
        <v>16000</v>
      </c>
      <c r="O860" s="8" t="s">
        <v>40</v>
      </c>
      <c r="P860" s="8" t="s">
        <v>41</v>
      </c>
      <c r="Q860" s="8" t="s">
        <v>42</v>
      </c>
      <c r="R860" s="6" t="s">
        <v>2145</v>
      </c>
      <c r="S860" s="6" t="s">
        <v>42</v>
      </c>
    </row>
    <row r="861" spans="1:19">
      <c r="A861" s="9">
        <v>854</v>
      </c>
      <c r="B861" s="9" t="s">
        <v>1155</v>
      </c>
      <c r="C861" s="9" t="s">
        <v>1080</v>
      </c>
      <c r="D861" s="9" t="s">
        <v>652</v>
      </c>
      <c r="E861" s="9" t="s">
        <v>33</v>
      </c>
      <c r="F861" s="7" t="s">
        <v>39</v>
      </c>
      <c r="G861" s="11">
        <v>1</v>
      </c>
      <c r="H861" s="11">
        <v>3</v>
      </c>
      <c r="I861" s="14">
        <v>25500.0</v>
      </c>
      <c r="J861" s="14"/>
      <c r="K861" s="16">
        <f>IF(I861&gt;0, J861/I861, 0)</f>
        <v>0</v>
      </c>
      <c r="L861" s="14">
        <v>25500.0</v>
      </c>
      <c r="M861" s="14"/>
      <c r="N861" s="14">
        <f>L861-M861</f>
        <v>25500</v>
      </c>
      <c r="O861" s="9" t="s">
        <v>40</v>
      </c>
      <c r="P861" s="9" t="s">
        <v>41</v>
      </c>
      <c r="Q861" s="9" t="s">
        <v>42</v>
      </c>
      <c r="R861" s="7" t="s">
        <v>2249</v>
      </c>
      <c r="S861" s="7" t="s">
        <v>42</v>
      </c>
    </row>
    <row r="862" spans="1:19">
      <c r="A862" s="8">
        <v>855</v>
      </c>
      <c r="B862" s="8" t="s">
        <v>1156</v>
      </c>
      <c r="C862" s="8" t="s">
        <v>1080</v>
      </c>
      <c r="D862" s="8" t="s">
        <v>652</v>
      </c>
      <c r="E862" s="8" t="s">
        <v>68</v>
      </c>
      <c r="F862" s="6" t="s">
        <v>39</v>
      </c>
      <c r="G862" s="10">
        <v>1</v>
      </c>
      <c r="H862" s="10">
        <v>1</v>
      </c>
      <c r="I862" s="13">
        <v>9000.0</v>
      </c>
      <c r="J862" s="13"/>
      <c r="K862" s="15">
        <f>IF(I862&gt;0, J862/I862, 0)</f>
        <v>0</v>
      </c>
      <c r="L862" s="13">
        <v>9000.0</v>
      </c>
      <c r="M862" s="13"/>
      <c r="N862" s="13">
        <f>L862-M862</f>
        <v>9000</v>
      </c>
      <c r="O862" s="8" t="s">
        <v>40</v>
      </c>
      <c r="P862" s="8" t="s">
        <v>71</v>
      </c>
      <c r="Q862" s="8" t="s">
        <v>42</v>
      </c>
      <c r="R862" s="6" t="s">
        <v>2078</v>
      </c>
      <c r="S862" s="6" t="s">
        <v>42</v>
      </c>
    </row>
    <row r="863" spans="1:19">
      <c r="A863" s="9">
        <v>856</v>
      </c>
      <c r="B863" s="9" t="s">
        <v>1157</v>
      </c>
      <c r="C863" s="9" t="s">
        <v>1080</v>
      </c>
      <c r="D863" s="9" t="s">
        <v>652</v>
      </c>
      <c r="E863" s="9" t="s">
        <v>33</v>
      </c>
      <c r="F863" s="7" t="s">
        <v>39</v>
      </c>
      <c r="G863" s="11">
        <v>1</v>
      </c>
      <c r="H863" s="11">
        <v>2</v>
      </c>
      <c r="I863" s="14">
        <v>32000.0</v>
      </c>
      <c r="J863" s="14"/>
      <c r="K863" s="16">
        <f>IF(I863&gt;0, J863/I863, 0)</f>
        <v>0</v>
      </c>
      <c r="L863" s="14">
        <v>32000.0</v>
      </c>
      <c r="M863" s="14"/>
      <c r="N863" s="14">
        <f>L863-M863</f>
        <v>32000</v>
      </c>
      <c r="O863" s="9" t="s">
        <v>40</v>
      </c>
      <c r="P863" s="9" t="s">
        <v>41</v>
      </c>
      <c r="Q863" s="9" t="s">
        <v>42</v>
      </c>
      <c r="R863" s="7" t="s">
        <v>2233</v>
      </c>
      <c r="S863" s="7" t="s">
        <v>42</v>
      </c>
    </row>
    <row r="864" spans="1:19">
      <c r="A864" s="8">
        <v>857</v>
      </c>
      <c r="B864" s="8" t="s">
        <v>1158</v>
      </c>
      <c r="C864" s="8" t="s">
        <v>1080</v>
      </c>
      <c r="D864" s="8" t="s">
        <v>652</v>
      </c>
      <c r="E864" s="8" t="s">
        <v>33</v>
      </c>
      <c r="F864" s="6" t="s">
        <v>39</v>
      </c>
      <c r="G864" s="10">
        <v>1</v>
      </c>
      <c r="H864" s="10">
        <v>1</v>
      </c>
      <c r="I864" s="13">
        <v>7000.0</v>
      </c>
      <c r="J864" s="13"/>
      <c r="K864" s="15">
        <f>IF(I864&gt;0, J864/I864, 0)</f>
        <v>0</v>
      </c>
      <c r="L864" s="13">
        <v>7000.0</v>
      </c>
      <c r="M864" s="13"/>
      <c r="N864" s="13">
        <f>L864-M864</f>
        <v>7000</v>
      </c>
      <c r="O864" s="8" t="s">
        <v>40</v>
      </c>
      <c r="P864" s="8" t="s">
        <v>41</v>
      </c>
      <c r="Q864" s="8" t="s">
        <v>42</v>
      </c>
      <c r="R864" s="6" t="s">
        <v>2154</v>
      </c>
      <c r="S864" s="6" t="s">
        <v>42</v>
      </c>
    </row>
    <row r="865" spans="1:19">
      <c r="A865" s="9">
        <v>858</v>
      </c>
      <c r="B865" s="9" t="s">
        <v>1159</v>
      </c>
      <c r="C865" s="9" t="s">
        <v>1080</v>
      </c>
      <c r="D865" s="9" t="s">
        <v>652</v>
      </c>
      <c r="E865" s="9" t="s">
        <v>33</v>
      </c>
      <c r="F865" s="7" t="s">
        <v>39</v>
      </c>
      <c r="G865" s="11">
        <v>1</v>
      </c>
      <c r="H865" s="11">
        <v>1</v>
      </c>
      <c r="I865" s="14">
        <v>8000.0</v>
      </c>
      <c r="J865" s="14"/>
      <c r="K865" s="16">
        <f>IF(I865&gt;0, J865/I865, 0)</f>
        <v>0</v>
      </c>
      <c r="L865" s="14">
        <v>8000.0</v>
      </c>
      <c r="M865" s="14"/>
      <c r="N865" s="14">
        <f>L865-M865</f>
        <v>8000</v>
      </c>
      <c r="O865" s="9" t="s">
        <v>40</v>
      </c>
      <c r="P865" s="9" t="s">
        <v>41</v>
      </c>
      <c r="Q865" s="9" t="s">
        <v>42</v>
      </c>
      <c r="R865" s="7" t="s">
        <v>2152</v>
      </c>
      <c r="S865" s="7" t="s">
        <v>42</v>
      </c>
    </row>
    <row r="866" spans="1:19">
      <c r="A866" s="8">
        <v>859</v>
      </c>
      <c r="B866" s="8" t="s">
        <v>1160</v>
      </c>
      <c r="C866" s="8" t="s">
        <v>1080</v>
      </c>
      <c r="D866" s="8" t="s">
        <v>652</v>
      </c>
      <c r="E866" s="8" t="s">
        <v>33</v>
      </c>
      <c r="F866" s="6" t="s">
        <v>39</v>
      </c>
      <c r="G866" s="10">
        <v>1</v>
      </c>
      <c r="H866" s="10">
        <v>2</v>
      </c>
      <c r="I866" s="13">
        <v>14000.0</v>
      </c>
      <c r="J866" s="13"/>
      <c r="K866" s="15">
        <f>IF(I866&gt;0, J866/I866, 0)</f>
        <v>0</v>
      </c>
      <c r="L866" s="13">
        <v>14000.0</v>
      </c>
      <c r="M866" s="13"/>
      <c r="N866" s="13">
        <f>L866-M866</f>
        <v>14000</v>
      </c>
      <c r="O866" s="8" t="s">
        <v>40</v>
      </c>
      <c r="P866" s="8" t="s">
        <v>41</v>
      </c>
      <c r="Q866" s="8" t="s">
        <v>42</v>
      </c>
      <c r="R866" s="6" t="s">
        <v>2098</v>
      </c>
      <c r="S866" s="6" t="s">
        <v>42</v>
      </c>
    </row>
    <row r="867" spans="1:19">
      <c r="A867" s="9">
        <v>860</v>
      </c>
      <c r="B867" s="9" t="s">
        <v>1161</v>
      </c>
      <c r="C867" s="9" t="s">
        <v>1080</v>
      </c>
      <c r="D867" s="9" t="s">
        <v>652</v>
      </c>
      <c r="E867" s="9" t="s">
        <v>33</v>
      </c>
      <c r="F867" s="7" t="s">
        <v>39</v>
      </c>
      <c r="G867" s="11">
        <v>1</v>
      </c>
      <c r="H867" s="11">
        <v>2</v>
      </c>
      <c r="I867" s="14">
        <v>14000.0</v>
      </c>
      <c r="J867" s="14"/>
      <c r="K867" s="16">
        <f>IF(I867&gt;0, J867/I867, 0)</f>
        <v>0</v>
      </c>
      <c r="L867" s="14">
        <v>14000.0</v>
      </c>
      <c r="M867" s="14"/>
      <c r="N867" s="14">
        <f>L867-M867</f>
        <v>14000</v>
      </c>
      <c r="O867" s="9" t="s">
        <v>40</v>
      </c>
      <c r="P867" s="9" t="s">
        <v>41</v>
      </c>
      <c r="Q867" s="9" t="s">
        <v>42</v>
      </c>
      <c r="R867" s="7" t="s">
        <v>2168</v>
      </c>
      <c r="S867" s="7" t="s">
        <v>42</v>
      </c>
    </row>
    <row r="868" spans="1:19">
      <c r="A868" s="8">
        <v>861</v>
      </c>
      <c r="B868" s="8" t="s">
        <v>1162</v>
      </c>
      <c r="C868" s="8" t="s">
        <v>1080</v>
      </c>
      <c r="D868" s="8" t="s">
        <v>652</v>
      </c>
      <c r="E868" s="8" t="s">
        <v>33</v>
      </c>
      <c r="F868" s="6" t="s">
        <v>39</v>
      </c>
      <c r="G868" s="10">
        <v>1</v>
      </c>
      <c r="H868" s="10">
        <v>1</v>
      </c>
      <c r="I868" s="13">
        <v>10000.0</v>
      </c>
      <c r="J868" s="13"/>
      <c r="K868" s="15">
        <f>IF(I868&gt;0, J868/I868, 0)</f>
        <v>0</v>
      </c>
      <c r="L868" s="13">
        <v>10000.0</v>
      </c>
      <c r="M868" s="13"/>
      <c r="N868" s="13">
        <f>L868-M868</f>
        <v>10000</v>
      </c>
      <c r="O868" s="8" t="s">
        <v>40</v>
      </c>
      <c r="P868" s="8" t="s">
        <v>41</v>
      </c>
      <c r="Q868" s="8" t="s">
        <v>42</v>
      </c>
      <c r="R868" s="6" t="s">
        <v>2113</v>
      </c>
      <c r="S868" s="6" t="s">
        <v>42</v>
      </c>
    </row>
    <row r="869" spans="1:19">
      <c r="A869" s="9">
        <v>862</v>
      </c>
      <c r="B869" s="9" t="s">
        <v>1163</v>
      </c>
      <c r="C869" s="9" t="s">
        <v>1080</v>
      </c>
      <c r="D869" s="9" t="s">
        <v>652</v>
      </c>
      <c r="E869" s="9" t="s">
        <v>68</v>
      </c>
      <c r="F869" s="7" t="s">
        <v>39</v>
      </c>
      <c r="G869" s="11">
        <v>1</v>
      </c>
      <c r="H869" s="11">
        <v>1</v>
      </c>
      <c r="I869" s="14">
        <v>8000.0</v>
      </c>
      <c r="J869" s="14"/>
      <c r="K869" s="16">
        <f>IF(I869&gt;0, J869/I869, 0)</f>
        <v>0</v>
      </c>
      <c r="L869" s="14">
        <v>8000.0</v>
      </c>
      <c r="M869" s="14"/>
      <c r="N869" s="14">
        <f>L869-M869</f>
        <v>8000</v>
      </c>
      <c r="O869" s="9" t="s">
        <v>40</v>
      </c>
      <c r="P869" s="9" t="s">
        <v>71</v>
      </c>
      <c r="Q869" s="9" t="s">
        <v>42</v>
      </c>
      <c r="R869" s="7" t="s">
        <v>2216</v>
      </c>
      <c r="S869" s="7" t="s">
        <v>42</v>
      </c>
    </row>
    <row r="870" spans="1:19">
      <c r="A870" s="8">
        <v>863</v>
      </c>
      <c r="B870" s="8" t="s">
        <v>1164</v>
      </c>
      <c r="C870" s="8" t="s">
        <v>1080</v>
      </c>
      <c r="D870" s="8" t="s">
        <v>652</v>
      </c>
      <c r="E870" s="8" t="s">
        <v>33</v>
      </c>
      <c r="F870" s="6" t="s">
        <v>39</v>
      </c>
      <c r="G870" s="10">
        <v>1</v>
      </c>
      <c r="H870" s="10">
        <v>1</v>
      </c>
      <c r="I870" s="13">
        <v>8000.0</v>
      </c>
      <c r="J870" s="13"/>
      <c r="K870" s="15">
        <f>IF(I870&gt;0, J870/I870, 0)</f>
        <v>0</v>
      </c>
      <c r="L870" s="13">
        <v>8000.0</v>
      </c>
      <c r="M870" s="13"/>
      <c r="N870" s="13">
        <f>L870-M870</f>
        <v>8000</v>
      </c>
      <c r="O870" s="8" t="s">
        <v>40</v>
      </c>
      <c r="P870" s="8" t="s">
        <v>41</v>
      </c>
      <c r="Q870" s="8" t="s">
        <v>42</v>
      </c>
      <c r="R870" s="6" t="s">
        <v>2196</v>
      </c>
      <c r="S870" s="6" t="s">
        <v>42</v>
      </c>
    </row>
    <row r="871" spans="1:19">
      <c r="A871" s="9">
        <v>864</v>
      </c>
      <c r="B871" s="9" t="s">
        <v>1165</v>
      </c>
      <c r="C871" s="9" t="s">
        <v>1080</v>
      </c>
      <c r="D871" s="9" t="s">
        <v>652</v>
      </c>
      <c r="E871" s="9" t="s">
        <v>33</v>
      </c>
      <c r="F871" s="7" t="s">
        <v>39</v>
      </c>
      <c r="G871" s="11">
        <v>1</v>
      </c>
      <c r="H871" s="11">
        <v>1</v>
      </c>
      <c r="I871" s="14">
        <v>7000.0</v>
      </c>
      <c r="J871" s="14"/>
      <c r="K871" s="16">
        <f>IF(I871&gt;0, J871/I871, 0)</f>
        <v>0</v>
      </c>
      <c r="L871" s="14">
        <v>7000.0</v>
      </c>
      <c r="M871" s="14"/>
      <c r="N871" s="14">
        <f>L871-M871</f>
        <v>7000</v>
      </c>
      <c r="O871" s="9" t="s">
        <v>40</v>
      </c>
      <c r="P871" s="9" t="s">
        <v>41</v>
      </c>
      <c r="Q871" s="9" t="s">
        <v>42</v>
      </c>
      <c r="R871" s="7" t="s">
        <v>2107</v>
      </c>
      <c r="S871" s="7" t="s">
        <v>42</v>
      </c>
    </row>
    <row r="872" spans="1:19">
      <c r="A872" s="8">
        <v>865</v>
      </c>
      <c r="B872" s="8" t="s">
        <v>1166</v>
      </c>
      <c r="C872" s="8" t="s">
        <v>1080</v>
      </c>
      <c r="D872" s="8" t="s">
        <v>652</v>
      </c>
      <c r="E872" s="8" t="s">
        <v>33</v>
      </c>
      <c r="F872" s="6" t="s">
        <v>39</v>
      </c>
      <c r="G872" s="10">
        <v>1</v>
      </c>
      <c r="H872" s="10">
        <v>1</v>
      </c>
      <c r="I872" s="13">
        <v>8000.0</v>
      </c>
      <c r="J872" s="13"/>
      <c r="K872" s="15">
        <f>IF(I872&gt;0, J872/I872, 0)</f>
        <v>0</v>
      </c>
      <c r="L872" s="13">
        <v>8000.0</v>
      </c>
      <c r="M872" s="13"/>
      <c r="N872" s="13">
        <f>L872-M872</f>
        <v>8000</v>
      </c>
      <c r="O872" s="8" t="s">
        <v>40</v>
      </c>
      <c r="P872" s="8" t="s">
        <v>41</v>
      </c>
      <c r="Q872" s="8" t="s">
        <v>42</v>
      </c>
      <c r="R872" s="6" t="s">
        <v>2152</v>
      </c>
      <c r="S872" s="6" t="s">
        <v>42</v>
      </c>
    </row>
    <row r="873" spans="1:19">
      <c r="A873" s="9">
        <v>866</v>
      </c>
      <c r="B873" s="9" t="s">
        <v>1167</v>
      </c>
      <c r="C873" s="9" t="s">
        <v>1080</v>
      </c>
      <c r="D873" s="9" t="s">
        <v>652</v>
      </c>
      <c r="E873" s="9" t="s">
        <v>33</v>
      </c>
      <c r="F873" s="7" t="s">
        <v>39</v>
      </c>
      <c r="G873" s="11">
        <v>1</v>
      </c>
      <c r="H873" s="11">
        <v>1</v>
      </c>
      <c r="I873" s="14">
        <v>16000.0</v>
      </c>
      <c r="J873" s="14"/>
      <c r="K873" s="16">
        <f>IF(I873&gt;0, J873/I873, 0)</f>
        <v>0</v>
      </c>
      <c r="L873" s="14">
        <v>16000.0</v>
      </c>
      <c r="M873" s="14"/>
      <c r="N873" s="14">
        <f>L873-M873</f>
        <v>16000</v>
      </c>
      <c r="O873" s="9" t="s">
        <v>40</v>
      </c>
      <c r="P873" s="9" t="s">
        <v>41</v>
      </c>
      <c r="Q873" s="9" t="s">
        <v>42</v>
      </c>
      <c r="R873" s="7" t="s">
        <v>2126</v>
      </c>
      <c r="S873" s="7" t="s">
        <v>42</v>
      </c>
    </row>
    <row r="874" spans="1:19">
      <c r="A874" s="8">
        <v>867</v>
      </c>
      <c r="B874" s="8" t="s">
        <v>1168</v>
      </c>
      <c r="C874" s="8" t="s">
        <v>1080</v>
      </c>
      <c r="D874" s="8" t="s">
        <v>652</v>
      </c>
      <c r="E874" s="8" t="s">
        <v>68</v>
      </c>
      <c r="F874" s="6" t="s">
        <v>39</v>
      </c>
      <c r="G874" s="10">
        <v>1</v>
      </c>
      <c r="H874" s="10">
        <v>2</v>
      </c>
      <c r="I874" s="13">
        <v>20000.0</v>
      </c>
      <c r="J874" s="13"/>
      <c r="K874" s="15">
        <f>IF(I874&gt;0, J874/I874, 0)</f>
        <v>0</v>
      </c>
      <c r="L874" s="13">
        <v>20000.0</v>
      </c>
      <c r="M874" s="13"/>
      <c r="N874" s="13">
        <f>L874-M874</f>
        <v>20000</v>
      </c>
      <c r="O874" s="8" t="s">
        <v>40</v>
      </c>
      <c r="P874" s="8" t="s">
        <v>71</v>
      </c>
      <c r="Q874" s="8" t="s">
        <v>42</v>
      </c>
      <c r="R874" s="6" t="s">
        <v>2098</v>
      </c>
      <c r="S874" s="6" t="s">
        <v>42</v>
      </c>
    </row>
    <row r="875" spans="1:19">
      <c r="A875" s="9">
        <v>868</v>
      </c>
      <c r="B875" s="9" t="s">
        <v>1169</v>
      </c>
      <c r="C875" s="9" t="s">
        <v>1080</v>
      </c>
      <c r="D875" s="9" t="s">
        <v>652</v>
      </c>
      <c r="E875" s="9" t="s">
        <v>68</v>
      </c>
      <c r="F875" s="7" t="s">
        <v>39</v>
      </c>
      <c r="G875" s="11">
        <v>1</v>
      </c>
      <c r="H875" s="11">
        <v>1</v>
      </c>
      <c r="I875" s="14">
        <v>18000.0</v>
      </c>
      <c r="J875" s="14"/>
      <c r="K875" s="16">
        <f>IF(I875&gt;0, J875/I875, 0)</f>
        <v>0</v>
      </c>
      <c r="L875" s="14">
        <v>18000.0</v>
      </c>
      <c r="M875" s="14"/>
      <c r="N875" s="14">
        <f>L875-M875</f>
        <v>18000</v>
      </c>
      <c r="O875" s="9" t="s">
        <v>40</v>
      </c>
      <c r="P875" s="9" t="s">
        <v>71</v>
      </c>
      <c r="Q875" s="9" t="s">
        <v>42</v>
      </c>
      <c r="R875" s="7" t="s">
        <v>2080</v>
      </c>
      <c r="S875" s="7" t="s">
        <v>42</v>
      </c>
    </row>
    <row r="876" spans="1:19">
      <c r="A876" s="8">
        <v>869</v>
      </c>
      <c r="B876" s="8" t="s">
        <v>1170</v>
      </c>
      <c r="C876" s="8" t="s">
        <v>1080</v>
      </c>
      <c r="D876" s="8" t="s">
        <v>652</v>
      </c>
      <c r="E876" s="8" t="s">
        <v>68</v>
      </c>
      <c r="F876" s="6" t="s">
        <v>39</v>
      </c>
      <c r="G876" s="10">
        <v>1</v>
      </c>
      <c r="H876" s="10">
        <v>2</v>
      </c>
      <c r="I876" s="13">
        <v>22000.0</v>
      </c>
      <c r="J876" s="13"/>
      <c r="K876" s="15">
        <f>IF(I876&gt;0, J876/I876, 0)</f>
        <v>0</v>
      </c>
      <c r="L876" s="13">
        <v>22000.0</v>
      </c>
      <c r="M876" s="13"/>
      <c r="N876" s="13">
        <f>L876-M876</f>
        <v>22000</v>
      </c>
      <c r="O876" s="8" t="s">
        <v>40</v>
      </c>
      <c r="P876" s="8" t="s">
        <v>71</v>
      </c>
      <c r="Q876" s="8" t="s">
        <v>42</v>
      </c>
      <c r="R876" s="6" t="s">
        <v>2250</v>
      </c>
      <c r="S876" s="6" t="s">
        <v>42</v>
      </c>
    </row>
    <row r="877" spans="1:19">
      <c r="A877" s="9">
        <v>870</v>
      </c>
      <c r="B877" s="9" t="s">
        <v>1171</v>
      </c>
      <c r="C877" s="9" t="s">
        <v>1080</v>
      </c>
      <c r="D877" s="9" t="s">
        <v>652</v>
      </c>
      <c r="E877" s="9" t="s">
        <v>33</v>
      </c>
      <c r="F877" s="7" t="s">
        <v>39</v>
      </c>
      <c r="G877" s="11">
        <v>1</v>
      </c>
      <c r="H877" s="11">
        <v>1</v>
      </c>
      <c r="I877" s="14">
        <v>18000.0</v>
      </c>
      <c r="J877" s="14"/>
      <c r="K877" s="16">
        <f>IF(I877&gt;0, J877/I877, 0)</f>
        <v>0</v>
      </c>
      <c r="L877" s="14">
        <v>18000.0</v>
      </c>
      <c r="M877" s="14"/>
      <c r="N877" s="14">
        <f>L877-M877</f>
        <v>18000</v>
      </c>
      <c r="O877" s="9" t="s">
        <v>40</v>
      </c>
      <c r="P877" s="9" t="s">
        <v>41</v>
      </c>
      <c r="Q877" s="9" t="s">
        <v>42</v>
      </c>
      <c r="R877" s="7" t="s">
        <v>2075</v>
      </c>
      <c r="S877" s="7" t="s">
        <v>42</v>
      </c>
    </row>
    <row r="878" spans="1:19">
      <c r="A878" s="8">
        <v>871</v>
      </c>
      <c r="B878" s="8" t="s">
        <v>1172</v>
      </c>
      <c r="C878" s="8" t="s">
        <v>1080</v>
      </c>
      <c r="D878" s="8" t="s">
        <v>652</v>
      </c>
      <c r="E878" s="8" t="s">
        <v>33</v>
      </c>
      <c r="F878" s="6" t="s">
        <v>39</v>
      </c>
      <c r="G878" s="10">
        <v>1</v>
      </c>
      <c r="H878" s="10">
        <v>1</v>
      </c>
      <c r="I878" s="13">
        <v>18000.0</v>
      </c>
      <c r="J878" s="13"/>
      <c r="K878" s="15">
        <f>IF(I878&gt;0, J878/I878, 0)</f>
        <v>0</v>
      </c>
      <c r="L878" s="13">
        <v>18000.0</v>
      </c>
      <c r="M878" s="13"/>
      <c r="N878" s="13">
        <f>L878-M878</f>
        <v>18000</v>
      </c>
      <c r="O878" s="8" t="s">
        <v>40</v>
      </c>
      <c r="P878" s="8" t="s">
        <v>41</v>
      </c>
      <c r="Q878" s="8" t="s">
        <v>42</v>
      </c>
      <c r="R878" s="6" t="s">
        <v>2169</v>
      </c>
      <c r="S878" s="6" t="s">
        <v>42</v>
      </c>
    </row>
    <row r="879" spans="1:19">
      <c r="A879" s="9">
        <v>872</v>
      </c>
      <c r="B879" s="9" t="s">
        <v>1173</v>
      </c>
      <c r="C879" s="9" t="s">
        <v>1080</v>
      </c>
      <c r="D879" s="9" t="s">
        <v>652</v>
      </c>
      <c r="E879" s="9" t="s">
        <v>33</v>
      </c>
      <c r="F879" s="7" t="s">
        <v>39</v>
      </c>
      <c r="G879" s="11">
        <v>1</v>
      </c>
      <c r="H879" s="11">
        <v>1</v>
      </c>
      <c r="I879" s="14">
        <v>8000.0</v>
      </c>
      <c r="J879" s="14"/>
      <c r="K879" s="16">
        <f>IF(I879&gt;0, J879/I879, 0)</f>
        <v>0</v>
      </c>
      <c r="L879" s="14">
        <v>8000.0</v>
      </c>
      <c r="M879" s="14"/>
      <c r="N879" s="14">
        <f>L879-M879</f>
        <v>8000</v>
      </c>
      <c r="O879" s="9" t="s">
        <v>40</v>
      </c>
      <c r="P879" s="9" t="s">
        <v>41</v>
      </c>
      <c r="Q879" s="9" t="s">
        <v>42</v>
      </c>
      <c r="R879" s="7" t="s">
        <v>2122</v>
      </c>
      <c r="S879" s="7" t="s">
        <v>42</v>
      </c>
    </row>
    <row r="880" spans="1:19">
      <c r="A880" s="8">
        <v>873</v>
      </c>
      <c r="B880" s="8" t="s">
        <v>1174</v>
      </c>
      <c r="C880" s="8" t="s">
        <v>1080</v>
      </c>
      <c r="D880" s="8" t="s">
        <v>652</v>
      </c>
      <c r="E880" s="8" t="s">
        <v>33</v>
      </c>
      <c r="F880" s="6" t="s">
        <v>39</v>
      </c>
      <c r="G880" s="10">
        <v>1</v>
      </c>
      <c r="H880" s="10">
        <v>1</v>
      </c>
      <c r="I880" s="13">
        <v>9000.0</v>
      </c>
      <c r="J880" s="13"/>
      <c r="K880" s="15">
        <f>IF(I880&gt;0, J880/I880, 0)</f>
        <v>0</v>
      </c>
      <c r="L880" s="13">
        <v>9000.0</v>
      </c>
      <c r="M880" s="13"/>
      <c r="N880" s="13">
        <f>L880-M880</f>
        <v>9000</v>
      </c>
      <c r="O880" s="8" t="s">
        <v>40</v>
      </c>
      <c r="P880" s="8" t="s">
        <v>41</v>
      </c>
      <c r="Q880" s="8" t="s">
        <v>42</v>
      </c>
      <c r="R880" s="6" t="s">
        <v>2200</v>
      </c>
      <c r="S880" s="6" t="s">
        <v>42</v>
      </c>
    </row>
    <row r="881" spans="1:19">
      <c r="A881" s="9">
        <v>874</v>
      </c>
      <c r="B881" s="9" t="s">
        <v>1175</v>
      </c>
      <c r="C881" s="9" t="s">
        <v>1080</v>
      </c>
      <c r="D881" s="9" t="s">
        <v>652</v>
      </c>
      <c r="E881" s="9" t="s">
        <v>33</v>
      </c>
      <c r="F881" s="7" t="s">
        <v>39</v>
      </c>
      <c r="G881" s="11">
        <v>1</v>
      </c>
      <c r="H881" s="11">
        <v>1</v>
      </c>
      <c r="I881" s="14">
        <v>7500.0</v>
      </c>
      <c r="J881" s="14"/>
      <c r="K881" s="16">
        <f>IF(I881&gt;0, J881/I881, 0)</f>
        <v>0</v>
      </c>
      <c r="L881" s="14">
        <v>7500.0</v>
      </c>
      <c r="M881" s="14"/>
      <c r="N881" s="14">
        <f>L881-M881</f>
        <v>7500</v>
      </c>
      <c r="O881" s="9" t="s">
        <v>40</v>
      </c>
      <c r="P881" s="9" t="s">
        <v>41</v>
      </c>
      <c r="Q881" s="9" t="s">
        <v>42</v>
      </c>
      <c r="R881" s="7" t="s">
        <v>2251</v>
      </c>
      <c r="S881" s="7" t="s">
        <v>42</v>
      </c>
    </row>
    <row r="882" spans="1:19">
      <c r="A882" s="8">
        <v>875</v>
      </c>
      <c r="B882" s="8" t="s">
        <v>1177</v>
      </c>
      <c r="C882" s="8" t="s">
        <v>1080</v>
      </c>
      <c r="D882" s="8" t="s">
        <v>652</v>
      </c>
      <c r="E882" s="8" t="s">
        <v>33</v>
      </c>
      <c r="F882" s="6" t="s">
        <v>39</v>
      </c>
      <c r="G882" s="10">
        <v>1</v>
      </c>
      <c r="H882" s="10">
        <v>1</v>
      </c>
      <c r="I882" s="13">
        <v>8500.0</v>
      </c>
      <c r="J882" s="13"/>
      <c r="K882" s="15">
        <f>IF(I882&gt;0, J882/I882, 0)</f>
        <v>0</v>
      </c>
      <c r="L882" s="13">
        <v>8500.0</v>
      </c>
      <c r="M882" s="13"/>
      <c r="N882" s="13">
        <f>L882-M882</f>
        <v>8500</v>
      </c>
      <c r="O882" s="8" t="s">
        <v>40</v>
      </c>
      <c r="P882" s="8" t="s">
        <v>41</v>
      </c>
      <c r="Q882" s="8" t="s">
        <v>42</v>
      </c>
      <c r="R882" s="6" t="s">
        <v>2213</v>
      </c>
      <c r="S882" s="6" t="s">
        <v>42</v>
      </c>
    </row>
    <row r="883" spans="1:19">
      <c r="A883" s="9">
        <v>876</v>
      </c>
      <c r="B883" s="9" t="s">
        <v>1178</v>
      </c>
      <c r="C883" s="9" t="s">
        <v>1080</v>
      </c>
      <c r="D883" s="9" t="s">
        <v>652</v>
      </c>
      <c r="E883" s="9" t="s">
        <v>33</v>
      </c>
      <c r="F883" s="7" t="s">
        <v>39</v>
      </c>
      <c r="G883" s="11">
        <v>1</v>
      </c>
      <c r="H883" s="11">
        <v>1</v>
      </c>
      <c r="I883" s="14">
        <v>16500.0</v>
      </c>
      <c r="J883" s="14"/>
      <c r="K883" s="16">
        <f>IF(I883&gt;0, J883/I883, 0)</f>
        <v>0</v>
      </c>
      <c r="L883" s="14">
        <v>16500.0</v>
      </c>
      <c r="M883" s="14"/>
      <c r="N883" s="14">
        <f>L883-M883</f>
        <v>16500</v>
      </c>
      <c r="O883" s="9" t="s">
        <v>40</v>
      </c>
      <c r="P883" s="9" t="s">
        <v>41</v>
      </c>
      <c r="Q883" s="9" t="s">
        <v>42</v>
      </c>
      <c r="R883" s="7" t="s">
        <v>2227</v>
      </c>
      <c r="S883" s="7" t="s">
        <v>42</v>
      </c>
    </row>
    <row r="884" spans="1:19">
      <c r="A884" s="8">
        <v>877</v>
      </c>
      <c r="B884" s="8" t="s">
        <v>1179</v>
      </c>
      <c r="C884" s="8" t="s">
        <v>1080</v>
      </c>
      <c r="D884" s="8" t="s">
        <v>652</v>
      </c>
      <c r="E884" s="8" t="s">
        <v>33</v>
      </c>
      <c r="F884" s="6" t="s">
        <v>39</v>
      </c>
      <c r="G884" s="10">
        <v>1</v>
      </c>
      <c r="H884" s="10">
        <v>1</v>
      </c>
      <c r="I884" s="13">
        <v>9000.0</v>
      </c>
      <c r="J884" s="13"/>
      <c r="K884" s="15">
        <f>IF(I884&gt;0, J884/I884, 0)</f>
        <v>0</v>
      </c>
      <c r="L884" s="13">
        <v>9000.0</v>
      </c>
      <c r="M884" s="13"/>
      <c r="N884" s="13">
        <f>L884-M884</f>
        <v>9000</v>
      </c>
      <c r="O884" s="8" t="s">
        <v>40</v>
      </c>
      <c r="P884" s="8" t="s">
        <v>41</v>
      </c>
      <c r="Q884" s="8" t="s">
        <v>42</v>
      </c>
      <c r="R884" s="6" t="s">
        <v>2252</v>
      </c>
      <c r="S884" s="6" t="s">
        <v>42</v>
      </c>
    </row>
    <row r="885" spans="1:19">
      <c r="A885" s="9">
        <v>878</v>
      </c>
      <c r="B885" s="9" t="s">
        <v>1181</v>
      </c>
      <c r="C885" s="9" t="s">
        <v>1080</v>
      </c>
      <c r="D885" s="9" t="s">
        <v>652</v>
      </c>
      <c r="E885" s="9" t="s">
        <v>33</v>
      </c>
      <c r="F885" s="7" t="s">
        <v>39</v>
      </c>
      <c r="G885" s="11">
        <v>1</v>
      </c>
      <c r="H885" s="11">
        <v>1</v>
      </c>
      <c r="I885" s="14">
        <v>9500.0</v>
      </c>
      <c r="J885" s="14"/>
      <c r="K885" s="16">
        <f>IF(I885&gt;0, J885/I885, 0)</f>
        <v>0</v>
      </c>
      <c r="L885" s="14">
        <v>9500.0</v>
      </c>
      <c r="M885" s="14"/>
      <c r="N885" s="14">
        <f>L885-M885</f>
        <v>9500</v>
      </c>
      <c r="O885" s="9" t="s">
        <v>40</v>
      </c>
      <c r="P885" s="9" t="s">
        <v>41</v>
      </c>
      <c r="Q885" s="9" t="s">
        <v>42</v>
      </c>
      <c r="R885" s="7" t="s">
        <v>2106</v>
      </c>
      <c r="S885" s="7" t="s">
        <v>42</v>
      </c>
    </row>
    <row r="886" spans="1:19">
      <c r="A886" s="8">
        <v>879</v>
      </c>
      <c r="B886" s="8" t="s">
        <v>1182</v>
      </c>
      <c r="C886" s="8" t="s">
        <v>1080</v>
      </c>
      <c r="D886" s="8" t="s">
        <v>652</v>
      </c>
      <c r="E886" s="8" t="s">
        <v>33</v>
      </c>
      <c r="F886" s="6" t="s">
        <v>39</v>
      </c>
      <c r="G886" s="10">
        <v>1</v>
      </c>
      <c r="H886" s="10">
        <v>1</v>
      </c>
      <c r="I886" s="13">
        <v>7500.0</v>
      </c>
      <c r="J886" s="13"/>
      <c r="K886" s="15">
        <f>IF(I886&gt;0, J886/I886, 0)</f>
        <v>0</v>
      </c>
      <c r="L886" s="13">
        <v>7500.0</v>
      </c>
      <c r="M886" s="13"/>
      <c r="N886" s="13">
        <f>L886-M886</f>
        <v>7500</v>
      </c>
      <c r="O886" s="8" t="s">
        <v>40</v>
      </c>
      <c r="P886" s="8" t="s">
        <v>41</v>
      </c>
      <c r="Q886" s="8" t="s">
        <v>42</v>
      </c>
      <c r="R886" s="6" t="s">
        <v>2128</v>
      </c>
      <c r="S886" s="6" t="s">
        <v>42</v>
      </c>
    </row>
    <row r="887" spans="1:19">
      <c r="A887" s="9">
        <v>880</v>
      </c>
      <c r="B887" s="9" t="s">
        <v>1183</v>
      </c>
      <c r="C887" s="9" t="s">
        <v>1080</v>
      </c>
      <c r="D887" s="9" t="s">
        <v>652</v>
      </c>
      <c r="E887" s="9" t="s">
        <v>33</v>
      </c>
      <c r="F887" s="7" t="s">
        <v>39</v>
      </c>
      <c r="G887" s="11">
        <v>1</v>
      </c>
      <c r="H887" s="11">
        <v>1</v>
      </c>
      <c r="I887" s="14">
        <v>16500.0</v>
      </c>
      <c r="J887" s="14"/>
      <c r="K887" s="16">
        <f>IF(I887&gt;0, J887/I887, 0)</f>
        <v>0</v>
      </c>
      <c r="L887" s="14">
        <v>16500.0</v>
      </c>
      <c r="M887" s="14"/>
      <c r="N887" s="14">
        <f>L887-M887</f>
        <v>16500</v>
      </c>
      <c r="O887" s="9" t="s">
        <v>40</v>
      </c>
      <c r="P887" s="9" t="s">
        <v>41</v>
      </c>
      <c r="Q887" s="9" t="s">
        <v>42</v>
      </c>
      <c r="R887" s="7" t="s">
        <v>2124</v>
      </c>
      <c r="S887" s="7" t="s">
        <v>42</v>
      </c>
    </row>
    <row r="888" spans="1:19">
      <c r="A888" s="8">
        <v>881</v>
      </c>
      <c r="B888" s="8" t="s">
        <v>1184</v>
      </c>
      <c r="C888" s="8" t="s">
        <v>1080</v>
      </c>
      <c r="D888" s="8" t="s">
        <v>652</v>
      </c>
      <c r="E888" s="8" t="s">
        <v>33</v>
      </c>
      <c r="F888" s="6" t="s">
        <v>39</v>
      </c>
      <c r="G888" s="10">
        <v>1</v>
      </c>
      <c r="H888" s="10">
        <v>1</v>
      </c>
      <c r="I888" s="13">
        <v>8500.0</v>
      </c>
      <c r="J888" s="13"/>
      <c r="K888" s="15">
        <f>IF(I888&gt;0, J888/I888, 0)</f>
        <v>0</v>
      </c>
      <c r="L888" s="13">
        <v>8500.0</v>
      </c>
      <c r="M888" s="13"/>
      <c r="N888" s="13">
        <f>L888-M888</f>
        <v>8500</v>
      </c>
      <c r="O888" s="8" t="s">
        <v>40</v>
      </c>
      <c r="P888" s="8" t="s">
        <v>41</v>
      </c>
      <c r="Q888" s="8" t="s">
        <v>42</v>
      </c>
      <c r="R888" s="6" t="s">
        <v>2171</v>
      </c>
      <c r="S888" s="6" t="s">
        <v>42</v>
      </c>
    </row>
    <row r="889" spans="1:19">
      <c r="A889" s="9">
        <v>882</v>
      </c>
      <c r="B889" s="9" t="s">
        <v>1185</v>
      </c>
      <c r="C889" s="9" t="s">
        <v>1080</v>
      </c>
      <c r="D889" s="9" t="s">
        <v>652</v>
      </c>
      <c r="E889" s="9" t="s">
        <v>33</v>
      </c>
      <c r="F889" s="7" t="s">
        <v>39</v>
      </c>
      <c r="G889" s="11">
        <v>1</v>
      </c>
      <c r="H889" s="11">
        <v>1</v>
      </c>
      <c r="I889" s="14">
        <v>9000.0</v>
      </c>
      <c r="J889" s="14"/>
      <c r="K889" s="16">
        <f>IF(I889&gt;0, J889/I889, 0)</f>
        <v>0</v>
      </c>
      <c r="L889" s="14">
        <v>9000.0</v>
      </c>
      <c r="M889" s="14"/>
      <c r="N889" s="14">
        <f>L889-M889</f>
        <v>9000</v>
      </c>
      <c r="O889" s="9" t="s">
        <v>40</v>
      </c>
      <c r="P889" s="9" t="s">
        <v>41</v>
      </c>
      <c r="Q889" s="9" t="s">
        <v>42</v>
      </c>
      <c r="R889" s="7" t="s">
        <v>2200</v>
      </c>
      <c r="S889" s="7" t="s">
        <v>42</v>
      </c>
    </row>
    <row r="890" spans="1:19">
      <c r="A890" s="8">
        <v>883</v>
      </c>
      <c r="B890" s="8" t="s">
        <v>1186</v>
      </c>
      <c r="C890" s="8" t="s">
        <v>1080</v>
      </c>
      <c r="D890" s="8" t="s">
        <v>652</v>
      </c>
      <c r="E890" s="8" t="s">
        <v>33</v>
      </c>
      <c r="F890" s="6" t="s">
        <v>39</v>
      </c>
      <c r="G890" s="10">
        <v>1</v>
      </c>
      <c r="H890" s="10">
        <v>1</v>
      </c>
      <c r="I890" s="13">
        <v>8000.0</v>
      </c>
      <c r="J890" s="13"/>
      <c r="K890" s="15">
        <f>IF(I890&gt;0, J890/I890, 0)</f>
        <v>0</v>
      </c>
      <c r="L890" s="13">
        <v>8000.0</v>
      </c>
      <c r="M890" s="13"/>
      <c r="N890" s="13">
        <f>L890-M890</f>
        <v>8000</v>
      </c>
      <c r="O890" s="8" t="s">
        <v>40</v>
      </c>
      <c r="P890" s="8" t="s">
        <v>41</v>
      </c>
      <c r="Q890" s="8" t="s">
        <v>42</v>
      </c>
      <c r="R890" s="6" t="s">
        <v>2122</v>
      </c>
      <c r="S890" s="6" t="s">
        <v>42</v>
      </c>
    </row>
    <row r="891" spans="1:19">
      <c r="A891" s="9">
        <v>884</v>
      </c>
      <c r="B891" s="9" t="s">
        <v>1187</v>
      </c>
      <c r="C891" s="9" t="s">
        <v>1080</v>
      </c>
      <c r="D891" s="9" t="s">
        <v>652</v>
      </c>
      <c r="E891" s="9" t="s">
        <v>33</v>
      </c>
      <c r="F891" s="7" t="s">
        <v>39</v>
      </c>
      <c r="G891" s="11">
        <v>1</v>
      </c>
      <c r="H891" s="11">
        <v>2</v>
      </c>
      <c r="I891" s="14">
        <v>16000.0</v>
      </c>
      <c r="J891" s="14"/>
      <c r="K891" s="16">
        <f>IF(I891&gt;0, J891/I891, 0)</f>
        <v>0</v>
      </c>
      <c r="L891" s="14">
        <v>16000.0</v>
      </c>
      <c r="M891" s="14"/>
      <c r="N891" s="14">
        <f>L891-M891</f>
        <v>16000</v>
      </c>
      <c r="O891" s="9" t="s">
        <v>40</v>
      </c>
      <c r="P891" s="9" t="s">
        <v>41</v>
      </c>
      <c r="Q891" s="9" t="s">
        <v>42</v>
      </c>
      <c r="R891" s="7" t="s">
        <v>2232</v>
      </c>
      <c r="S891" s="7" t="s">
        <v>42</v>
      </c>
    </row>
    <row r="892" spans="1:19">
      <c r="A892" s="8">
        <v>885</v>
      </c>
      <c r="B892" s="8" t="s">
        <v>1188</v>
      </c>
      <c r="C892" s="8" t="s">
        <v>1080</v>
      </c>
      <c r="D892" s="8" t="s">
        <v>652</v>
      </c>
      <c r="E892" s="8" t="s">
        <v>33</v>
      </c>
      <c r="F892" s="6" t="s">
        <v>39</v>
      </c>
      <c r="G892" s="10">
        <v>1</v>
      </c>
      <c r="H892" s="10">
        <v>1</v>
      </c>
      <c r="I892" s="13">
        <v>9000.0</v>
      </c>
      <c r="J892" s="13"/>
      <c r="K892" s="15">
        <f>IF(I892&gt;0, J892/I892, 0)</f>
        <v>0</v>
      </c>
      <c r="L892" s="13">
        <v>9000.0</v>
      </c>
      <c r="M892" s="13"/>
      <c r="N892" s="13">
        <f>L892-M892</f>
        <v>9000</v>
      </c>
      <c r="O892" s="8" t="s">
        <v>40</v>
      </c>
      <c r="P892" s="8" t="s">
        <v>41</v>
      </c>
      <c r="Q892" s="8" t="s">
        <v>42</v>
      </c>
      <c r="R892" s="6" t="s">
        <v>2200</v>
      </c>
      <c r="S892" s="6" t="s">
        <v>42</v>
      </c>
    </row>
    <row r="893" spans="1:19">
      <c r="A893" s="9">
        <v>886</v>
      </c>
      <c r="B893" s="9" t="s">
        <v>1189</v>
      </c>
      <c r="C893" s="9" t="s">
        <v>1080</v>
      </c>
      <c r="D893" s="9" t="s">
        <v>652</v>
      </c>
      <c r="E893" s="9" t="s">
        <v>33</v>
      </c>
      <c r="F893" s="7" t="s">
        <v>39</v>
      </c>
      <c r="G893" s="11">
        <v>1</v>
      </c>
      <c r="H893" s="11">
        <v>1</v>
      </c>
      <c r="I893" s="14">
        <v>8000.0</v>
      </c>
      <c r="J893" s="14"/>
      <c r="K893" s="16">
        <f>IF(I893&gt;0, J893/I893, 0)</f>
        <v>0</v>
      </c>
      <c r="L893" s="14">
        <v>8000.0</v>
      </c>
      <c r="M893" s="14"/>
      <c r="N893" s="14">
        <f>L893-M893</f>
        <v>8000</v>
      </c>
      <c r="O893" s="9" t="s">
        <v>40</v>
      </c>
      <c r="P893" s="9" t="s">
        <v>41</v>
      </c>
      <c r="Q893" s="9" t="s">
        <v>42</v>
      </c>
      <c r="R893" s="7" t="s">
        <v>2122</v>
      </c>
      <c r="S893" s="7" t="s">
        <v>42</v>
      </c>
    </row>
    <row r="894" spans="1:19">
      <c r="A894" s="8">
        <v>887</v>
      </c>
      <c r="B894" s="8" t="s">
        <v>1190</v>
      </c>
      <c r="C894" s="8" t="s">
        <v>1080</v>
      </c>
      <c r="D894" s="8" t="s">
        <v>652</v>
      </c>
      <c r="E894" s="8" t="s">
        <v>33</v>
      </c>
      <c r="F894" s="6" t="s">
        <v>39</v>
      </c>
      <c r="G894" s="10">
        <v>1</v>
      </c>
      <c r="H894" s="10">
        <v>1</v>
      </c>
      <c r="I894" s="13">
        <v>9000.0</v>
      </c>
      <c r="J894" s="13"/>
      <c r="K894" s="15">
        <f>IF(I894&gt;0, J894/I894, 0)</f>
        <v>0</v>
      </c>
      <c r="L894" s="13">
        <v>9000.0</v>
      </c>
      <c r="M894" s="13"/>
      <c r="N894" s="13">
        <f>L894-M894</f>
        <v>9000</v>
      </c>
      <c r="O894" s="8" t="s">
        <v>40</v>
      </c>
      <c r="P894" s="8" t="s">
        <v>41</v>
      </c>
      <c r="Q894" s="8" t="s">
        <v>42</v>
      </c>
      <c r="R894" s="6" t="s">
        <v>2137</v>
      </c>
      <c r="S894" s="6" t="s">
        <v>42</v>
      </c>
    </row>
    <row r="895" spans="1:19">
      <c r="A895" s="9">
        <v>888</v>
      </c>
      <c r="B895" s="9" t="s">
        <v>1191</v>
      </c>
      <c r="C895" s="9" t="s">
        <v>1080</v>
      </c>
      <c r="D895" s="9" t="s">
        <v>652</v>
      </c>
      <c r="E895" s="9" t="s">
        <v>33</v>
      </c>
      <c r="F895" s="7" t="s">
        <v>39</v>
      </c>
      <c r="G895" s="11">
        <v>1</v>
      </c>
      <c r="H895" s="11">
        <v>1</v>
      </c>
      <c r="I895" s="14">
        <v>8000.0</v>
      </c>
      <c r="J895" s="14"/>
      <c r="K895" s="16">
        <f>IF(I895&gt;0, J895/I895, 0)</f>
        <v>0</v>
      </c>
      <c r="L895" s="14">
        <v>8000.0</v>
      </c>
      <c r="M895" s="14"/>
      <c r="N895" s="14">
        <f>L895-M895</f>
        <v>8000</v>
      </c>
      <c r="O895" s="9" t="s">
        <v>40</v>
      </c>
      <c r="P895" s="9" t="s">
        <v>41</v>
      </c>
      <c r="Q895" s="9" t="s">
        <v>42</v>
      </c>
      <c r="R895" s="7" t="s">
        <v>2084</v>
      </c>
      <c r="S895" s="7" t="s">
        <v>42</v>
      </c>
    </row>
    <row r="896" spans="1:19">
      <c r="A896" s="8">
        <v>889</v>
      </c>
      <c r="B896" s="8" t="s">
        <v>1192</v>
      </c>
      <c r="C896" s="8" t="s">
        <v>1080</v>
      </c>
      <c r="D896" s="8" t="s">
        <v>652</v>
      </c>
      <c r="E896" s="8" t="s">
        <v>33</v>
      </c>
      <c r="F896" s="6" t="s">
        <v>39</v>
      </c>
      <c r="G896" s="10">
        <v>1</v>
      </c>
      <c r="H896" s="10">
        <v>1</v>
      </c>
      <c r="I896" s="13">
        <v>7000.0</v>
      </c>
      <c r="J896" s="13"/>
      <c r="K896" s="15">
        <f>IF(I896&gt;0, J896/I896, 0)</f>
        <v>0</v>
      </c>
      <c r="L896" s="13">
        <v>7000.0</v>
      </c>
      <c r="M896" s="13"/>
      <c r="N896" s="13">
        <f>L896-M896</f>
        <v>7000</v>
      </c>
      <c r="O896" s="8" t="s">
        <v>40</v>
      </c>
      <c r="P896" s="8" t="s">
        <v>41</v>
      </c>
      <c r="Q896" s="8" t="s">
        <v>42</v>
      </c>
      <c r="R896" s="6" t="s">
        <v>2109</v>
      </c>
      <c r="S896" s="6" t="s">
        <v>42</v>
      </c>
    </row>
    <row r="897" spans="1:19">
      <c r="A897" s="9">
        <v>890</v>
      </c>
      <c r="B897" s="9" t="s">
        <v>1193</v>
      </c>
      <c r="C897" s="9" t="s">
        <v>1080</v>
      </c>
      <c r="D897" s="9" t="s">
        <v>652</v>
      </c>
      <c r="E897" s="9" t="s">
        <v>33</v>
      </c>
      <c r="F897" s="7" t="s">
        <v>39</v>
      </c>
      <c r="G897" s="11">
        <v>1</v>
      </c>
      <c r="H897" s="11">
        <v>1</v>
      </c>
      <c r="I897" s="14">
        <v>9000.0</v>
      </c>
      <c r="J897" s="14"/>
      <c r="K897" s="16">
        <f>IF(I897&gt;0, J897/I897, 0)</f>
        <v>0</v>
      </c>
      <c r="L897" s="14">
        <v>9000.0</v>
      </c>
      <c r="M897" s="14"/>
      <c r="N897" s="14">
        <f>L897-M897</f>
        <v>9000</v>
      </c>
      <c r="O897" s="9" t="s">
        <v>40</v>
      </c>
      <c r="P897" s="9" t="s">
        <v>41</v>
      </c>
      <c r="Q897" s="9" t="s">
        <v>42</v>
      </c>
      <c r="R897" s="7" t="s">
        <v>2200</v>
      </c>
      <c r="S897" s="7" t="s">
        <v>42</v>
      </c>
    </row>
    <row r="898" spans="1:19">
      <c r="A898" s="8">
        <v>891</v>
      </c>
      <c r="B898" s="8" t="s">
        <v>1194</v>
      </c>
      <c r="C898" s="8" t="s">
        <v>1080</v>
      </c>
      <c r="D898" s="8" t="s">
        <v>652</v>
      </c>
      <c r="E898" s="8" t="s">
        <v>33</v>
      </c>
      <c r="F898" s="6" t="s">
        <v>39</v>
      </c>
      <c r="G898" s="10">
        <v>1</v>
      </c>
      <c r="H898" s="10">
        <v>1</v>
      </c>
      <c r="I898" s="13">
        <v>8000.0</v>
      </c>
      <c r="J898" s="13"/>
      <c r="K898" s="15">
        <f>IF(I898&gt;0, J898/I898, 0)</f>
        <v>0</v>
      </c>
      <c r="L898" s="13">
        <v>8000.0</v>
      </c>
      <c r="M898" s="13"/>
      <c r="N898" s="13">
        <f>L898-M898</f>
        <v>8000</v>
      </c>
      <c r="O898" s="8" t="s">
        <v>40</v>
      </c>
      <c r="P898" s="8" t="s">
        <v>41</v>
      </c>
      <c r="Q898" s="8" t="s">
        <v>42</v>
      </c>
      <c r="R898" s="6" t="s">
        <v>2122</v>
      </c>
      <c r="S898" s="6" t="s">
        <v>42</v>
      </c>
    </row>
    <row r="899" spans="1:19">
      <c r="A899" s="9">
        <v>892</v>
      </c>
      <c r="B899" s="9" t="s">
        <v>1195</v>
      </c>
      <c r="C899" s="9" t="s">
        <v>1080</v>
      </c>
      <c r="D899" s="9" t="s">
        <v>652</v>
      </c>
      <c r="E899" s="9" t="s">
        <v>33</v>
      </c>
      <c r="F899" s="7" t="s">
        <v>39</v>
      </c>
      <c r="G899" s="11">
        <v>1</v>
      </c>
      <c r="H899" s="11">
        <v>1</v>
      </c>
      <c r="I899" s="14">
        <v>7000.0</v>
      </c>
      <c r="J899" s="14"/>
      <c r="K899" s="16">
        <f>IF(I899&gt;0, J899/I899, 0)</f>
        <v>0</v>
      </c>
      <c r="L899" s="14">
        <v>7000.0</v>
      </c>
      <c r="M899" s="14"/>
      <c r="N899" s="14">
        <f>L899-M899</f>
        <v>7000</v>
      </c>
      <c r="O899" s="9" t="s">
        <v>40</v>
      </c>
      <c r="P899" s="9" t="s">
        <v>41</v>
      </c>
      <c r="Q899" s="9" t="s">
        <v>42</v>
      </c>
      <c r="R899" s="7" t="s">
        <v>2107</v>
      </c>
      <c r="S899" s="7" t="s">
        <v>42</v>
      </c>
    </row>
    <row r="900" spans="1:19">
      <c r="A900" s="8">
        <v>893</v>
      </c>
      <c r="B900" s="8" t="s">
        <v>1196</v>
      </c>
      <c r="C900" s="8" t="s">
        <v>1080</v>
      </c>
      <c r="D900" s="8" t="s">
        <v>652</v>
      </c>
      <c r="E900" s="8" t="s">
        <v>33</v>
      </c>
      <c r="F900" s="6" t="s">
        <v>39</v>
      </c>
      <c r="G900" s="10">
        <v>1</v>
      </c>
      <c r="H900" s="10">
        <v>1</v>
      </c>
      <c r="I900" s="13">
        <v>8500.0</v>
      </c>
      <c r="J900" s="13"/>
      <c r="K900" s="15">
        <f>IF(I900&gt;0, J900/I900, 0)</f>
        <v>0</v>
      </c>
      <c r="L900" s="13">
        <v>8500.0</v>
      </c>
      <c r="M900" s="13"/>
      <c r="N900" s="13">
        <f>L900-M900</f>
        <v>8500</v>
      </c>
      <c r="O900" s="8" t="s">
        <v>40</v>
      </c>
      <c r="P900" s="8" t="s">
        <v>41</v>
      </c>
      <c r="Q900" s="8" t="s">
        <v>42</v>
      </c>
      <c r="R900" s="6" t="s">
        <v>2078</v>
      </c>
      <c r="S900" s="6" t="s">
        <v>42</v>
      </c>
    </row>
    <row r="901" spans="1:19">
      <c r="A901" s="9">
        <v>894</v>
      </c>
      <c r="B901" s="9" t="s">
        <v>1197</v>
      </c>
      <c r="C901" s="9" t="s">
        <v>1080</v>
      </c>
      <c r="D901" s="9" t="s">
        <v>652</v>
      </c>
      <c r="E901" s="9" t="s">
        <v>33</v>
      </c>
      <c r="F901" s="7" t="s">
        <v>39</v>
      </c>
      <c r="G901" s="11">
        <v>1</v>
      </c>
      <c r="H901" s="11">
        <v>1</v>
      </c>
      <c r="I901" s="14">
        <v>8000.0</v>
      </c>
      <c r="J901" s="14"/>
      <c r="K901" s="16">
        <f>IF(I901&gt;0, J901/I901, 0)</f>
        <v>0</v>
      </c>
      <c r="L901" s="14">
        <v>8000.0</v>
      </c>
      <c r="M901" s="14"/>
      <c r="N901" s="14">
        <f>L901-M901</f>
        <v>8000</v>
      </c>
      <c r="O901" s="9" t="s">
        <v>40</v>
      </c>
      <c r="P901" s="9" t="s">
        <v>41</v>
      </c>
      <c r="Q901" s="9" t="s">
        <v>42</v>
      </c>
      <c r="R901" s="7" t="s">
        <v>2082</v>
      </c>
      <c r="S901" s="7" t="s">
        <v>42</v>
      </c>
    </row>
    <row r="902" spans="1:19">
      <c r="A902" s="8">
        <v>895</v>
      </c>
      <c r="B902" s="8" t="s">
        <v>1198</v>
      </c>
      <c r="C902" s="8" t="s">
        <v>1080</v>
      </c>
      <c r="D902" s="8" t="s">
        <v>652</v>
      </c>
      <c r="E902" s="8" t="s">
        <v>33</v>
      </c>
      <c r="F902" s="6" t="s">
        <v>39</v>
      </c>
      <c r="G902" s="10">
        <v>1</v>
      </c>
      <c r="H902" s="10">
        <v>1</v>
      </c>
      <c r="I902" s="13">
        <v>7000.0</v>
      </c>
      <c r="J902" s="13"/>
      <c r="K902" s="15">
        <f>IF(I902&gt;0, J902/I902, 0)</f>
        <v>0</v>
      </c>
      <c r="L902" s="13">
        <v>7000.0</v>
      </c>
      <c r="M902" s="13"/>
      <c r="N902" s="13">
        <f>L902-M902</f>
        <v>7000</v>
      </c>
      <c r="O902" s="8" t="s">
        <v>40</v>
      </c>
      <c r="P902" s="8" t="s">
        <v>41</v>
      </c>
      <c r="Q902" s="8" t="s">
        <v>42</v>
      </c>
      <c r="R902" s="6" t="s">
        <v>2131</v>
      </c>
      <c r="S902" s="6" t="s">
        <v>42</v>
      </c>
    </row>
    <row r="903" spans="1:19">
      <c r="A903" s="9">
        <v>896</v>
      </c>
      <c r="B903" s="9" t="s">
        <v>1199</v>
      </c>
      <c r="C903" s="9" t="s">
        <v>1080</v>
      </c>
      <c r="D903" s="9" t="s">
        <v>652</v>
      </c>
      <c r="E903" s="9" t="s">
        <v>33</v>
      </c>
      <c r="F903" s="7" t="s">
        <v>39</v>
      </c>
      <c r="G903" s="11">
        <v>1</v>
      </c>
      <c r="H903" s="11">
        <v>1</v>
      </c>
      <c r="I903" s="14">
        <v>16000.0</v>
      </c>
      <c r="J903" s="14"/>
      <c r="K903" s="16">
        <f>IF(I903&gt;0, J903/I903, 0)</f>
        <v>0</v>
      </c>
      <c r="L903" s="14">
        <v>16000.0</v>
      </c>
      <c r="M903" s="14"/>
      <c r="N903" s="14">
        <f>L903-M903</f>
        <v>16000</v>
      </c>
      <c r="O903" s="9" t="s">
        <v>40</v>
      </c>
      <c r="P903" s="9" t="s">
        <v>41</v>
      </c>
      <c r="Q903" s="9" t="s">
        <v>42</v>
      </c>
      <c r="R903" s="7" t="s">
        <v>2094</v>
      </c>
      <c r="S903" s="7" t="s">
        <v>42</v>
      </c>
    </row>
    <row r="904" spans="1:19">
      <c r="A904" s="8">
        <v>897</v>
      </c>
      <c r="B904" s="8" t="s">
        <v>1200</v>
      </c>
      <c r="C904" s="8" t="s">
        <v>1080</v>
      </c>
      <c r="D904" s="8" t="s">
        <v>652</v>
      </c>
      <c r="E904" s="8" t="s">
        <v>33</v>
      </c>
      <c r="F904" s="6" t="s">
        <v>39</v>
      </c>
      <c r="G904" s="10">
        <v>1</v>
      </c>
      <c r="H904" s="10">
        <v>1</v>
      </c>
      <c r="I904" s="13">
        <v>18000.0</v>
      </c>
      <c r="J904" s="13"/>
      <c r="K904" s="15">
        <f>IF(I904&gt;0, J904/I904, 0)</f>
        <v>0</v>
      </c>
      <c r="L904" s="13">
        <v>18000.0</v>
      </c>
      <c r="M904" s="13"/>
      <c r="N904" s="13">
        <f>L904-M904</f>
        <v>18000</v>
      </c>
      <c r="O904" s="8" t="s">
        <v>40</v>
      </c>
      <c r="P904" s="8" t="s">
        <v>41</v>
      </c>
      <c r="Q904" s="8" t="s">
        <v>42</v>
      </c>
      <c r="R904" s="6" t="s">
        <v>2120</v>
      </c>
      <c r="S904" s="6" t="s">
        <v>42</v>
      </c>
    </row>
    <row r="905" spans="1:19">
      <c r="A905" s="9">
        <v>898</v>
      </c>
      <c r="B905" s="9" t="s">
        <v>1201</v>
      </c>
      <c r="C905" s="9" t="s">
        <v>1080</v>
      </c>
      <c r="D905" s="9" t="s">
        <v>652</v>
      </c>
      <c r="E905" s="9" t="s">
        <v>33</v>
      </c>
      <c r="F905" s="7" t="s">
        <v>39</v>
      </c>
      <c r="G905" s="11">
        <v>1</v>
      </c>
      <c r="H905" s="11">
        <v>1</v>
      </c>
      <c r="I905" s="14">
        <v>9000.0</v>
      </c>
      <c r="J905" s="14"/>
      <c r="K905" s="16">
        <f>IF(I905&gt;0, J905/I905, 0)</f>
        <v>0</v>
      </c>
      <c r="L905" s="14">
        <v>9000.0</v>
      </c>
      <c r="M905" s="14"/>
      <c r="N905" s="14">
        <f>L905-M905</f>
        <v>9000</v>
      </c>
      <c r="O905" s="9" t="s">
        <v>40</v>
      </c>
      <c r="P905" s="9" t="s">
        <v>41</v>
      </c>
      <c r="Q905" s="9" t="s">
        <v>42</v>
      </c>
      <c r="R905" s="7" t="s">
        <v>2137</v>
      </c>
      <c r="S905" s="7" t="s">
        <v>42</v>
      </c>
    </row>
    <row r="906" spans="1:19">
      <c r="A906" s="8">
        <v>899</v>
      </c>
      <c r="B906" s="8" t="s">
        <v>1202</v>
      </c>
      <c r="C906" s="8" t="s">
        <v>1080</v>
      </c>
      <c r="D906" s="8" t="s">
        <v>652</v>
      </c>
      <c r="E906" s="8" t="s">
        <v>33</v>
      </c>
      <c r="F906" s="6" t="s">
        <v>39</v>
      </c>
      <c r="G906" s="10">
        <v>1</v>
      </c>
      <c r="H906" s="10">
        <v>1</v>
      </c>
      <c r="I906" s="13">
        <v>8000.0</v>
      </c>
      <c r="J906" s="13"/>
      <c r="K906" s="15">
        <f>IF(I906&gt;0, J906/I906, 0)</f>
        <v>0</v>
      </c>
      <c r="L906" s="13">
        <v>8000.0</v>
      </c>
      <c r="M906" s="13"/>
      <c r="N906" s="13">
        <f>L906-M906</f>
        <v>8000</v>
      </c>
      <c r="O906" s="8" t="s">
        <v>40</v>
      </c>
      <c r="P906" s="8" t="s">
        <v>41</v>
      </c>
      <c r="Q906" s="8" t="s">
        <v>42</v>
      </c>
      <c r="R906" s="6" t="s">
        <v>2084</v>
      </c>
      <c r="S906" s="6" t="s">
        <v>42</v>
      </c>
    </row>
    <row r="907" spans="1:19">
      <c r="A907" s="9">
        <v>900</v>
      </c>
      <c r="B907" s="9" t="s">
        <v>1203</v>
      </c>
      <c r="C907" s="9" t="s">
        <v>1080</v>
      </c>
      <c r="D907" s="9" t="s">
        <v>652</v>
      </c>
      <c r="E907" s="9" t="s">
        <v>33</v>
      </c>
      <c r="F907" s="7" t="s">
        <v>39</v>
      </c>
      <c r="G907" s="11">
        <v>1</v>
      </c>
      <c r="H907" s="11">
        <v>2</v>
      </c>
      <c r="I907" s="14">
        <v>14000.0</v>
      </c>
      <c r="J907" s="14"/>
      <c r="K907" s="16">
        <f>IF(I907&gt;0, J907/I907, 0)</f>
        <v>0</v>
      </c>
      <c r="L907" s="14">
        <v>14000.0</v>
      </c>
      <c r="M907" s="14"/>
      <c r="N907" s="14">
        <f>L907-M907</f>
        <v>14000</v>
      </c>
      <c r="O907" s="9" t="s">
        <v>40</v>
      </c>
      <c r="P907" s="9" t="s">
        <v>41</v>
      </c>
      <c r="Q907" s="9" t="s">
        <v>42</v>
      </c>
      <c r="R907" s="7" t="s">
        <v>2234</v>
      </c>
      <c r="S907" s="7" t="s">
        <v>42</v>
      </c>
    </row>
    <row r="908" spans="1:19">
      <c r="A908" s="8">
        <v>901</v>
      </c>
      <c r="B908" s="8" t="s">
        <v>1204</v>
      </c>
      <c r="C908" s="8" t="s">
        <v>1080</v>
      </c>
      <c r="D908" s="8" t="s">
        <v>652</v>
      </c>
      <c r="E908" s="8" t="s">
        <v>33</v>
      </c>
      <c r="F908" s="6" t="s">
        <v>39</v>
      </c>
      <c r="G908" s="10">
        <v>1</v>
      </c>
      <c r="H908" s="10">
        <v>1</v>
      </c>
      <c r="I908" s="13">
        <v>16500.0</v>
      </c>
      <c r="J908" s="13"/>
      <c r="K908" s="15">
        <f>IF(I908&gt;0, J908/I908, 0)</f>
        <v>0</v>
      </c>
      <c r="L908" s="13">
        <v>16500.0</v>
      </c>
      <c r="M908" s="13"/>
      <c r="N908" s="13">
        <f>L908-M908</f>
        <v>16500</v>
      </c>
      <c r="O908" s="8" t="s">
        <v>40</v>
      </c>
      <c r="P908" s="8" t="s">
        <v>41</v>
      </c>
      <c r="Q908" s="8" t="s">
        <v>42</v>
      </c>
      <c r="R908" s="6" t="s">
        <v>2124</v>
      </c>
      <c r="S908" s="6" t="s">
        <v>42</v>
      </c>
    </row>
    <row r="909" spans="1:19">
      <c r="A909" s="9">
        <v>902</v>
      </c>
      <c r="B909" s="9" t="s">
        <v>1205</v>
      </c>
      <c r="C909" s="9" t="s">
        <v>1080</v>
      </c>
      <c r="D909" s="9" t="s">
        <v>652</v>
      </c>
      <c r="E909" s="9" t="s">
        <v>33</v>
      </c>
      <c r="F909" s="7" t="s">
        <v>39</v>
      </c>
      <c r="G909" s="11">
        <v>1</v>
      </c>
      <c r="H909" s="11">
        <v>1</v>
      </c>
      <c r="I909" s="14">
        <v>8000.0</v>
      </c>
      <c r="J909" s="14"/>
      <c r="K909" s="16">
        <f>IF(I909&gt;0, J909/I909, 0)</f>
        <v>0</v>
      </c>
      <c r="L909" s="14">
        <v>8000.0</v>
      </c>
      <c r="M909" s="14"/>
      <c r="N909" s="14">
        <f>L909-M909</f>
        <v>8000</v>
      </c>
      <c r="O909" s="9" t="s">
        <v>40</v>
      </c>
      <c r="P909" s="9" t="s">
        <v>41</v>
      </c>
      <c r="Q909" s="9" t="s">
        <v>42</v>
      </c>
      <c r="R909" s="7" t="s">
        <v>2171</v>
      </c>
      <c r="S909" s="7" t="s">
        <v>42</v>
      </c>
    </row>
    <row r="910" spans="1:19">
      <c r="A910" s="8">
        <v>903</v>
      </c>
      <c r="B910" s="8" t="s">
        <v>1206</v>
      </c>
      <c r="C910" s="8" t="s">
        <v>1080</v>
      </c>
      <c r="D910" s="8" t="s">
        <v>652</v>
      </c>
      <c r="E910" s="8" t="s">
        <v>33</v>
      </c>
      <c r="F910" s="6" t="s">
        <v>39</v>
      </c>
      <c r="G910" s="10">
        <v>1</v>
      </c>
      <c r="H910" s="10">
        <v>1</v>
      </c>
      <c r="I910" s="13">
        <v>18000.0</v>
      </c>
      <c r="J910" s="13"/>
      <c r="K910" s="15">
        <f>IF(I910&gt;0, J910/I910, 0)</f>
        <v>0</v>
      </c>
      <c r="L910" s="13">
        <v>18000.0</v>
      </c>
      <c r="M910" s="13"/>
      <c r="N910" s="13">
        <f>L910-M910</f>
        <v>18000</v>
      </c>
      <c r="O910" s="8" t="s">
        <v>40</v>
      </c>
      <c r="P910" s="8" t="s">
        <v>41</v>
      </c>
      <c r="Q910" s="8" t="s">
        <v>42</v>
      </c>
      <c r="R910" s="6" t="s">
        <v>2174</v>
      </c>
      <c r="S910" s="6" t="s">
        <v>42</v>
      </c>
    </row>
    <row r="911" spans="1:19">
      <c r="A911" s="9">
        <v>904</v>
      </c>
      <c r="B911" s="9" t="s">
        <v>1207</v>
      </c>
      <c r="C911" s="9" t="s">
        <v>1080</v>
      </c>
      <c r="D911" s="9" t="s">
        <v>652</v>
      </c>
      <c r="E911" s="9" t="s">
        <v>33</v>
      </c>
      <c r="F911" s="7" t="s">
        <v>39</v>
      </c>
      <c r="G911" s="11">
        <v>1</v>
      </c>
      <c r="H911" s="11">
        <v>1</v>
      </c>
      <c r="I911" s="14">
        <v>9500.0</v>
      </c>
      <c r="J911" s="14"/>
      <c r="K911" s="16">
        <f>IF(I911&gt;0, J911/I911, 0)</f>
        <v>0</v>
      </c>
      <c r="L911" s="14">
        <v>9500.0</v>
      </c>
      <c r="M911" s="14"/>
      <c r="N911" s="14">
        <f>L911-M911</f>
        <v>9500</v>
      </c>
      <c r="O911" s="9" t="s">
        <v>40</v>
      </c>
      <c r="P911" s="9" t="s">
        <v>41</v>
      </c>
      <c r="Q911" s="9" t="s">
        <v>42</v>
      </c>
      <c r="R911" s="7" t="s">
        <v>2106</v>
      </c>
      <c r="S911" s="7" t="s">
        <v>42</v>
      </c>
    </row>
    <row r="912" spans="1:19">
      <c r="A912" s="8">
        <v>905</v>
      </c>
      <c r="B912" s="8" t="s">
        <v>1208</v>
      </c>
      <c r="C912" s="8" t="s">
        <v>1080</v>
      </c>
      <c r="D912" s="8" t="s">
        <v>652</v>
      </c>
      <c r="E912" s="8" t="s">
        <v>33</v>
      </c>
      <c r="F912" s="6" t="s">
        <v>39</v>
      </c>
      <c r="G912" s="10">
        <v>1</v>
      </c>
      <c r="H912" s="10">
        <v>2</v>
      </c>
      <c r="I912" s="13">
        <v>16000.0</v>
      </c>
      <c r="J912" s="13"/>
      <c r="K912" s="15">
        <f>IF(I912&gt;0, J912/I912, 0)</f>
        <v>0</v>
      </c>
      <c r="L912" s="13">
        <v>16000.0</v>
      </c>
      <c r="M912" s="13"/>
      <c r="N912" s="13">
        <f>L912-M912</f>
        <v>16000</v>
      </c>
      <c r="O912" s="8" t="s">
        <v>40</v>
      </c>
      <c r="P912" s="8" t="s">
        <v>41</v>
      </c>
      <c r="Q912" s="8" t="s">
        <v>42</v>
      </c>
      <c r="R912" s="6" t="s">
        <v>2184</v>
      </c>
      <c r="S912" s="6" t="s">
        <v>42</v>
      </c>
    </row>
    <row r="913" spans="1:19">
      <c r="A913" s="9">
        <v>906</v>
      </c>
      <c r="B913" s="9" t="s">
        <v>1209</v>
      </c>
      <c r="C913" s="9" t="s">
        <v>1080</v>
      </c>
      <c r="D913" s="9" t="s">
        <v>652</v>
      </c>
      <c r="E913" s="9" t="s">
        <v>68</v>
      </c>
      <c r="F913" s="7" t="s">
        <v>39</v>
      </c>
      <c r="G913" s="11">
        <v>1</v>
      </c>
      <c r="H913" s="11">
        <v>1</v>
      </c>
      <c r="I913" s="14">
        <v>9000.0</v>
      </c>
      <c r="J913" s="14"/>
      <c r="K913" s="16">
        <f>IF(I913&gt;0, J913/I913, 0)</f>
        <v>0</v>
      </c>
      <c r="L913" s="14">
        <v>9000.0</v>
      </c>
      <c r="M913" s="14"/>
      <c r="N913" s="14">
        <f>L913-M913</f>
        <v>9000</v>
      </c>
      <c r="O913" s="9" t="s">
        <v>40</v>
      </c>
      <c r="P913" s="9" t="s">
        <v>71</v>
      </c>
      <c r="Q913" s="9" t="s">
        <v>42</v>
      </c>
      <c r="R913" s="7" t="s">
        <v>2216</v>
      </c>
      <c r="S913" s="7" t="s">
        <v>42</v>
      </c>
    </row>
    <row r="914" spans="1:19">
      <c r="A914" s="8">
        <v>907</v>
      </c>
      <c r="B914" s="8" t="s">
        <v>1210</v>
      </c>
      <c r="C914" s="8" t="s">
        <v>1080</v>
      </c>
      <c r="D914" s="8" t="s">
        <v>652</v>
      </c>
      <c r="E914" s="8" t="s">
        <v>33</v>
      </c>
      <c r="F914" s="6" t="s">
        <v>39</v>
      </c>
      <c r="G914" s="10">
        <v>1</v>
      </c>
      <c r="H914" s="10">
        <v>1</v>
      </c>
      <c r="I914" s="13">
        <v>18000.0</v>
      </c>
      <c r="J914" s="13"/>
      <c r="K914" s="15">
        <f>IF(I914&gt;0, J914/I914, 0)</f>
        <v>0</v>
      </c>
      <c r="L914" s="13">
        <v>18000.0</v>
      </c>
      <c r="M914" s="13"/>
      <c r="N914" s="13">
        <f>L914-M914</f>
        <v>18000</v>
      </c>
      <c r="O914" s="8" t="s">
        <v>40</v>
      </c>
      <c r="P914" s="8" t="s">
        <v>41</v>
      </c>
      <c r="Q914" s="8" t="s">
        <v>42</v>
      </c>
      <c r="R914" s="6" t="s">
        <v>2075</v>
      </c>
      <c r="S914" s="6" t="s">
        <v>42</v>
      </c>
    </row>
    <row r="915" spans="1:19">
      <c r="A915" s="9">
        <v>908</v>
      </c>
      <c r="B915" s="9" t="s">
        <v>1211</v>
      </c>
      <c r="C915" s="9" t="s">
        <v>1080</v>
      </c>
      <c r="D915" s="9" t="s">
        <v>652</v>
      </c>
      <c r="E915" s="9" t="s">
        <v>33</v>
      </c>
      <c r="F915" s="7" t="s">
        <v>39</v>
      </c>
      <c r="G915" s="11">
        <v>1</v>
      </c>
      <c r="H915" s="11">
        <v>1</v>
      </c>
      <c r="I915" s="14">
        <v>8500.0</v>
      </c>
      <c r="J915" s="14"/>
      <c r="K915" s="16">
        <f>IF(I915&gt;0, J915/I915, 0)</f>
        <v>0</v>
      </c>
      <c r="L915" s="14">
        <v>8500.0</v>
      </c>
      <c r="M915" s="14"/>
      <c r="N915" s="14">
        <f>L915-M915</f>
        <v>8500</v>
      </c>
      <c r="O915" s="9" t="s">
        <v>40</v>
      </c>
      <c r="P915" s="9" t="s">
        <v>41</v>
      </c>
      <c r="Q915" s="9" t="s">
        <v>42</v>
      </c>
      <c r="R915" s="7" t="s">
        <v>2099</v>
      </c>
      <c r="S915" s="7" t="s">
        <v>42</v>
      </c>
    </row>
    <row r="916" spans="1:19">
      <c r="A916" s="8">
        <v>909</v>
      </c>
      <c r="B916" s="8" t="s">
        <v>1212</v>
      </c>
      <c r="C916" s="8" t="s">
        <v>1080</v>
      </c>
      <c r="D916" s="8" t="s">
        <v>652</v>
      </c>
      <c r="E916" s="8" t="s">
        <v>33</v>
      </c>
      <c r="F916" s="6" t="s">
        <v>39</v>
      </c>
      <c r="G916" s="10">
        <v>1</v>
      </c>
      <c r="H916" s="10">
        <v>1</v>
      </c>
      <c r="I916" s="13">
        <v>16000.0</v>
      </c>
      <c r="J916" s="13"/>
      <c r="K916" s="15">
        <f>IF(I916&gt;0, J916/I916, 0)</f>
        <v>0</v>
      </c>
      <c r="L916" s="13">
        <v>16000.0</v>
      </c>
      <c r="M916" s="13"/>
      <c r="N916" s="13">
        <f>L916-M916</f>
        <v>16000</v>
      </c>
      <c r="O916" s="8" t="s">
        <v>40</v>
      </c>
      <c r="P916" s="8" t="s">
        <v>41</v>
      </c>
      <c r="Q916" s="8" t="s">
        <v>42</v>
      </c>
      <c r="R916" s="6" t="s">
        <v>2126</v>
      </c>
      <c r="S916" s="6" t="s">
        <v>42</v>
      </c>
    </row>
    <row r="917" spans="1:19">
      <c r="A917" s="9">
        <v>910</v>
      </c>
      <c r="B917" s="9" t="s">
        <v>1213</v>
      </c>
      <c r="C917" s="9" t="s">
        <v>1080</v>
      </c>
      <c r="D917" s="9" t="s">
        <v>652</v>
      </c>
      <c r="E917" s="9" t="s">
        <v>33</v>
      </c>
      <c r="F917" s="7" t="s">
        <v>39</v>
      </c>
      <c r="G917" s="11">
        <v>1</v>
      </c>
      <c r="H917" s="11">
        <v>1</v>
      </c>
      <c r="I917" s="14">
        <v>17000.0</v>
      </c>
      <c r="J917" s="14"/>
      <c r="K917" s="16">
        <f>IF(I917&gt;0, J917/I917, 0)</f>
        <v>0</v>
      </c>
      <c r="L917" s="14">
        <v>17000.0</v>
      </c>
      <c r="M917" s="14"/>
      <c r="N917" s="14">
        <f>L917-M917</f>
        <v>17000</v>
      </c>
      <c r="O917" s="9" t="s">
        <v>40</v>
      </c>
      <c r="P917" s="9" t="s">
        <v>41</v>
      </c>
      <c r="Q917" s="9" t="s">
        <v>42</v>
      </c>
      <c r="R917" s="7" t="s">
        <v>2124</v>
      </c>
      <c r="S917" s="7" t="s">
        <v>42</v>
      </c>
    </row>
    <row r="918" spans="1:19">
      <c r="A918" s="8">
        <v>911</v>
      </c>
      <c r="B918" s="8" t="s">
        <v>1214</v>
      </c>
      <c r="C918" s="8" t="s">
        <v>1080</v>
      </c>
      <c r="D918" s="8" t="s">
        <v>652</v>
      </c>
      <c r="E918" s="8" t="s">
        <v>33</v>
      </c>
      <c r="F918" s="6" t="s">
        <v>39</v>
      </c>
      <c r="G918" s="10">
        <v>1</v>
      </c>
      <c r="H918" s="10">
        <v>1</v>
      </c>
      <c r="I918" s="13">
        <v>7000.0</v>
      </c>
      <c r="J918" s="13"/>
      <c r="K918" s="15">
        <f>IF(I918&gt;0, J918/I918, 0)</f>
        <v>0</v>
      </c>
      <c r="L918" s="13">
        <v>7000.0</v>
      </c>
      <c r="M918" s="13"/>
      <c r="N918" s="13">
        <f>L918-M918</f>
        <v>7000</v>
      </c>
      <c r="O918" s="8" t="s">
        <v>40</v>
      </c>
      <c r="P918" s="8" t="s">
        <v>41</v>
      </c>
      <c r="Q918" s="8" t="s">
        <v>42</v>
      </c>
      <c r="R918" s="6" t="s">
        <v>2088</v>
      </c>
      <c r="S918" s="6" t="s">
        <v>42</v>
      </c>
    </row>
    <row r="919" spans="1:19">
      <c r="A919" s="9">
        <v>912</v>
      </c>
      <c r="B919" s="9" t="s">
        <v>1215</v>
      </c>
      <c r="C919" s="9" t="s">
        <v>1080</v>
      </c>
      <c r="D919" s="9" t="s">
        <v>652</v>
      </c>
      <c r="E919" s="9" t="s">
        <v>33</v>
      </c>
      <c r="F919" s="7" t="s">
        <v>39</v>
      </c>
      <c r="G919" s="11">
        <v>1</v>
      </c>
      <c r="H919" s="11">
        <v>2</v>
      </c>
      <c r="I919" s="14">
        <v>16000.0</v>
      </c>
      <c r="J919" s="14"/>
      <c r="K919" s="16">
        <f>IF(I919&gt;0, J919/I919, 0)</f>
        <v>0</v>
      </c>
      <c r="L919" s="14">
        <v>16000.0</v>
      </c>
      <c r="M919" s="14"/>
      <c r="N919" s="14">
        <f>L919-M919</f>
        <v>16000</v>
      </c>
      <c r="O919" s="9" t="s">
        <v>40</v>
      </c>
      <c r="P919" s="9" t="s">
        <v>41</v>
      </c>
      <c r="Q919" s="9" t="s">
        <v>42</v>
      </c>
      <c r="R919" s="7" t="s">
        <v>2104</v>
      </c>
      <c r="S919" s="7" t="s">
        <v>42</v>
      </c>
    </row>
    <row r="920" spans="1:19">
      <c r="A920" s="8">
        <v>913</v>
      </c>
      <c r="B920" s="8" t="s">
        <v>1216</v>
      </c>
      <c r="C920" s="8" t="s">
        <v>1080</v>
      </c>
      <c r="D920" s="8" t="s">
        <v>652</v>
      </c>
      <c r="E920" s="8" t="s">
        <v>33</v>
      </c>
      <c r="F920" s="6" t="s">
        <v>39</v>
      </c>
      <c r="G920" s="10">
        <v>1</v>
      </c>
      <c r="H920" s="10">
        <v>2</v>
      </c>
      <c r="I920" s="13">
        <v>16000.0</v>
      </c>
      <c r="J920" s="13"/>
      <c r="K920" s="15">
        <f>IF(I920&gt;0, J920/I920, 0)</f>
        <v>0</v>
      </c>
      <c r="L920" s="13">
        <v>16000.0</v>
      </c>
      <c r="M920" s="13"/>
      <c r="N920" s="13">
        <f>L920-M920</f>
        <v>16000</v>
      </c>
      <c r="O920" s="8" t="s">
        <v>40</v>
      </c>
      <c r="P920" s="8" t="s">
        <v>41</v>
      </c>
      <c r="Q920" s="8" t="s">
        <v>42</v>
      </c>
      <c r="R920" s="6" t="s">
        <v>2145</v>
      </c>
      <c r="S920" s="6" t="s">
        <v>42</v>
      </c>
    </row>
    <row r="921" spans="1:19">
      <c r="A921" s="9">
        <v>914</v>
      </c>
      <c r="B921" s="9" t="s">
        <v>1217</v>
      </c>
      <c r="C921" s="9" t="s">
        <v>1080</v>
      </c>
      <c r="D921" s="9" t="s">
        <v>652</v>
      </c>
      <c r="E921" s="9" t="s">
        <v>33</v>
      </c>
      <c r="F921" s="7" t="s">
        <v>39</v>
      </c>
      <c r="G921" s="11">
        <v>1</v>
      </c>
      <c r="H921" s="11">
        <v>1</v>
      </c>
      <c r="I921" s="14">
        <v>8000.0</v>
      </c>
      <c r="J921" s="14"/>
      <c r="K921" s="16">
        <f>IF(I921&gt;0, J921/I921, 0)</f>
        <v>0</v>
      </c>
      <c r="L921" s="14">
        <v>8000.0</v>
      </c>
      <c r="M921" s="14"/>
      <c r="N921" s="14">
        <f>L921-M921</f>
        <v>8000</v>
      </c>
      <c r="O921" s="9" t="s">
        <v>40</v>
      </c>
      <c r="P921" s="9" t="s">
        <v>41</v>
      </c>
      <c r="Q921" s="9" t="s">
        <v>42</v>
      </c>
      <c r="R921" s="7" t="s">
        <v>2158</v>
      </c>
      <c r="S921" s="7" t="s">
        <v>42</v>
      </c>
    </row>
    <row r="922" spans="1:19">
      <c r="A922" s="8">
        <v>915</v>
      </c>
      <c r="B922" s="8" t="s">
        <v>1218</v>
      </c>
      <c r="C922" s="8" t="s">
        <v>1080</v>
      </c>
      <c r="D922" s="8" t="s">
        <v>652</v>
      </c>
      <c r="E922" s="8" t="s">
        <v>68</v>
      </c>
      <c r="F922" s="6" t="s">
        <v>39</v>
      </c>
      <c r="G922" s="10">
        <v>1</v>
      </c>
      <c r="H922" s="10">
        <v>1</v>
      </c>
      <c r="I922" s="13">
        <v>8000.0</v>
      </c>
      <c r="J922" s="13"/>
      <c r="K922" s="15">
        <f>IF(I922&gt;0, J922/I922, 0)</f>
        <v>0</v>
      </c>
      <c r="L922" s="13">
        <v>8000.0</v>
      </c>
      <c r="M922" s="13"/>
      <c r="N922" s="13">
        <f>L922-M922</f>
        <v>8000</v>
      </c>
      <c r="O922" s="8" t="s">
        <v>40</v>
      </c>
      <c r="P922" s="8" t="s">
        <v>71</v>
      </c>
      <c r="Q922" s="8" t="s">
        <v>42</v>
      </c>
      <c r="R922" s="6" t="s">
        <v>2190</v>
      </c>
      <c r="S922" s="6" t="s">
        <v>42</v>
      </c>
    </row>
    <row r="923" spans="1:19">
      <c r="A923" s="9">
        <v>916</v>
      </c>
      <c r="B923" s="9" t="s">
        <v>1219</v>
      </c>
      <c r="C923" s="9" t="s">
        <v>1080</v>
      </c>
      <c r="D923" s="9" t="s">
        <v>652</v>
      </c>
      <c r="E923" s="9" t="s">
        <v>68</v>
      </c>
      <c r="F923" s="7" t="s">
        <v>39</v>
      </c>
      <c r="G923" s="11">
        <v>1</v>
      </c>
      <c r="H923" s="11">
        <v>1</v>
      </c>
      <c r="I923" s="14">
        <v>10000.0</v>
      </c>
      <c r="J923" s="14"/>
      <c r="K923" s="16">
        <f>IF(I923&gt;0, J923/I923, 0)</f>
        <v>0</v>
      </c>
      <c r="L923" s="14">
        <v>10000.0</v>
      </c>
      <c r="M923" s="14"/>
      <c r="N923" s="14">
        <f>L923-M923</f>
        <v>10000</v>
      </c>
      <c r="O923" s="9" t="s">
        <v>40</v>
      </c>
      <c r="P923" s="9" t="s">
        <v>71</v>
      </c>
      <c r="Q923" s="9" t="s">
        <v>42</v>
      </c>
      <c r="R923" s="7" t="s">
        <v>2138</v>
      </c>
      <c r="S923" s="7" t="s">
        <v>42</v>
      </c>
    </row>
    <row r="924" spans="1:19">
      <c r="A924" s="8">
        <v>917</v>
      </c>
      <c r="B924" s="8" t="s">
        <v>1220</v>
      </c>
      <c r="C924" s="8" t="s">
        <v>1080</v>
      </c>
      <c r="D924" s="8" t="s">
        <v>652</v>
      </c>
      <c r="E924" s="8" t="s">
        <v>33</v>
      </c>
      <c r="F924" s="6" t="s">
        <v>39</v>
      </c>
      <c r="G924" s="10">
        <v>1</v>
      </c>
      <c r="H924" s="10">
        <v>1</v>
      </c>
      <c r="I924" s="13">
        <v>18000.0</v>
      </c>
      <c r="J924" s="13"/>
      <c r="K924" s="15">
        <f>IF(I924&gt;0, J924/I924, 0)</f>
        <v>0</v>
      </c>
      <c r="L924" s="13">
        <v>18000.0</v>
      </c>
      <c r="M924" s="13"/>
      <c r="N924" s="13">
        <f>L924-M924</f>
        <v>18000</v>
      </c>
      <c r="O924" s="8" t="s">
        <v>40</v>
      </c>
      <c r="P924" s="8" t="s">
        <v>41</v>
      </c>
      <c r="Q924" s="8" t="s">
        <v>42</v>
      </c>
      <c r="R924" s="6" t="s">
        <v>2160</v>
      </c>
      <c r="S924" s="6" t="s">
        <v>42</v>
      </c>
    </row>
    <row r="925" spans="1:19">
      <c r="A925" s="9">
        <v>918</v>
      </c>
      <c r="B925" s="9" t="s">
        <v>1221</v>
      </c>
      <c r="C925" s="9" t="s">
        <v>1080</v>
      </c>
      <c r="D925" s="9" t="s">
        <v>652</v>
      </c>
      <c r="E925" s="9" t="s">
        <v>33</v>
      </c>
      <c r="F925" s="7" t="s">
        <v>39</v>
      </c>
      <c r="G925" s="11">
        <v>1</v>
      </c>
      <c r="H925" s="11">
        <v>1</v>
      </c>
      <c r="I925" s="14">
        <v>9000.0</v>
      </c>
      <c r="J925" s="14"/>
      <c r="K925" s="16">
        <f>IF(I925&gt;0, J925/I925, 0)</f>
        <v>0</v>
      </c>
      <c r="L925" s="14">
        <v>9000.0</v>
      </c>
      <c r="M925" s="14"/>
      <c r="N925" s="14">
        <f>L925-M925</f>
        <v>9000</v>
      </c>
      <c r="O925" s="9" t="s">
        <v>40</v>
      </c>
      <c r="P925" s="9" t="s">
        <v>41</v>
      </c>
      <c r="Q925" s="9" t="s">
        <v>42</v>
      </c>
      <c r="R925" s="7" t="s">
        <v>2125</v>
      </c>
      <c r="S925" s="7" t="s">
        <v>42</v>
      </c>
    </row>
    <row r="926" spans="1:19">
      <c r="A926" s="8">
        <v>919</v>
      </c>
      <c r="B926" s="8" t="s">
        <v>1222</v>
      </c>
      <c r="C926" s="8" t="s">
        <v>1080</v>
      </c>
      <c r="D926" s="8" t="s">
        <v>652</v>
      </c>
      <c r="E926" s="8" t="s">
        <v>33</v>
      </c>
      <c r="F926" s="6" t="s">
        <v>39</v>
      </c>
      <c r="G926" s="10">
        <v>1</v>
      </c>
      <c r="H926" s="10">
        <v>1</v>
      </c>
      <c r="I926" s="13">
        <v>16000.0</v>
      </c>
      <c r="J926" s="13"/>
      <c r="K926" s="15">
        <f>IF(I926&gt;0, J926/I926, 0)</f>
        <v>0</v>
      </c>
      <c r="L926" s="13">
        <v>16000.0</v>
      </c>
      <c r="M926" s="13"/>
      <c r="N926" s="13">
        <f>L926-M926</f>
        <v>16000</v>
      </c>
      <c r="O926" s="8" t="s">
        <v>40</v>
      </c>
      <c r="P926" s="8" t="s">
        <v>41</v>
      </c>
      <c r="Q926" s="8" t="s">
        <v>42</v>
      </c>
      <c r="R926" s="6" t="s">
        <v>2126</v>
      </c>
      <c r="S926" s="6" t="s">
        <v>42</v>
      </c>
    </row>
    <row r="927" spans="1:19">
      <c r="A927" s="9">
        <v>920</v>
      </c>
      <c r="B927" s="9" t="s">
        <v>1223</v>
      </c>
      <c r="C927" s="9" t="s">
        <v>1080</v>
      </c>
      <c r="D927" s="9" t="s">
        <v>652</v>
      </c>
      <c r="E927" s="9" t="s">
        <v>33</v>
      </c>
      <c r="F927" s="7" t="s">
        <v>39</v>
      </c>
      <c r="G927" s="11">
        <v>1</v>
      </c>
      <c r="H927" s="11">
        <v>2</v>
      </c>
      <c r="I927" s="14">
        <v>14000.0</v>
      </c>
      <c r="J927" s="14"/>
      <c r="K927" s="16">
        <f>IF(I927&gt;0, J927/I927, 0)</f>
        <v>0</v>
      </c>
      <c r="L927" s="14">
        <v>14000.0</v>
      </c>
      <c r="M927" s="14"/>
      <c r="N927" s="14">
        <f>L927-M927</f>
        <v>14000</v>
      </c>
      <c r="O927" s="9" t="s">
        <v>40</v>
      </c>
      <c r="P927" s="9" t="s">
        <v>41</v>
      </c>
      <c r="Q927" s="9" t="s">
        <v>42</v>
      </c>
      <c r="R927" s="7" t="s">
        <v>2168</v>
      </c>
      <c r="S927" s="7" t="s">
        <v>42</v>
      </c>
    </row>
    <row r="928" spans="1:19">
      <c r="A928" s="8">
        <v>921</v>
      </c>
      <c r="B928" s="8" t="s">
        <v>1224</v>
      </c>
      <c r="C928" s="8" t="s">
        <v>1080</v>
      </c>
      <c r="D928" s="8" t="s">
        <v>652</v>
      </c>
      <c r="E928" s="8" t="s">
        <v>33</v>
      </c>
      <c r="F928" s="6" t="s">
        <v>39</v>
      </c>
      <c r="G928" s="10">
        <v>1</v>
      </c>
      <c r="H928" s="10">
        <v>1</v>
      </c>
      <c r="I928" s="13">
        <v>8000.0</v>
      </c>
      <c r="J928" s="13"/>
      <c r="K928" s="15">
        <f>IF(I928&gt;0, J928/I928, 0)</f>
        <v>0</v>
      </c>
      <c r="L928" s="13">
        <v>8000.0</v>
      </c>
      <c r="M928" s="13"/>
      <c r="N928" s="13">
        <f>L928-M928</f>
        <v>8000</v>
      </c>
      <c r="O928" s="8" t="s">
        <v>40</v>
      </c>
      <c r="P928" s="8" t="s">
        <v>41</v>
      </c>
      <c r="Q928" s="8" t="s">
        <v>42</v>
      </c>
      <c r="R928" s="6" t="s">
        <v>2141</v>
      </c>
      <c r="S928" s="6" t="s">
        <v>42</v>
      </c>
    </row>
    <row r="929" spans="1:19">
      <c r="A929" s="9">
        <v>922</v>
      </c>
      <c r="B929" s="9" t="s">
        <v>1225</v>
      </c>
      <c r="C929" s="9" t="s">
        <v>1080</v>
      </c>
      <c r="D929" s="9" t="s">
        <v>652</v>
      </c>
      <c r="E929" s="9" t="s">
        <v>33</v>
      </c>
      <c r="F929" s="7" t="s">
        <v>39</v>
      </c>
      <c r="G929" s="11">
        <v>1</v>
      </c>
      <c r="H929" s="11">
        <v>1</v>
      </c>
      <c r="I929" s="14">
        <v>8000.0</v>
      </c>
      <c r="J929" s="14"/>
      <c r="K929" s="16">
        <f>IF(I929&gt;0, J929/I929, 0)</f>
        <v>0</v>
      </c>
      <c r="L929" s="14">
        <v>8000.0</v>
      </c>
      <c r="M929" s="14"/>
      <c r="N929" s="14">
        <f>L929-M929</f>
        <v>8000</v>
      </c>
      <c r="O929" s="9" t="s">
        <v>40</v>
      </c>
      <c r="P929" s="9" t="s">
        <v>41</v>
      </c>
      <c r="Q929" s="9" t="s">
        <v>42</v>
      </c>
      <c r="R929" s="7" t="s">
        <v>2159</v>
      </c>
      <c r="S929" s="7" t="s">
        <v>42</v>
      </c>
    </row>
    <row r="930" spans="1:19">
      <c r="A930" s="8">
        <v>923</v>
      </c>
      <c r="B930" s="8" t="s">
        <v>1226</v>
      </c>
      <c r="C930" s="8" t="s">
        <v>1080</v>
      </c>
      <c r="D930" s="8" t="s">
        <v>652</v>
      </c>
      <c r="E930" s="8" t="s">
        <v>33</v>
      </c>
      <c r="F930" s="6" t="s">
        <v>39</v>
      </c>
      <c r="G930" s="10">
        <v>1</v>
      </c>
      <c r="H930" s="10">
        <v>1</v>
      </c>
      <c r="I930" s="13">
        <v>8000.0</v>
      </c>
      <c r="J930" s="13"/>
      <c r="K930" s="15">
        <f>IF(I930&gt;0, J930/I930, 0)</f>
        <v>0</v>
      </c>
      <c r="L930" s="13">
        <v>8000.0</v>
      </c>
      <c r="M930" s="13"/>
      <c r="N930" s="13">
        <f>L930-M930</f>
        <v>8000</v>
      </c>
      <c r="O930" s="8" t="s">
        <v>40</v>
      </c>
      <c r="P930" s="8" t="s">
        <v>41</v>
      </c>
      <c r="Q930" s="8" t="s">
        <v>42</v>
      </c>
      <c r="R930" s="6" t="s">
        <v>2116</v>
      </c>
      <c r="S930" s="6" t="s">
        <v>42</v>
      </c>
    </row>
    <row r="931" spans="1:19">
      <c r="A931" s="9">
        <v>924</v>
      </c>
      <c r="B931" s="9" t="s">
        <v>1227</v>
      </c>
      <c r="C931" s="9" t="s">
        <v>1080</v>
      </c>
      <c r="D931" s="9" t="s">
        <v>652</v>
      </c>
      <c r="E931" s="9" t="s">
        <v>33</v>
      </c>
      <c r="F931" s="7" t="s">
        <v>39</v>
      </c>
      <c r="G931" s="11">
        <v>1</v>
      </c>
      <c r="H931" s="11">
        <v>1</v>
      </c>
      <c r="I931" s="14">
        <v>16000.0</v>
      </c>
      <c r="J931" s="14"/>
      <c r="K931" s="16">
        <f>IF(I931&gt;0, J931/I931, 0)</f>
        <v>0</v>
      </c>
      <c r="L931" s="14">
        <v>16000.0</v>
      </c>
      <c r="M931" s="14"/>
      <c r="N931" s="14">
        <f>L931-M931</f>
        <v>16000</v>
      </c>
      <c r="O931" s="9" t="s">
        <v>40</v>
      </c>
      <c r="P931" s="9" t="s">
        <v>41</v>
      </c>
      <c r="Q931" s="9" t="s">
        <v>42</v>
      </c>
      <c r="R931" s="7" t="s">
        <v>2127</v>
      </c>
      <c r="S931" s="7" t="s">
        <v>42</v>
      </c>
    </row>
    <row r="932" spans="1:19">
      <c r="A932" s="8">
        <v>925</v>
      </c>
      <c r="B932" s="8" t="s">
        <v>1228</v>
      </c>
      <c r="C932" s="8" t="s">
        <v>1080</v>
      </c>
      <c r="D932" s="8" t="s">
        <v>652</v>
      </c>
      <c r="E932" s="8" t="s">
        <v>33</v>
      </c>
      <c r="F932" s="6" t="s">
        <v>39</v>
      </c>
      <c r="G932" s="10">
        <v>1</v>
      </c>
      <c r="H932" s="10">
        <v>1</v>
      </c>
      <c r="I932" s="13">
        <v>18000.0</v>
      </c>
      <c r="J932" s="13"/>
      <c r="K932" s="15">
        <f>IF(I932&gt;0, J932/I932, 0)</f>
        <v>0</v>
      </c>
      <c r="L932" s="13">
        <v>18000.0</v>
      </c>
      <c r="M932" s="13"/>
      <c r="N932" s="13">
        <f>L932-M932</f>
        <v>18000</v>
      </c>
      <c r="O932" s="8" t="s">
        <v>40</v>
      </c>
      <c r="P932" s="8" t="s">
        <v>41</v>
      </c>
      <c r="Q932" s="8" t="s">
        <v>42</v>
      </c>
      <c r="R932" s="6" t="s">
        <v>2166</v>
      </c>
      <c r="S932" s="6" t="s">
        <v>42</v>
      </c>
    </row>
    <row r="933" spans="1:19">
      <c r="A933" s="9">
        <v>926</v>
      </c>
      <c r="B933" s="9" t="s">
        <v>1229</v>
      </c>
      <c r="C933" s="9" t="s">
        <v>1080</v>
      </c>
      <c r="D933" s="9" t="s">
        <v>652</v>
      </c>
      <c r="E933" s="9" t="s">
        <v>33</v>
      </c>
      <c r="F933" s="7" t="s">
        <v>39</v>
      </c>
      <c r="G933" s="11">
        <v>1</v>
      </c>
      <c r="H933" s="11">
        <v>1</v>
      </c>
      <c r="I933" s="14">
        <v>8000.0</v>
      </c>
      <c r="J933" s="14"/>
      <c r="K933" s="16">
        <f>IF(I933&gt;0, J933/I933, 0)</f>
        <v>0</v>
      </c>
      <c r="L933" s="14">
        <v>8000.0</v>
      </c>
      <c r="M933" s="14"/>
      <c r="N933" s="14">
        <f>L933-M933</f>
        <v>8000</v>
      </c>
      <c r="O933" s="9" t="s">
        <v>40</v>
      </c>
      <c r="P933" s="9" t="s">
        <v>41</v>
      </c>
      <c r="Q933" s="9" t="s">
        <v>42</v>
      </c>
      <c r="R933" s="7" t="s">
        <v>2105</v>
      </c>
      <c r="S933" s="7" t="s">
        <v>42</v>
      </c>
    </row>
    <row r="934" spans="1:19">
      <c r="A934" s="8">
        <v>927</v>
      </c>
      <c r="B934" s="8" t="s">
        <v>1230</v>
      </c>
      <c r="C934" s="8" t="s">
        <v>1080</v>
      </c>
      <c r="D934" s="8" t="s">
        <v>652</v>
      </c>
      <c r="E934" s="8" t="s">
        <v>33</v>
      </c>
      <c r="F934" s="6" t="s">
        <v>39</v>
      </c>
      <c r="G934" s="10">
        <v>1</v>
      </c>
      <c r="H934" s="10">
        <v>2</v>
      </c>
      <c r="I934" s="13">
        <v>14000.0</v>
      </c>
      <c r="J934" s="13"/>
      <c r="K934" s="15">
        <f>IF(I934&gt;0, J934/I934, 0)</f>
        <v>0</v>
      </c>
      <c r="L934" s="13">
        <v>14000.0</v>
      </c>
      <c r="M934" s="13"/>
      <c r="N934" s="13">
        <f>L934-M934</f>
        <v>14000</v>
      </c>
      <c r="O934" s="8" t="s">
        <v>40</v>
      </c>
      <c r="P934" s="8" t="s">
        <v>41</v>
      </c>
      <c r="Q934" s="8" t="s">
        <v>42</v>
      </c>
      <c r="R934" s="6" t="s">
        <v>2117</v>
      </c>
      <c r="S934" s="6" t="s">
        <v>42</v>
      </c>
    </row>
    <row r="935" spans="1:19">
      <c r="A935" s="9">
        <v>928</v>
      </c>
      <c r="B935" s="9" t="s">
        <v>1231</v>
      </c>
      <c r="C935" s="9" t="s">
        <v>1080</v>
      </c>
      <c r="D935" s="9" t="s">
        <v>652</v>
      </c>
      <c r="E935" s="9" t="s">
        <v>33</v>
      </c>
      <c r="F935" s="7" t="s">
        <v>39</v>
      </c>
      <c r="G935" s="11">
        <v>1</v>
      </c>
      <c r="H935" s="11">
        <v>1</v>
      </c>
      <c r="I935" s="14">
        <v>10000.0</v>
      </c>
      <c r="J935" s="14"/>
      <c r="K935" s="16">
        <f>IF(I935&gt;0, J935/I935, 0)</f>
        <v>0</v>
      </c>
      <c r="L935" s="14">
        <v>10000.0</v>
      </c>
      <c r="M935" s="14"/>
      <c r="N935" s="14">
        <f>L935-M935</f>
        <v>10000</v>
      </c>
      <c r="O935" s="9" t="s">
        <v>40</v>
      </c>
      <c r="P935" s="9" t="s">
        <v>41</v>
      </c>
      <c r="Q935" s="9" t="s">
        <v>42</v>
      </c>
      <c r="R935" s="7" t="s">
        <v>2138</v>
      </c>
      <c r="S935" s="7" t="s">
        <v>42</v>
      </c>
    </row>
    <row r="936" spans="1:19">
      <c r="A936" s="8">
        <v>929</v>
      </c>
      <c r="B936" s="8" t="s">
        <v>1232</v>
      </c>
      <c r="C936" s="8" t="s">
        <v>1080</v>
      </c>
      <c r="D936" s="8" t="s">
        <v>652</v>
      </c>
      <c r="E936" s="8" t="s">
        <v>68</v>
      </c>
      <c r="F936" s="6" t="s">
        <v>39</v>
      </c>
      <c r="G936" s="10">
        <v>1</v>
      </c>
      <c r="H936" s="10">
        <v>1</v>
      </c>
      <c r="I936" s="13">
        <v>8000.0</v>
      </c>
      <c r="J936" s="13"/>
      <c r="K936" s="15">
        <f>IF(I936&gt;0, J936/I936, 0)</f>
        <v>0</v>
      </c>
      <c r="L936" s="13">
        <v>8000.0</v>
      </c>
      <c r="M936" s="13"/>
      <c r="N936" s="13">
        <f>L936-M936</f>
        <v>8000</v>
      </c>
      <c r="O936" s="8" t="s">
        <v>40</v>
      </c>
      <c r="P936" s="8" t="s">
        <v>1233</v>
      </c>
      <c r="Q936" s="8" t="s">
        <v>42</v>
      </c>
      <c r="R936" s="6" t="s">
        <v>2190</v>
      </c>
      <c r="S936" s="6" t="s">
        <v>42</v>
      </c>
    </row>
    <row r="937" spans="1:19">
      <c r="A937" s="9">
        <v>930</v>
      </c>
      <c r="B937" s="9" t="s">
        <v>1234</v>
      </c>
      <c r="C937" s="9" t="s">
        <v>1080</v>
      </c>
      <c r="D937" s="9" t="s">
        <v>652</v>
      </c>
      <c r="E937" s="9" t="s">
        <v>33</v>
      </c>
      <c r="F937" s="7" t="s">
        <v>39</v>
      </c>
      <c r="G937" s="11">
        <v>1</v>
      </c>
      <c r="H937" s="11">
        <v>1</v>
      </c>
      <c r="I937" s="14">
        <v>9000.0</v>
      </c>
      <c r="J937" s="14"/>
      <c r="K937" s="16">
        <f>IF(I937&gt;0, J937/I937, 0)</f>
        <v>0</v>
      </c>
      <c r="L937" s="14">
        <v>9000.0</v>
      </c>
      <c r="M937" s="14"/>
      <c r="N937" s="14">
        <f>L937-M937</f>
        <v>9000</v>
      </c>
      <c r="O937" s="9" t="s">
        <v>40</v>
      </c>
      <c r="P937" s="9" t="s">
        <v>41</v>
      </c>
      <c r="Q937" s="9" t="s">
        <v>42</v>
      </c>
      <c r="R937" s="7" t="s">
        <v>2116</v>
      </c>
      <c r="S937" s="7" t="s">
        <v>42</v>
      </c>
    </row>
    <row r="938" spans="1:19">
      <c r="A938" s="8">
        <v>931</v>
      </c>
      <c r="B938" s="8" t="s">
        <v>1235</v>
      </c>
      <c r="C938" s="8" t="s">
        <v>1080</v>
      </c>
      <c r="D938" s="8" t="s">
        <v>652</v>
      </c>
      <c r="E938" s="8" t="s">
        <v>33</v>
      </c>
      <c r="F938" s="6" t="s">
        <v>39</v>
      </c>
      <c r="G938" s="10">
        <v>1</v>
      </c>
      <c r="H938" s="10">
        <v>1</v>
      </c>
      <c r="I938" s="13">
        <v>16000.0</v>
      </c>
      <c r="J938" s="13"/>
      <c r="K938" s="15">
        <f>IF(I938&gt;0, J938/I938, 0)</f>
        <v>0</v>
      </c>
      <c r="L938" s="13">
        <v>16000.0</v>
      </c>
      <c r="M938" s="13"/>
      <c r="N938" s="13">
        <f>L938-M938</f>
        <v>16000</v>
      </c>
      <c r="O938" s="8" t="s">
        <v>40</v>
      </c>
      <c r="P938" s="8" t="s">
        <v>41</v>
      </c>
      <c r="Q938" s="8" t="s">
        <v>42</v>
      </c>
      <c r="R938" s="6" t="s">
        <v>2132</v>
      </c>
      <c r="S938" s="6" t="s">
        <v>42</v>
      </c>
    </row>
    <row r="939" spans="1:19">
      <c r="A939" s="9">
        <v>932</v>
      </c>
      <c r="B939" s="9" t="s">
        <v>1236</v>
      </c>
      <c r="C939" s="9" t="s">
        <v>1080</v>
      </c>
      <c r="D939" s="9" t="s">
        <v>652</v>
      </c>
      <c r="E939" s="9" t="s">
        <v>33</v>
      </c>
      <c r="F939" s="7" t="s">
        <v>39</v>
      </c>
      <c r="G939" s="11">
        <v>1</v>
      </c>
      <c r="H939" s="11">
        <v>1</v>
      </c>
      <c r="I939" s="14">
        <v>7000.0</v>
      </c>
      <c r="J939" s="14"/>
      <c r="K939" s="16">
        <f>IF(I939&gt;0, J939/I939, 0)</f>
        <v>0</v>
      </c>
      <c r="L939" s="14">
        <v>7000.0</v>
      </c>
      <c r="M939" s="14"/>
      <c r="N939" s="14">
        <f>L939-M939</f>
        <v>7000</v>
      </c>
      <c r="O939" s="9" t="s">
        <v>40</v>
      </c>
      <c r="P939" s="9" t="s">
        <v>41</v>
      </c>
      <c r="Q939" s="9" t="s">
        <v>42</v>
      </c>
      <c r="R939" s="7" t="s">
        <v>2131</v>
      </c>
      <c r="S939" s="7" t="s">
        <v>42</v>
      </c>
    </row>
    <row r="940" spans="1:19">
      <c r="A940" s="8">
        <v>933</v>
      </c>
      <c r="B940" s="8" t="s">
        <v>1237</v>
      </c>
      <c r="C940" s="8" t="s">
        <v>1080</v>
      </c>
      <c r="D940" s="8" t="s">
        <v>652</v>
      </c>
      <c r="E940" s="8" t="s">
        <v>33</v>
      </c>
      <c r="F940" s="6" t="s">
        <v>39</v>
      </c>
      <c r="G940" s="10">
        <v>1</v>
      </c>
      <c r="H940" s="10">
        <v>1</v>
      </c>
      <c r="I940" s="13">
        <v>7000.0</v>
      </c>
      <c r="J940" s="13"/>
      <c r="K940" s="15">
        <f>IF(I940&gt;0, J940/I940, 0)</f>
        <v>0</v>
      </c>
      <c r="L940" s="13">
        <v>7000.0</v>
      </c>
      <c r="M940" s="13"/>
      <c r="N940" s="13">
        <f>L940-M940</f>
        <v>7000</v>
      </c>
      <c r="O940" s="8" t="s">
        <v>40</v>
      </c>
      <c r="P940" s="8" t="s">
        <v>41</v>
      </c>
      <c r="Q940" s="8" t="s">
        <v>42</v>
      </c>
      <c r="R940" s="6" t="s">
        <v>2155</v>
      </c>
      <c r="S940" s="6" t="s">
        <v>42</v>
      </c>
    </row>
    <row r="941" spans="1:19">
      <c r="A941" s="9">
        <v>934</v>
      </c>
      <c r="B941" s="9" t="s">
        <v>1238</v>
      </c>
      <c r="C941" s="9" t="s">
        <v>1080</v>
      </c>
      <c r="D941" s="9" t="s">
        <v>652</v>
      </c>
      <c r="E941" s="9" t="s">
        <v>33</v>
      </c>
      <c r="F941" s="7" t="s">
        <v>39</v>
      </c>
      <c r="G941" s="11">
        <v>1</v>
      </c>
      <c r="H941" s="11">
        <v>2</v>
      </c>
      <c r="I941" s="14">
        <v>16000.0</v>
      </c>
      <c r="J941" s="14"/>
      <c r="K941" s="16">
        <f>IF(I941&gt;0, J941/I941, 0)</f>
        <v>0</v>
      </c>
      <c r="L941" s="14">
        <v>16000.0</v>
      </c>
      <c r="M941" s="14"/>
      <c r="N941" s="14">
        <f>L941-M941</f>
        <v>16000</v>
      </c>
      <c r="O941" s="9" t="s">
        <v>40</v>
      </c>
      <c r="P941" s="9" t="s">
        <v>41</v>
      </c>
      <c r="Q941" s="9" t="s">
        <v>42</v>
      </c>
      <c r="R941" s="7" t="s">
        <v>2226</v>
      </c>
      <c r="S941" s="7" t="s">
        <v>42</v>
      </c>
    </row>
    <row r="942" spans="1:19">
      <c r="A942" s="8">
        <v>935</v>
      </c>
      <c r="B942" s="8" t="s">
        <v>1239</v>
      </c>
      <c r="C942" s="8" t="s">
        <v>1080</v>
      </c>
      <c r="D942" s="8" t="s">
        <v>652</v>
      </c>
      <c r="E942" s="8" t="s">
        <v>33</v>
      </c>
      <c r="F942" s="6" t="s">
        <v>39</v>
      </c>
      <c r="G942" s="10">
        <v>1</v>
      </c>
      <c r="H942" s="10">
        <v>2</v>
      </c>
      <c r="I942" s="13">
        <v>14000.0</v>
      </c>
      <c r="J942" s="13"/>
      <c r="K942" s="15">
        <f>IF(I942&gt;0, J942/I942, 0)</f>
        <v>0</v>
      </c>
      <c r="L942" s="13">
        <v>14000.0</v>
      </c>
      <c r="M942" s="13"/>
      <c r="N942" s="13">
        <f>L942-M942</f>
        <v>14000</v>
      </c>
      <c r="O942" s="8" t="s">
        <v>40</v>
      </c>
      <c r="P942" s="8" t="s">
        <v>41</v>
      </c>
      <c r="Q942" s="8" t="s">
        <v>42</v>
      </c>
      <c r="R942" s="6" t="s">
        <v>2168</v>
      </c>
      <c r="S942" s="6" t="s">
        <v>42</v>
      </c>
    </row>
    <row r="943" spans="1:19">
      <c r="A943" s="9">
        <v>936</v>
      </c>
      <c r="B943" s="9" t="s">
        <v>1240</v>
      </c>
      <c r="C943" s="9" t="s">
        <v>1080</v>
      </c>
      <c r="D943" s="9" t="s">
        <v>652</v>
      </c>
      <c r="E943" s="9" t="s">
        <v>33</v>
      </c>
      <c r="F943" s="7" t="s">
        <v>39</v>
      </c>
      <c r="G943" s="11">
        <v>1</v>
      </c>
      <c r="H943" s="11">
        <v>2</v>
      </c>
      <c r="I943" s="14">
        <v>18000.0</v>
      </c>
      <c r="J943" s="14"/>
      <c r="K943" s="16">
        <f>IF(I943&gt;0, J943/I943, 0)</f>
        <v>0</v>
      </c>
      <c r="L943" s="14">
        <v>18000.0</v>
      </c>
      <c r="M943" s="14"/>
      <c r="N943" s="14">
        <f>L943-M943</f>
        <v>18000</v>
      </c>
      <c r="O943" s="9" t="s">
        <v>40</v>
      </c>
      <c r="P943" s="9" t="s">
        <v>41</v>
      </c>
      <c r="Q943" s="9" t="s">
        <v>42</v>
      </c>
      <c r="R943" s="7" t="s">
        <v>2123</v>
      </c>
      <c r="S943" s="7" t="s">
        <v>42</v>
      </c>
    </row>
    <row r="944" spans="1:19">
      <c r="A944" s="8">
        <v>937</v>
      </c>
      <c r="B944" s="8" t="s">
        <v>1241</v>
      </c>
      <c r="C944" s="8" t="s">
        <v>1080</v>
      </c>
      <c r="D944" s="8" t="s">
        <v>652</v>
      </c>
      <c r="E944" s="8" t="s">
        <v>33</v>
      </c>
      <c r="F944" s="6" t="s">
        <v>39</v>
      </c>
      <c r="G944" s="10">
        <v>1</v>
      </c>
      <c r="H944" s="10">
        <v>1</v>
      </c>
      <c r="I944" s="13">
        <v>7000.0</v>
      </c>
      <c r="J944" s="13"/>
      <c r="K944" s="15">
        <f>IF(I944&gt;0, J944/I944, 0)</f>
        <v>0</v>
      </c>
      <c r="L944" s="13">
        <v>7000.0</v>
      </c>
      <c r="M944" s="13"/>
      <c r="N944" s="13">
        <f>L944-M944</f>
        <v>7000</v>
      </c>
      <c r="O944" s="8" t="s">
        <v>40</v>
      </c>
      <c r="P944" s="8" t="s">
        <v>41</v>
      </c>
      <c r="Q944" s="8" t="s">
        <v>42</v>
      </c>
      <c r="R944" s="6" t="s">
        <v>2154</v>
      </c>
      <c r="S944" s="6" t="s">
        <v>42</v>
      </c>
    </row>
    <row r="945" spans="1:19">
      <c r="A945" s="9">
        <v>938</v>
      </c>
      <c r="B945" s="9" t="s">
        <v>1242</v>
      </c>
      <c r="C945" s="9" t="s">
        <v>1080</v>
      </c>
      <c r="D945" s="9" t="s">
        <v>652</v>
      </c>
      <c r="E945" s="9" t="s">
        <v>33</v>
      </c>
      <c r="F945" s="7" t="s">
        <v>39</v>
      </c>
      <c r="G945" s="11">
        <v>1</v>
      </c>
      <c r="H945" s="11">
        <v>1</v>
      </c>
      <c r="I945" s="14">
        <v>8000.0</v>
      </c>
      <c r="J945" s="14"/>
      <c r="K945" s="16">
        <f>IF(I945&gt;0, J945/I945, 0)</f>
        <v>0</v>
      </c>
      <c r="L945" s="14">
        <v>8000.0</v>
      </c>
      <c r="M945" s="14"/>
      <c r="N945" s="14">
        <f>L945-M945</f>
        <v>8000</v>
      </c>
      <c r="O945" s="9" t="s">
        <v>40</v>
      </c>
      <c r="P945" s="9" t="s">
        <v>41</v>
      </c>
      <c r="Q945" s="9" t="s">
        <v>42</v>
      </c>
      <c r="R945" s="7" t="s">
        <v>2099</v>
      </c>
      <c r="S945" s="7" t="s">
        <v>42</v>
      </c>
    </row>
    <row r="946" spans="1:19">
      <c r="A946" s="8">
        <v>939</v>
      </c>
      <c r="B946" s="8" t="s">
        <v>1243</v>
      </c>
      <c r="C946" s="8" t="s">
        <v>1080</v>
      </c>
      <c r="D946" s="8" t="s">
        <v>652</v>
      </c>
      <c r="E946" s="8" t="s">
        <v>33</v>
      </c>
      <c r="F946" s="6" t="s">
        <v>39</v>
      </c>
      <c r="G946" s="10">
        <v>1</v>
      </c>
      <c r="H946" s="10">
        <v>2</v>
      </c>
      <c r="I946" s="13">
        <v>14000.0</v>
      </c>
      <c r="J946" s="13"/>
      <c r="K946" s="15">
        <f>IF(I946&gt;0, J946/I946, 0)</f>
        <v>0</v>
      </c>
      <c r="L946" s="13">
        <v>14000.0</v>
      </c>
      <c r="M946" s="13"/>
      <c r="N946" s="13">
        <f>L946-M946</f>
        <v>14000</v>
      </c>
      <c r="O946" s="8" t="s">
        <v>40</v>
      </c>
      <c r="P946" s="8" t="s">
        <v>41</v>
      </c>
      <c r="Q946" s="8" t="s">
        <v>42</v>
      </c>
      <c r="R946" s="6" t="s">
        <v>2098</v>
      </c>
      <c r="S946" s="6" t="s">
        <v>42</v>
      </c>
    </row>
    <row r="947" spans="1:19">
      <c r="A947" s="9">
        <v>940</v>
      </c>
      <c r="B947" s="9" t="s">
        <v>1244</v>
      </c>
      <c r="C947" s="9" t="s">
        <v>1080</v>
      </c>
      <c r="D947" s="9" t="s">
        <v>652</v>
      </c>
      <c r="E947" s="9" t="s">
        <v>33</v>
      </c>
      <c r="F947" s="7" t="s">
        <v>39</v>
      </c>
      <c r="G947" s="11">
        <v>1</v>
      </c>
      <c r="H947" s="11">
        <v>1</v>
      </c>
      <c r="I947" s="14">
        <v>8000.0</v>
      </c>
      <c r="J947" s="14"/>
      <c r="K947" s="16">
        <f>IF(I947&gt;0, J947/I947, 0)</f>
        <v>0</v>
      </c>
      <c r="L947" s="14">
        <v>8000.0</v>
      </c>
      <c r="M947" s="14"/>
      <c r="N947" s="14">
        <f>L947-M947</f>
        <v>8000</v>
      </c>
      <c r="O947" s="9" t="s">
        <v>40</v>
      </c>
      <c r="P947" s="9" t="s">
        <v>41</v>
      </c>
      <c r="Q947" s="9" t="s">
        <v>42</v>
      </c>
      <c r="R947" s="7" t="s">
        <v>2116</v>
      </c>
      <c r="S947" s="7" t="s">
        <v>42</v>
      </c>
    </row>
    <row r="948" spans="1:19">
      <c r="A948" s="8">
        <v>941</v>
      </c>
      <c r="B948" s="8" t="s">
        <v>1245</v>
      </c>
      <c r="C948" s="8" t="s">
        <v>1080</v>
      </c>
      <c r="D948" s="8" t="s">
        <v>652</v>
      </c>
      <c r="E948" s="8" t="s">
        <v>33</v>
      </c>
      <c r="F948" s="6" t="s">
        <v>39</v>
      </c>
      <c r="G948" s="10">
        <v>1</v>
      </c>
      <c r="H948" s="10">
        <v>2</v>
      </c>
      <c r="I948" s="13">
        <v>14000.0</v>
      </c>
      <c r="J948" s="13"/>
      <c r="K948" s="15">
        <f>IF(I948&gt;0, J948/I948, 0)</f>
        <v>0</v>
      </c>
      <c r="L948" s="13">
        <v>14000.0</v>
      </c>
      <c r="M948" s="13"/>
      <c r="N948" s="13">
        <f>L948-M948</f>
        <v>14000</v>
      </c>
      <c r="O948" s="8" t="s">
        <v>40</v>
      </c>
      <c r="P948" s="8" t="s">
        <v>41</v>
      </c>
      <c r="Q948" s="8" t="s">
        <v>42</v>
      </c>
      <c r="R948" s="6" t="s">
        <v>2117</v>
      </c>
      <c r="S948" s="6" t="s">
        <v>42</v>
      </c>
    </row>
    <row r="949" spans="1:19">
      <c r="A949" s="9">
        <v>942</v>
      </c>
      <c r="B949" s="9" t="s">
        <v>1246</v>
      </c>
      <c r="C949" s="9" t="s">
        <v>1080</v>
      </c>
      <c r="D949" s="9" t="s">
        <v>652</v>
      </c>
      <c r="E949" s="9" t="s">
        <v>68</v>
      </c>
      <c r="F949" s="7" t="s">
        <v>39</v>
      </c>
      <c r="G949" s="11">
        <v>1</v>
      </c>
      <c r="H949" s="11">
        <v>1</v>
      </c>
      <c r="I949" s="14">
        <v>17000.0</v>
      </c>
      <c r="J949" s="14"/>
      <c r="K949" s="16">
        <f>IF(I949&gt;0, J949/I949, 0)</f>
        <v>0</v>
      </c>
      <c r="L949" s="14">
        <v>17000.0</v>
      </c>
      <c r="M949" s="14"/>
      <c r="N949" s="14">
        <f>L949-M949</f>
        <v>17000</v>
      </c>
      <c r="O949" s="9" t="s">
        <v>40</v>
      </c>
      <c r="P949" s="9" t="s">
        <v>1233</v>
      </c>
      <c r="Q949" s="9" t="s">
        <v>42</v>
      </c>
      <c r="R949" s="7" t="s">
        <v>2093</v>
      </c>
      <c r="S949" s="7" t="s">
        <v>42</v>
      </c>
    </row>
    <row r="950" spans="1:19">
      <c r="A950" s="8">
        <v>943</v>
      </c>
      <c r="B950" s="8" t="s">
        <v>1247</v>
      </c>
      <c r="C950" s="8" t="s">
        <v>1080</v>
      </c>
      <c r="D950" s="8" t="s">
        <v>652</v>
      </c>
      <c r="E950" s="8" t="s">
        <v>68</v>
      </c>
      <c r="F950" s="6" t="s">
        <v>39</v>
      </c>
      <c r="G950" s="10">
        <v>1</v>
      </c>
      <c r="H950" s="10">
        <v>2</v>
      </c>
      <c r="I950" s="13">
        <v>20000.0</v>
      </c>
      <c r="J950" s="13"/>
      <c r="K950" s="15">
        <f>IF(I950&gt;0, J950/I950, 0)</f>
        <v>0</v>
      </c>
      <c r="L950" s="13">
        <v>20000.0</v>
      </c>
      <c r="M950" s="13"/>
      <c r="N950" s="13">
        <f>L950-M950</f>
        <v>20000</v>
      </c>
      <c r="O950" s="8" t="s">
        <v>40</v>
      </c>
      <c r="P950" s="8" t="s">
        <v>1233</v>
      </c>
      <c r="Q950" s="8" t="s">
        <v>42</v>
      </c>
      <c r="R950" s="6" t="s">
        <v>2241</v>
      </c>
      <c r="S950" s="6" t="s">
        <v>42</v>
      </c>
    </row>
    <row r="951" spans="1:19">
      <c r="A951" s="9">
        <v>944</v>
      </c>
      <c r="B951" s="9" t="s">
        <v>1248</v>
      </c>
      <c r="C951" s="9" t="s">
        <v>1080</v>
      </c>
      <c r="D951" s="9" t="s">
        <v>652</v>
      </c>
      <c r="E951" s="9" t="s">
        <v>68</v>
      </c>
      <c r="F951" s="7" t="s">
        <v>39</v>
      </c>
      <c r="G951" s="11">
        <v>1</v>
      </c>
      <c r="H951" s="11">
        <v>1</v>
      </c>
      <c r="I951" s="14">
        <v>8000.0</v>
      </c>
      <c r="J951" s="14"/>
      <c r="K951" s="16">
        <f>IF(I951&gt;0, J951/I951, 0)</f>
        <v>0</v>
      </c>
      <c r="L951" s="14">
        <v>8000.0</v>
      </c>
      <c r="M951" s="14"/>
      <c r="N951" s="14">
        <f>L951-M951</f>
        <v>8000</v>
      </c>
      <c r="O951" s="9" t="s">
        <v>40</v>
      </c>
      <c r="P951" s="9" t="s">
        <v>1233</v>
      </c>
      <c r="Q951" s="9" t="s">
        <v>42</v>
      </c>
      <c r="R951" s="7" t="s">
        <v>2190</v>
      </c>
      <c r="S951" s="7" t="s">
        <v>42</v>
      </c>
    </row>
    <row r="952" spans="1:19">
      <c r="A952" s="8">
        <v>945</v>
      </c>
      <c r="B952" s="8" t="s">
        <v>1249</v>
      </c>
      <c r="C952" s="8" t="s">
        <v>1080</v>
      </c>
      <c r="D952" s="8" t="s">
        <v>652</v>
      </c>
      <c r="E952" s="8" t="s">
        <v>68</v>
      </c>
      <c r="F952" s="6" t="s">
        <v>39</v>
      </c>
      <c r="G952" s="10">
        <v>1</v>
      </c>
      <c r="H952" s="10">
        <v>2</v>
      </c>
      <c r="I952" s="13">
        <v>20000.0</v>
      </c>
      <c r="J952" s="13"/>
      <c r="K952" s="15">
        <f>IF(I952&gt;0, J952/I952, 0)</f>
        <v>0</v>
      </c>
      <c r="L952" s="13">
        <v>20000.0</v>
      </c>
      <c r="M952" s="13"/>
      <c r="N952" s="13">
        <f>L952-M952</f>
        <v>20000</v>
      </c>
      <c r="O952" s="8" t="s">
        <v>40</v>
      </c>
      <c r="P952" s="8" t="s">
        <v>71</v>
      </c>
      <c r="Q952" s="8" t="s">
        <v>42</v>
      </c>
      <c r="R952" s="6" t="s">
        <v>2253</v>
      </c>
      <c r="S952" s="6" t="s">
        <v>42</v>
      </c>
    </row>
    <row r="953" spans="1:19">
      <c r="A953" s="9">
        <v>946</v>
      </c>
      <c r="B953" s="9" t="s">
        <v>1250</v>
      </c>
      <c r="C953" s="9" t="s">
        <v>1080</v>
      </c>
      <c r="D953" s="9" t="s">
        <v>652</v>
      </c>
      <c r="E953" s="9" t="s">
        <v>33</v>
      </c>
      <c r="F953" s="7" t="s">
        <v>39</v>
      </c>
      <c r="G953" s="11">
        <v>1</v>
      </c>
      <c r="H953" s="11">
        <v>2</v>
      </c>
      <c r="I953" s="14">
        <v>32000.0</v>
      </c>
      <c r="J953" s="14"/>
      <c r="K953" s="16">
        <f>IF(I953&gt;0, J953/I953, 0)</f>
        <v>0</v>
      </c>
      <c r="L953" s="14">
        <v>32000.0</v>
      </c>
      <c r="M953" s="14"/>
      <c r="N953" s="14">
        <f>L953-M953</f>
        <v>32000</v>
      </c>
      <c r="O953" s="9" t="s">
        <v>40</v>
      </c>
      <c r="P953" s="9" t="s">
        <v>41</v>
      </c>
      <c r="Q953" s="9" t="s">
        <v>42</v>
      </c>
      <c r="R953" s="7" t="s">
        <v>2254</v>
      </c>
      <c r="S953" s="7" t="s">
        <v>42</v>
      </c>
    </row>
    <row r="954" spans="1:19">
      <c r="A954" s="8">
        <v>947</v>
      </c>
      <c r="B954" s="8" t="s">
        <v>1251</v>
      </c>
      <c r="C954" s="8" t="s">
        <v>1080</v>
      </c>
      <c r="D954" s="8" t="s">
        <v>652</v>
      </c>
      <c r="E954" s="8" t="s">
        <v>33</v>
      </c>
      <c r="F954" s="6" t="s">
        <v>39</v>
      </c>
      <c r="G954" s="10">
        <v>1</v>
      </c>
      <c r="H954" s="10">
        <v>1</v>
      </c>
      <c r="I954" s="13">
        <v>7000.0</v>
      </c>
      <c r="J954" s="13"/>
      <c r="K954" s="15">
        <f>IF(I954&gt;0, J954/I954, 0)</f>
        <v>0</v>
      </c>
      <c r="L954" s="13">
        <v>7000.0</v>
      </c>
      <c r="M954" s="13"/>
      <c r="N954" s="13">
        <f>L954-M954</f>
        <v>7000</v>
      </c>
      <c r="O954" s="8" t="s">
        <v>40</v>
      </c>
      <c r="P954" s="8" t="s">
        <v>41</v>
      </c>
      <c r="Q954" s="8" t="s">
        <v>42</v>
      </c>
      <c r="R954" s="6" t="s">
        <v>2109</v>
      </c>
      <c r="S954" s="6" t="s">
        <v>42</v>
      </c>
    </row>
    <row r="955" spans="1:19">
      <c r="A955" s="9">
        <v>948</v>
      </c>
      <c r="B955" s="9" t="s">
        <v>1252</v>
      </c>
      <c r="C955" s="9" t="s">
        <v>1080</v>
      </c>
      <c r="D955" s="9" t="s">
        <v>652</v>
      </c>
      <c r="E955" s="9" t="s">
        <v>33</v>
      </c>
      <c r="F955" s="7" t="s">
        <v>39</v>
      </c>
      <c r="G955" s="11">
        <v>1</v>
      </c>
      <c r="H955" s="11">
        <v>1</v>
      </c>
      <c r="I955" s="14">
        <v>9000.0</v>
      </c>
      <c r="J955" s="14"/>
      <c r="K955" s="16">
        <f>IF(I955&gt;0, J955/I955, 0)</f>
        <v>0</v>
      </c>
      <c r="L955" s="14">
        <v>9000.0</v>
      </c>
      <c r="M955" s="14"/>
      <c r="N955" s="14">
        <f>L955-M955</f>
        <v>9000</v>
      </c>
      <c r="O955" s="9" t="s">
        <v>40</v>
      </c>
      <c r="P955" s="9" t="s">
        <v>41</v>
      </c>
      <c r="Q955" s="9" t="s">
        <v>42</v>
      </c>
      <c r="R955" s="7" t="s">
        <v>2255</v>
      </c>
      <c r="S955" s="7" t="s">
        <v>42</v>
      </c>
    </row>
    <row r="956" spans="1:19">
      <c r="A956" s="8">
        <v>949</v>
      </c>
      <c r="B956" s="8" t="s">
        <v>1254</v>
      </c>
      <c r="C956" s="8" t="s">
        <v>1080</v>
      </c>
      <c r="D956" s="8" t="s">
        <v>652</v>
      </c>
      <c r="E956" s="8" t="s">
        <v>68</v>
      </c>
      <c r="F956" s="6" t="s">
        <v>39</v>
      </c>
      <c r="G956" s="10">
        <v>1</v>
      </c>
      <c r="H956" s="10">
        <v>2</v>
      </c>
      <c r="I956" s="13">
        <v>22000.0</v>
      </c>
      <c r="J956" s="13"/>
      <c r="K956" s="15">
        <f>IF(I956&gt;0, J956/I956, 0)</f>
        <v>0</v>
      </c>
      <c r="L956" s="13">
        <v>22000.0</v>
      </c>
      <c r="M956" s="13"/>
      <c r="N956" s="13">
        <f>L956-M956</f>
        <v>22000</v>
      </c>
      <c r="O956" s="8" t="s">
        <v>40</v>
      </c>
      <c r="P956" s="8" t="s">
        <v>71</v>
      </c>
      <c r="Q956" s="8" t="s">
        <v>42</v>
      </c>
      <c r="R956" s="6" t="s">
        <v>2176</v>
      </c>
      <c r="S956" s="6" t="s">
        <v>42</v>
      </c>
    </row>
    <row r="957" spans="1:19">
      <c r="A957" s="9">
        <v>950</v>
      </c>
      <c r="B957" s="9" t="s">
        <v>1255</v>
      </c>
      <c r="C957" s="9" t="s">
        <v>1080</v>
      </c>
      <c r="D957" s="9" t="s">
        <v>652</v>
      </c>
      <c r="E957" s="9" t="s">
        <v>33</v>
      </c>
      <c r="F957" s="7" t="s">
        <v>39</v>
      </c>
      <c r="G957" s="11">
        <v>1</v>
      </c>
      <c r="H957" s="11">
        <v>1</v>
      </c>
      <c r="I957" s="14">
        <v>8500.0</v>
      </c>
      <c r="J957" s="14"/>
      <c r="K957" s="16">
        <f>IF(I957&gt;0, J957/I957, 0)</f>
        <v>0</v>
      </c>
      <c r="L957" s="14">
        <v>8500.0</v>
      </c>
      <c r="M957" s="14"/>
      <c r="N957" s="14">
        <f>L957-M957</f>
        <v>8500</v>
      </c>
      <c r="O957" s="9" t="s">
        <v>40</v>
      </c>
      <c r="P957" s="9" t="s">
        <v>41</v>
      </c>
      <c r="Q957" s="9" t="s">
        <v>42</v>
      </c>
      <c r="R957" s="7" t="s">
        <v>2078</v>
      </c>
      <c r="S957" s="7" t="s">
        <v>42</v>
      </c>
    </row>
    <row r="958" spans="1:19">
      <c r="A958" s="8">
        <v>951</v>
      </c>
      <c r="B958" s="8" t="s">
        <v>1256</v>
      </c>
      <c r="C958" s="8" t="s">
        <v>1080</v>
      </c>
      <c r="D958" s="8" t="s">
        <v>652</v>
      </c>
      <c r="E958" s="8" t="s">
        <v>33</v>
      </c>
      <c r="F958" s="6" t="s">
        <v>39</v>
      </c>
      <c r="G958" s="10">
        <v>1</v>
      </c>
      <c r="H958" s="10">
        <v>1</v>
      </c>
      <c r="I958" s="13">
        <v>18000.0</v>
      </c>
      <c r="J958" s="13"/>
      <c r="K958" s="15">
        <f>IF(I958&gt;0, J958/I958, 0)</f>
        <v>0</v>
      </c>
      <c r="L958" s="13">
        <v>18000.0</v>
      </c>
      <c r="M958" s="13"/>
      <c r="N958" s="13">
        <f>L958-M958</f>
        <v>18000</v>
      </c>
      <c r="O958" s="8" t="s">
        <v>40</v>
      </c>
      <c r="P958" s="8" t="s">
        <v>41</v>
      </c>
      <c r="Q958" s="8" t="s">
        <v>42</v>
      </c>
      <c r="R958" s="6" t="s">
        <v>2075</v>
      </c>
      <c r="S958" s="6" t="s">
        <v>42</v>
      </c>
    </row>
    <row r="959" spans="1:19">
      <c r="A959" s="9">
        <v>952</v>
      </c>
      <c r="B959" s="9" t="s">
        <v>1257</v>
      </c>
      <c r="C959" s="9" t="s">
        <v>1080</v>
      </c>
      <c r="D959" s="9" t="s">
        <v>652</v>
      </c>
      <c r="E959" s="9" t="s">
        <v>33</v>
      </c>
      <c r="F959" s="7" t="s">
        <v>39</v>
      </c>
      <c r="G959" s="11">
        <v>1</v>
      </c>
      <c r="H959" s="11">
        <v>1</v>
      </c>
      <c r="I959" s="14">
        <v>8000.0</v>
      </c>
      <c r="J959" s="14"/>
      <c r="K959" s="16">
        <f>IF(I959&gt;0, J959/I959, 0)</f>
        <v>0</v>
      </c>
      <c r="L959" s="14">
        <v>8000.0</v>
      </c>
      <c r="M959" s="14"/>
      <c r="N959" s="14">
        <f>L959-M959</f>
        <v>8000</v>
      </c>
      <c r="O959" s="9" t="s">
        <v>40</v>
      </c>
      <c r="P959" s="9" t="s">
        <v>41</v>
      </c>
      <c r="Q959" s="9" t="s">
        <v>42</v>
      </c>
      <c r="R959" s="7" t="s">
        <v>2082</v>
      </c>
      <c r="S959" s="7" t="s">
        <v>42</v>
      </c>
    </row>
    <row r="960" spans="1:19">
      <c r="A960" s="8">
        <v>953</v>
      </c>
      <c r="B960" s="8" t="s">
        <v>1258</v>
      </c>
      <c r="C960" s="8" t="s">
        <v>1080</v>
      </c>
      <c r="D960" s="8" t="s">
        <v>652</v>
      </c>
      <c r="E960" s="8" t="s">
        <v>68</v>
      </c>
      <c r="F960" s="6" t="s">
        <v>39</v>
      </c>
      <c r="G960" s="10">
        <v>1</v>
      </c>
      <c r="H960" s="10">
        <v>2</v>
      </c>
      <c r="I960" s="13">
        <v>22000.0</v>
      </c>
      <c r="J960" s="13"/>
      <c r="K960" s="15">
        <f>IF(I960&gt;0, J960/I960, 0)</f>
        <v>0</v>
      </c>
      <c r="L960" s="13">
        <v>22000.0</v>
      </c>
      <c r="M960" s="13"/>
      <c r="N960" s="13">
        <f>L960-M960</f>
        <v>22000</v>
      </c>
      <c r="O960" s="8" t="s">
        <v>40</v>
      </c>
      <c r="P960" s="8" t="s">
        <v>71</v>
      </c>
      <c r="Q960" s="8" t="s">
        <v>42</v>
      </c>
      <c r="R960" s="6" t="s">
        <v>2250</v>
      </c>
      <c r="S960" s="6" t="s">
        <v>42</v>
      </c>
    </row>
    <row r="961" spans="1:19">
      <c r="A961" s="9">
        <v>954</v>
      </c>
      <c r="B961" s="9" t="s">
        <v>1259</v>
      </c>
      <c r="C961" s="9" t="s">
        <v>1080</v>
      </c>
      <c r="D961" s="9" t="s">
        <v>652</v>
      </c>
      <c r="E961" s="9" t="s">
        <v>68</v>
      </c>
      <c r="F961" s="7" t="s">
        <v>39</v>
      </c>
      <c r="G961" s="11">
        <v>1</v>
      </c>
      <c r="H961" s="11">
        <v>1</v>
      </c>
      <c r="I961" s="14">
        <v>18000.0</v>
      </c>
      <c r="J961" s="14"/>
      <c r="K961" s="16">
        <f>IF(I961&gt;0, J961/I961, 0)</f>
        <v>0</v>
      </c>
      <c r="L961" s="14">
        <v>18000.0</v>
      </c>
      <c r="M961" s="14"/>
      <c r="N961" s="14">
        <f>L961-M961</f>
        <v>18000</v>
      </c>
      <c r="O961" s="9" t="s">
        <v>40</v>
      </c>
      <c r="P961" s="9" t="s">
        <v>71</v>
      </c>
      <c r="Q961" s="9" t="s">
        <v>42</v>
      </c>
      <c r="R961" s="7" t="s">
        <v>2080</v>
      </c>
      <c r="S961" s="7" t="s">
        <v>42</v>
      </c>
    </row>
    <row r="962" spans="1:19">
      <c r="A962" s="8">
        <v>955</v>
      </c>
      <c r="B962" s="8" t="s">
        <v>1260</v>
      </c>
      <c r="C962" s="8" t="s">
        <v>1080</v>
      </c>
      <c r="D962" s="8" t="s">
        <v>652</v>
      </c>
      <c r="E962" s="8" t="s">
        <v>33</v>
      </c>
      <c r="F962" s="6" t="s">
        <v>39</v>
      </c>
      <c r="G962" s="10">
        <v>1</v>
      </c>
      <c r="H962" s="10">
        <v>1</v>
      </c>
      <c r="I962" s="13">
        <v>8500.0</v>
      </c>
      <c r="J962" s="13"/>
      <c r="K962" s="15">
        <f>IF(I962&gt;0, J962/I962, 0)</f>
        <v>0</v>
      </c>
      <c r="L962" s="13">
        <v>8500.0</v>
      </c>
      <c r="M962" s="13"/>
      <c r="N962" s="13">
        <f>L962-M962</f>
        <v>8500</v>
      </c>
      <c r="O962" s="8" t="s">
        <v>40</v>
      </c>
      <c r="P962" s="8" t="s">
        <v>41</v>
      </c>
      <c r="Q962" s="8" t="s">
        <v>42</v>
      </c>
      <c r="R962" s="6" t="s">
        <v>2078</v>
      </c>
      <c r="S962" s="6" t="s">
        <v>42</v>
      </c>
    </row>
    <row r="963" spans="1:19">
      <c r="A963" s="9">
        <v>956</v>
      </c>
      <c r="B963" s="9" t="s">
        <v>1261</v>
      </c>
      <c r="C963" s="9" t="s">
        <v>1080</v>
      </c>
      <c r="D963" s="9" t="s">
        <v>652</v>
      </c>
      <c r="E963" s="9" t="s">
        <v>33</v>
      </c>
      <c r="F963" s="7" t="s">
        <v>39</v>
      </c>
      <c r="G963" s="11">
        <v>1</v>
      </c>
      <c r="H963" s="11">
        <v>2</v>
      </c>
      <c r="I963" s="14">
        <v>16000.0</v>
      </c>
      <c r="J963" s="14"/>
      <c r="K963" s="16">
        <f>IF(I963&gt;0, J963/I963, 0)</f>
        <v>0</v>
      </c>
      <c r="L963" s="14">
        <v>16000.0</v>
      </c>
      <c r="M963" s="14"/>
      <c r="N963" s="14">
        <f>L963-M963</f>
        <v>16000</v>
      </c>
      <c r="O963" s="9" t="s">
        <v>40</v>
      </c>
      <c r="P963" s="9" t="s">
        <v>41</v>
      </c>
      <c r="Q963" s="9" t="s">
        <v>42</v>
      </c>
      <c r="R963" s="7" t="s">
        <v>2145</v>
      </c>
      <c r="S963" s="7" t="s">
        <v>42</v>
      </c>
    </row>
    <row r="964" spans="1:19">
      <c r="A964" s="8">
        <v>957</v>
      </c>
      <c r="B964" s="8" t="s">
        <v>1262</v>
      </c>
      <c r="C964" s="8" t="s">
        <v>1080</v>
      </c>
      <c r="D964" s="8" t="s">
        <v>652</v>
      </c>
      <c r="E964" s="8" t="s">
        <v>33</v>
      </c>
      <c r="F964" s="6" t="s">
        <v>39</v>
      </c>
      <c r="G964" s="10">
        <v>1</v>
      </c>
      <c r="H964" s="10">
        <v>1</v>
      </c>
      <c r="I964" s="13">
        <v>16500.0</v>
      </c>
      <c r="J964" s="13"/>
      <c r="K964" s="15">
        <f>IF(I964&gt;0, J964/I964, 0)</f>
        <v>0</v>
      </c>
      <c r="L964" s="13">
        <v>16500.0</v>
      </c>
      <c r="M964" s="13"/>
      <c r="N964" s="13">
        <f>L964-M964</f>
        <v>16500</v>
      </c>
      <c r="O964" s="8" t="s">
        <v>40</v>
      </c>
      <c r="P964" s="8" t="s">
        <v>41</v>
      </c>
      <c r="Q964" s="8" t="s">
        <v>42</v>
      </c>
      <c r="R964" s="6" t="s">
        <v>2126</v>
      </c>
      <c r="S964" s="6" t="s">
        <v>42</v>
      </c>
    </row>
    <row r="965" spans="1:19">
      <c r="A965" s="9">
        <v>958</v>
      </c>
      <c r="B965" s="9" t="s">
        <v>1263</v>
      </c>
      <c r="C965" s="9" t="s">
        <v>1080</v>
      </c>
      <c r="D965" s="9" t="s">
        <v>652</v>
      </c>
      <c r="E965" s="9" t="s">
        <v>33</v>
      </c>
      <c r="F965" s="7" t="s">
        <v>39</v>
      </c>
      <c r="G965" s="11">
        <v>1</v>
      </c>
      <c r="H965" s="11">
        <v>1</v>
      </c>
      <c r="I965" s="14">
        <v>8000.0</v>
      </c>
      <c r="J965" s="14"/>
      <c r="K965" s="16">
        <f>IF(I965&gt;0, J965/I965, 0)</f>
        <v>0</v>
      </c>
      <c r="L965" s="14">
        <v>8000.0</v>
      </c>
      <c r="M965" s="14"/>
      <c r="N965" s="14">
        <f>L965-M965</f>
        <v>8000</v>
      </c>
      <c r="O965" s="9" t="s">
        <v>40</v>
      </c>
      <c r="P965" s="9" t="s">
        <v>41</v>
      </c>
      <c r="Q965" s="9" t="s">
        <v>42</v>
      </c>
      <c r="R965" s="7" t="s">
        <v>2116</v>
      </c>
      <c r="S965" s="7" t="s">
        <v>42</v>
      </c>
    </row>
    <row r="966" spans="1:19">
      <c r="A966" s="8">
        <v>959</v>
      </c>
      <c r="B966" s="8" t="s">
        <v>1264</v>
      </c>
      <c r="C966" s="8" t="s">
        <v>1080</v>
      </c>
      <c r="D966" s="8" t="s">
        <v>652</v>
      </c>
      <c r="E966" s="8" t="s">
        <v>33</v>
      </c>
      <c r="F966" s="6" t="s">
        <v>39</v>
      </c>
      <c r="G966" s="10">
        <v>1</v>
      </c>
      <c r="H966" s="10">
        <v>1</v>
      </c>
      <c r="I966" s="13">
        <v>7000.0</v>
      </c>
      <c r="J966" s="13"/>
      <c r="K966" s="15">
        <f>IF(I966&gt;0, J966/I966, 0)</f>
        <v>0</v>
      </c>
      <c r="L966" s="13">
        <v>7000.0</v>
      </c>
      <c r="M966" s="13"/>
      <c r="N966" s="13">
        <f>L966-M966</f>
        <v>7000</v>
      </c>
      <c r="O966" s="8" t="s">
        <v>40</v>
      </c>
      <c r="P966" s="8" t="s">
        <v>41</v>
      </c>
      <c r="Q966" s="8" t="s">
        <v>42</v>
      </c>
      <c r="R966" s="6" t="s">
        <v>2155</v>
      </c>
      <c r="S966" s="6" t="s">
        <v>42</v>
      </c>
    </row>
    <row r="967" spans="1:19">
      <c r="A967" s="9">
        <v>960</v>
      </c>
      <c r="B967" s="9" t="s">
        <v>1265</v>
      </c>
      <c r="C967" s="9" t="s">
        <v>1080</v>
      </c>
      <c r="D967" s="9" t="s">
        <v>652</v>
      </c>
      <c r="E967" s="9" t="s">
        <v>33</v>
      </c>
      <c r="F967" s="7" t="s">
        <v>39</v>
      </c>
      <c r="G967" s="11">
        <v>1</v>
      </c>
      <c r="H967" s="11">
        <v>1</v>
      </c>
      <c r="I967" s="14">
        <v>16000.0</v>
      </c>
      <c r="J967" s="14"/>
      <c r="K967" s="16">
        <f>IF(I967&gt;0, J967/I967, 0)</f>
        <v>0</v>
      </c>
      <c r="L967" s="14">
        <v>16000.0</v>
      </c>
      <c r="M967" s="14"/>
      <c r="N967" s="14">
        <f>L967-M967</f>
        <v>16000</v>
      </c>
      <c r="O967" s="9" t="s">
        <v>40</v>
      </c>
      <c r="P967" s="9" t="s">
        <v>41</v>
      </c>
      <c r="Q967" s="9" t="s">
        <v>42</v>
      </c>
      <c r="R967" s="7" t="s">
        <v>2127</v>
      </c>
      <c r="S967" s="7" t="s">
        <v>42</v>
      </c>
    </row>
    <row r="968" spans="1:19">
      <c r="A968" s="8">
        <v>961</v>
      </c>
      <c r="B968" s="8" t="s">
        <v>1266</v>
      </c>
      <c r="C968" s="8" t="s">
        <v>1080</v>
      </c>
      <c r="D968" s="8" t="s">
        <v>652</v>
      </c>
      <c r="E968" s="8" t="s">
        <v>33</v>
      </c>
      <c r="F968" s="6" t="s">
        <v>39</v>
      </c>
      <c r="G968" s="10">
        <v>1</v>
      </c>
      <c r="H968" s="10">
        <v>1</v>
      </c>
      <c r="I968" s="13">
        <v>18000.0</v>
      </c>
      <c r="J968" s="13"/>
      <c r="K968" s="15">
        <f>IF(I968&gt;0, J968/I968, 0)</f>
        <v>0</v>
      </c>
      <c r="L968" s="13">
        <v>18000.0</v>
      </c>
      <c r="M968" s="13"/>
      <c r="N968" s="13">
        <f>L968-M968</f>
        <v>18000</v>
      </c>
      <c r="O968" s="8" t="s">
        <v>40</v>
      </c>
      <c r="P968" s="8" t="s">
        <v>41</v>
      </c>
      <c r="Q968" s="8" t="s">
        <v>42</v>
      </c>
      <c r="R968" s="6" t="s">
        <v>2180</v>
      </c>
      <c r="S968" s="6" t="s">
        <v>42</v>
      </c>
    </row>
    <row r="969" spans="1:19">
      <c r="A969" s="9">
        <v>962</v>
      </c>
      <c r="B969" s="9" t="s">
        <v>1267</v>
      </c>
      <c r="C969" s="9" t="s">
        <v>1080</v>
      </c>
      <c r="D969" s="9" t="s">
        <v>652</v>
      </c>
      <c r="E969" s="9" t="s">
        <v>33</v>
      </c>
      <c r="F969" s="7" t="s">
        <v>39</v>
      </c>
      <c r="G969" s="11">
        <v>1</v>
      </c>
      <c r="H969" s="11">
        <v>1</v>
      </c>
      <c r="I969" s="14">
        <v>9000.0</v>
      </c>
      <c r="J969" s="14"/>
      <c r="K969" s="16">
        <f>IF(I969&gt;0, J969/I969, 0)</f>
        <v>0</v>
      </c>
      <c r="L969" s="14">
        <v>9000.0</v>
      </c>
      <c r="M969" s="14"/>
      <c r="N969" s="14">
        <f>L969-M969</f>
        <v>9000</v>
      </c>
      <c r="O969" s="9" t="s">
        <v>40</v>
      </c>
      <c r="P969" s="9" t="s">
        <v>41</v>
      </c>
      <c r="Q969" s="9" t="s">
        <v>42</v>
      </c>
      <c r="R969" s="7" t="s">
        <v>2137</v>
      </c>
      <c r="S969" s="7" t="s">
        <v>42</v>
      </c>
    </row>
    <row r="970" spans="1:19">
      <c r="A970" s="8">
        <v>963</v>
      </c>
      <c r="B970" s="8" t="s">
        <v>1268</v>
      </c>
      <c r="C970" s="8" t="s">
        <v>1080</v>
      </c>
      <c r="D970" s="8" t="s">
        <v>652</v>
      </c>
      <c r="E970" s="8" t="s">
        <v>33</v>
      </c>
      <c r="F970" s="6" t="s">
        <v>39</v>
      </c>
      <c r="G970" s="10">
        <v>1</v>
      </c>
      <c r="H970" s="10">
        <v>1</v>
      </c>
      <c r="I970" s="13">
        <v>8000.0</v>
      </c>
      <c r="J970" s="13"/>
      <c r="K970" s="15">
        <f>IF(I970&gt;0, J970/I970, 0)</f>
        <v>0</v>
      </c>
      <c r="L970" s="13">
        <v>8000.0</v>
      </c>
      <c r="M970" s="13"/>
      <c r="N970" s="13">
        <f>L970-M970</f>
        <v>8000</v>
      </c>
      <c r="O970" s="8" t="s">
        <v>40</v>
      </c>
      <c r="P970" s="8" t="s">
        <v>41</v>
      </c>
      <c r="Q970" s="8" t="s">
        <v>42</v>
      </c>
      <c r="R970" s="6" t="s">
        <v>2084</v>
      </c>
      <c r="S970" s="6" t="s">
        <v>42</v>
      </c>
    </row>
    <row r="971" spans="1:19">
      <c r="A971" s="9">
        <v>964</v>
      </c>
      <c r="B971" s="9" t="s">
        <v>1269</v>
      </c>
      <c r="C971" s="9" t="s">
        <v>1080</v>
      </c>
      <c r="D971" s="9" t="s">
        <v>652</v>
      </c>
      <c r="E971" s="9" t="s">
        <v>33</v>
      </c>
      <c r="F971" s="7" t="s">
        <v>39</v>
      </c>
      <c r="G971" s="11">
        <v>1</v>
      </c>
      <c r="H971" s="11">
        <v>1</v>
      </c>
      <c r="I971" s="14">
        <v>7000.0</v>
      </c>
      <c r="J971" s="14"/>
      <c r="K971" s="16">
        <f>IF(I971&gt;0, J971/I971, 0)</f>
        <v>0</v>
      </c>
      <c r="L971" s="14">
        <v>7000.0</v>
      </c>
      <c r="M971" s="14"/>
      <c r="N971" s="14">
        <f>L971-M971</f>
        <v>7000</v>
      </c>
      <c r="O971" s="9" t="s">
        <v>40</v>
      </c>
      <c r="P971" s="9" t="s">
        <v>41</v>
      </c>
      <c r="Q971" s="9" t="s">
        <v>42</v>
      </c>
      <c r="R971" s="7" t="s">
        <v>2092</v>
      </c>
      <c r="S971" s="7" t="s">
        <v>42</v>
      </c>
    </row>
    <row r="972" spans="1:19">
      <c r="A972" s="8">
        <v>965</v>
      </c>
      <c r="B972" s="8" t="s">
        <v>1270</v>
      </c>
      <c r="C972" s="8" t="s">
        <v>1080</v>
      </c>
      <c r="D972" s="8" t="s">
        <v>652</v>
      </c>
      <c r="E972" s="8" t="s">
        <v>33</v>
      </c>
      <c r="F972" s="6" t="s">
        <v>39</v>
      </c>
      <c r="G972" s="10">
        <v>1</v>
      </c>
      <c r="H972" s="10">
        <v>1</v>
      </c>
      <c r="I972" s="13">
        <v>8000.0</v>
      </c>
      <c r="J972" s="13"/>
      <c r="K972" s="15">
        <f>IF(I972&gt;0, J972/I972, 0)</f>
        <v>0</v>
      </c>
      <c r="L972" s="13">
        <v>8000.0</v>
      </c>
      <c r="M972" s="13"/>
      <c r="N972" s="13">
        <f>L972-M972</f>
        <v>8000</v>
      </c>
      <c r="O972" s="8" t="s">
        <v>40</v>
      </c>
      <c r="P972" s="8" t="s">
        <v>41</v>
      </c>
      <c r="Q972" s="8" t="s">
        <v>42</v>
      </c>
      <c r="R972" s="6" t="s">
        <v>2091</v>
      </c>
      <c r="S972" s="6" t="s">
        <v>42</v>
      </c>
    </row>
    <row r="973" spans="1:19">
      <c r="A973" s="9">
        <v>966</v>
      </c>
      <c r="B973" s="9" t="s">
        <v>1271</v>
      </c>
      <c r="C973" s="9" t="s">
        <v>1080</v>
      </c>
      <c r="D973" s="9" t="s">
        <v>652</v>
      </c>
      <c r="E973" s="9" t="s">
        <v>33</v>
      </c>
      <c r="F973" s="7" t="s">
        <v>39</v>
      </c>
      <c r="G973" s="11">
        <v>1</v>
      </c>
      <c r="H973" s="11">
        <v>1</v>
      </c>
      <c r="I973" s="14">
        <v>18000.0</v>
      </c>
      <c r="J973" s="14"/>
      <c r="K973" s="16">
        <f>IF(I973&gt;0, J973/I973, 0)</f>
        <v>0</v>
      </c>
      <c r="L973" s="14">
        <v>18000.0</v>
      </c>
      <c r="M973" s="14"/>
      <c r="N973" s="14">
        <f>L973-M973</f>
        <v>18000</v>
      </c>
      <c r="O973" s="9" t="s">
        <v>40</v>
      </c>
      <c r="P973" s="9" t="s">
        <v>41</v>
      </c>
      <c r="Q973" s="9" t="s">
        <v>42</v>
      </c>
      <c r="R973" s="7" t="s">
        <v>2174</v>
      </c>
      <c r="S973" s="7" t="s">
        <v>42</v>
      </c>
    </row>
    <row r="974" spans="1:19">
      <c r="A974" s="8">
        <v>967</v>
      </c>
      <c r="B974" s="8" t="s">
        <v>1272</v>
      </c>
      <c r="C974" s="8" t="s">
        <v>1080</v>
      </c>
      <c r="D974" s="8" t="s">
        <v>652</v>
      </c>
      <c r="E974" s="8" t="s">
        <v>33</v>
      </c>
      <c r="F974" s="6" t="s">
        <v>39</v>
      </c>
      <c r="G974" s="10">
        <v>1</v>
      </c>
      <c r="H974" s="10">
        <v>1</v>
      </c>
      <c r="I974" s="13">
        <v>16500.0</v>
      </c>
      <c r="J974" s="13"/>
      <c r="K974" s="15">
        <f>IF(I974&gt;0, J974/I974, 0)</f>
        <v>0</v>
      </c>
      <c r="L974" s="13">
        <v>16500.0</v>
      </c>
      <c r="M974" s="13"/>
      <c r="N974" s="13">
        <f>L974-M974</f>
        <v>16500</v>
      </c>
      <c r="O974" s="8" t="s">
        <v>40</v>
      </c>
      <c r="P974" s="8" t="s">
        <v>41</v>
      </c>
      <c r="Q974" s="8" t="s">
        <v>42</v>
      </c>
      <c r="R974" s="6" t="s">
        <v>2124</v>
      </c>
      <c r="S974" s="6" t="s">
        <v>42</v>
      </c>
    </row>
    <row r="975" spans="1:19">
      <c r="A975" s="9">
        <v>968</v>
      </c>
      <c r="B975" s="9" t="s">
        <v>1273</v>
      </c>
      <c r="C975" s="9" t="s">
        <v>1080</v>
      </c>
      <c r="D975" s="9" t="s">
        <v>652</v>
      </c>
      <c r="E975" s="9" t="s">
        <v>33</v>
      </c>
      <c r="F975" s="7" t="s">
        <v>39</v>
      </c>
      <c r="G975" s="11">
        <v>1</v>
      </c>
      <c r="H975" s="11">
        <v>1</v>
      </c>
      <c r="I975" s="14">
        <v>9500.0</v>
      </c>
      <c r="J975" s="14"/>
      <c r="K975" s="16">
        <f>IF(I975&gt;0, J975/I975, 0)</f>
        <v>0</v>
      </c>
      <c r="L975" s="14">
        <v>9500.0</v>
      </c>
      <c r="M975" s="14"/>
      <c r="N975" s="14">
        <f>L975-M975</f>
        <v>9500</v>
      </c>
      <c r="O975" s="9" t="s">
        <v>40</v>
      </c>
      <c r="P975" s="9" t="s">
        <v>41</v>
      </c>
      <c r="Q975" s="9" t="s">
        <v>42</v>
      </c>
      <c r="R975" s="7" t="s">
        <v>2135</v>
      </c>
      <c r="S975" s="7" t="s">
        <v>42</v>
      </c>
    </row>
    <row r="976" spans="1:19">
      <c r="A976" s="8">
        <v>969</v>
      </c>
      <c r="B976" s="8" t="s">
        <v>1274</v>
      </c>
      <c r="C976" s="8" t="s">
        <v>1080</v>
      </c>
      <c r="D976" s="8" t="s">
        <v>652</v>
      </c>
      <c r="E976" s="8" t="s">
        <v>33</v>
      </c>
      <c r="F976" s="6" t="s">
        <v>39</v>
      </c>
      <c r="G976" s="10">
        <v>1</v>
      </c>
      <c r="H976" s="10">
        <v>1</v>
      </c>
      <c r="I976" s="13">
        <v>8500.0</v>
      </c>
      <c r="J976" s="13"/>
      <c r="K976" s="15">
        <f>IF(I976&gt;0, J976/I976, 0)</f>
        <v>0</v>
      </c>
      <c r="L976" s="13">
        <v>8500.0</v>
      </c>
      <c r="M976" s="13"/>
      <c r="N976" s="13">
        <f>L976-M976</f>
        <v>8500</v>
      </c>
      <c r="O976" s="8" t="s">
        <v>40</v>
      </c>
      <c r="P976" s="8" t="s">
        <v>41</v>
      </c>
      <c r="Q976" s="8" t="s">
        <v>42</v>
      </c>
      <c r="R976" s="6" t="s">
        <v>2171</v>
      </c>
      <c r="S976" s="6" t="s">
        <v>42</v>
      </c>
    </row>
    <row r="977" spans="1:19">
      <c r="A977" s="9">
        <v>970</v>
      </c>
      <c r="B977" s="9" t="s">
        <v>1275</v>
      </c>
      <c r="C977" s="9" t="s">
        <v>1080</v>
      </c>
      <c r="D977" s="9" t="s">
        <v>652</v>
      </c>
      <c r="E977" s="9" t="s">
        <v>33</v>
      </c>
      <c r="F977" s="7" t="s">
        <v>39</v>
      </c>
      <c r="G977" s="11">
        <v>1</v>
      </c>
      <c r="H977" s="11">
        <v>1</v>
      </c>
      <c r="I977" s="14">
        <v>9000.0</v>
      </c>
      <c r="J977" s="14"/>
      <c r="K977" s="16">
        <f>IF(I977&gt;0, J977/I977, 0)</f>
        <v>0</v>
      </c>
      <c r="L977" s="14">
        <v>9000.0</v>
      </c>
      <c r="M977" s="14"/>
      <c r="N977" s="14">
        <f>L977-M977</f>
        <v>9000</v>
      </c>
      <c r="O977" s="9" t="s">
        <v>40</v>
      </c>
      <c r="P977" s="9" t="s">
        <v>41</v>
      </c>
      <c r="Q977" s="9" t="s">
        <v>42</v>
      </c>
      <c r="R977" s="7" t="s">
        <v>2200</v>
      </c>
      <c r="S977" s="7" t="s">
        <v>42</v>
      </c>
    </row>
    <row r="978" spans="1:19">
      <c r="A978" s="8">
        <v>971</v>
      </c>
      <c r="B978" s="8" t="s">
        <v>1276</v>
      </c>
      <c r="C978" s="8" t="s">
        <v>1080</v>
      </c>
      <c r="D978" s="8" t="s">
        <v>652</v>
      </c>
      <c r="E978" s="8" t="s">
        <v>33</v>
      </c>
      <c r="F978" s="6" t="s">
        <v>39</v>
      </c>
      <c r="G978" s="10">
        <v>1</v>
      </c>
      <c r="H978" s="10">
        <v>1</v>
      </c>
      <c r="I978" s="13">
        <v>8000.0</v>
      </c>
      <c r="J978" s="13"/>
      <c r="K978" s="15">
        <f>IF(I978&gt;0, J978/I978, 0)</f>
        <v>0</v>
      </c>
      <c r="L978" s="13">
        <v>8000.0</v>
      </c>
      <c r="M978" s="13"/>
      <c r="N978" s="13">
        <f>L978-M978</f>
        <v>8000</v>
      </c>
      <c r="O978" s="8" t="s">
        <v>40</v>
      </c>
      <c r="P978" s="8" t="s">
        <v>41</v>
      </c>
      <c r="Q978" s="8" t="s">
        <v>42</v>
      </c>
      <c r="R978" s="6" t="s">
        <v>2122</v>
      </c>
      <c r="S978" s="6" t="s">
        <v>42</v>
      </c>
    </row>
    <row r="979" spans="1:19">
      <c r="A979" s="9">
        <v>972</v>
      </c>
      <c r="B979" s="9" t="s">
        <v>1277</v>
      </c>
      <c r="C979" s="9" t="s">
        <v>1080</v>
      </c>
      <c r="D979" s="9" t="s">
        <v>652</v>
      </c>
      <c r="E979" s="9" t="s">
        <v>33</v>
      </c>
      <c r="F979" s="7" t="s">
        <v>39</v>
      </c>
      <c r="G979" s="11">
        <v>1</v>
      </c>
      <c r="H979" s="11">
        <v>2</v>
      </c>
      <c r="I979" s="14">
        <v>14400.0</v>
      </c>
      <c r="J979" s="14"/>
      <c r="K979" s="16">
        <f>IF(I979&gt;0, J979/I979, 0)</f>
        <v>0</v>
      </c>
      <c r="L979" s="14">
        <v>14400.0</v>
      </c>
      <c r="M979" s="14"/>
      <c r="N979" s="14">
        <f>L979-M979</f>
        <v>14400</v>
      </c>
      <c r="O979" s="9" t="s">
        <v>40</v>
      </c>
      <c r="P979" s="9" t="s">
        <v>41</v>
      </c>
      <c r="Q979" s="9" t="s">
        <v>42</v>
      </c>
      <c r="R979" s="7" t="s">
        <v>2192</v>
      </c>
      <c r="S979" s="7" t="s">
        <v>42</v>
      </c>
    </row>
    <row r="980" spans="1:19">
      <c r="A980" s="8">
        <v>973</v>
      </c>
      <c r="B980" s="8" t="s">
        <v>1278</v>
      </c>
      <c r="C980" s="8" t="s">
        <v>1080</v>
      </c>
      <c r="D980" s="8" t="s">
        <v>652</v>
      </c>
      <c r="E980" s="8" t="s">
        <v>33</v>
      </c>
      <c r="F980" s="6" t="s">
        <v>39</v>
      </c>
      <c r="G980" s="10">
        <v>1</v>
      </c>
      <c r="H980" s="10">
        <v>2</v>
      </c>
      <c r="I980" s="13">
        <v>12600.0</v>
      </c>
      <c r="J980" s="13"/>
      <c r="K980" s="15">
        <f>IF(I980&gt;0, J980/I980, 0)</f>
        <v>0</v>
      </c>
      <c r="L980" s="13">
        <v>12600.0</v>
      </c>
      <c r="M980" s="13"/>
      <c r="N980" s="13">
        <f>L980-M980</f>
        <v>12600</v>
      </c>
      <c r="O980" s="8" t="s">
        <v>40</v>
      </c>
      <c r="P980" s="8" t="s">
        <v>41</v>
      </c>
      <c r="Q980" s="8" t="s">
        <v>42</v>
      </c>
      <c r="R980" s="6" t="s">
        <v>2147</v>
      </c>
      <c r="S980" s="6" t="s">
        <v>42</v>
      </c>
    </row>
    <row r="981" spans="1:19">
      <c r="A981" s="9">
        <v>974</v>
      </c>
      <c r="B981" s="9" t="s">
        <v>1279</v>
      </c>
      <c r="C981" s="9" t="s">
        <v>1080</v>
      </c>
      <c r="D981" s="9" t="s">
        <v>652</v>
      </c>
      <c r="E981" s="9" t="s">
        <v>33</v>
      </c>
      <c r="F981" s="7" t="s">
        <v>39</v>
      </c>
      <c r="G981" s="11">
        <v>1</v>
      </c>
      <c r="H981" s="11">
        <v>1</v>
      </c>
      <c r="I981" s="14">
        <v>7500.0</v>
      </c>
      <c r="J981" s="14"/>
      <c r="K981" s="16">
        <f>IF(I981&gt;0, J981/I981, 0)</f>
        <v>0</v>
      </c>
      <c r="L981" s="14">
        <v>7500.0</v>
      </c>
      <c r="M981" s="14"/>
      <c r="N981" s="14">
        <f>L981-M981</f>
        <v>7500</v>
      </c>
      <c r="O981" s="9" t="s">
        <v>40</v>
      </c>
      <c r="P981" s="9" t="s">
        <v>41</v>
      </c>
      <c r="Q981" s="9" t="s">
        <v>42</v>
      </c>
      <c r="R981" s="7" t="s">
        <v>2203</v>
      </c>
      <c r="S981" s="7" t="s">
        <v>42</v>
      </c>
    </row>
    <row r="982" spans="1:19">
      <c r="A982" s="8">
        <v>975</v>
      </c>
      <c r="B982" s="8" t="s">
        <v>1280</v>
      </c>
      <c r="C982" s="8" t="s">
        <v>1080</v>
      </c>
      <c r="D982" s="8" t="s">
        <v>652</v>
      </c>
      <c r="E982" s="8" t="s">
        <v>33</v>
      </c>
      <c r="F982" s="6" t="s">
        <v>39</v>
      </c>
      <c r="G982" s="10">
        <v>1</v>
      </c>
      <c r="H982" s="10">
        <v>1</v>
      </c>
      <c r="I982" s="13">
        <v>9500.0</v>
      </c>
      <c r="J982" s="13"/>
      <c r="K982" s="15">
        <f>IF(I982&gt;0, J982/I982, 0)</f>
        <v>0</v>
      </c>
      <c r="L982" s="13">
        <v>9500.0</v>
      </c>
      <c r="M982" s="13"/>
      <c r="N982" s="13">
        <f>L982-M982</f>
        <v>9500</v>
      </c>
      <c r="O982" s="8" t="s">
        <v>40</v>
      </c>
      <c r="P982" s="8" t="s">
        <v>41</v>
      </c>
      <c r="Q982" s="8" t="s">
        <v>42</v>
      </c>
      <c r="R982" s="6" t="s">
        <v>2135</v>
      </c>
      <c r="S982" s="6" t="s">
        <v>42</v>
      </c>
    </row>
    <row r="983" spans="1:19">
      <c r="A983" s="9">
        <v>976</v>
      </c>
      <c r="B983" s="9" t="s">
        <v>1281</v>
      </c>
      <c r="C983" s="9" t="s">
        <v>1080</v>
      </c>
      <c r="D983" s="9" t="s">
        <v>652</v>
      </c>
      <c r="E983" s="9" t="s">
        <v>33</v>
      </c>
      <c r="F983" s="7" t="s">
        <v>39</v>
      </c>
      <c r="G983" s="11">
        <v>1</v>
      </c>
      <c r="H983" s="11">
        <v>1</v>
      </c>
      <c r="I983" s="14">
        <v>9500.0</v>
      </c>
      <c r="J983" s="14"/>
      <c r="K983" s="16">
        <f>IF(I983&gt;0, J983/I983, 0)</f>
        <v>0</v>
      </c>
      <c r="L983" s="14">
        <v>9500.0</v>
      </c>
      <c r="M983" s="14"/>
      <c r="N983" s="14">
        <f>L983-M983</f>
        <v>9500</v>
      </c>
      <c r="O983" s="9" t="s">
        <v>40</v>
      </c>
      <c r="P983" s="9" t="s">
        <v>41</v>
      </c>
      <c r="Q983" s="9" t="s">
        <v>42</v>
      </c>
      <c r="R983" s="7" t="s">
        <v>2106</v>
      </c>
      <c r="S983" s="7" t="s">
        <v>42</v>
      </c>
    </row>
    <row r="984" spans="1:19">
      <c r="A984" s="8">
        <v>977</v>
      </c>
      <c r="B984" s="8" t="s">
        <v>1282</v>
      </c>
      <c r="C984" s="8" t="s">
        <v>1080</v>
      </c>
      <c r="D984" s="8" t="s">
        <v>652</v>
      </c>
      <c r="E984" s="8" t="s">
        <v>33</v>
      </c>
      <c r="F984" s="6" t="s">
        <v>39</v>
      </c>
      <c r="G984" s="10">
        <v>1</v>
      </c>
      <c r="H984" s="10">
        <v>3</v>
      </c>
      <c r="I984" s="13">
        <v>24000.0</v>
      </c>
      <c r="J984" s="13"/>
      <c r="K984" s="15">
        <f>IF(I984&gt;0, J984/I984, 0)</f>
        <v>0</v>
      </c>
      <c r="L984" s="13">
        <v>24000.0</v>
      </c>
      <c r="M984" s="13"/>
      <c r="N984" s="13">
        <f>L984-M984</f>
        <v>24000</v>
      </c>
      <c r="O984" s="8" t="s">
        <v>40</v>
      </c>
      <c r="P984" s="8" t="s">
        <v>41</v>
      </c>
      <c r="Q984" s="8" t="s">
        <v>42</v>
      </c>
      <c r="R984" s="6" t="s">
        <v>2256</v>
      </c>
      <c r="S984" s="6" t="s">
        <v>42</v>
      </c>
    </row>
    <row r="985" spans="1:19">
      <c r="A985" s="9">
        <v>978</v>
      </c>
      <c r="B985" s="9" t="s">
        <v>1283</v>
      </c>
      <c r="C985" s="9" t="s">
        <v>1080</v>
      </c>
      <c r="D985" s="9" t="s">
        <v>652</v>
      </c>
      <c r="E985" s="9" t="s">
        <v>33</v>
      </c>
      <c r="F985" s="7" t="s">
        <v>39</v>
      </c>
      <c r="G985" s="11">
        <v>1</v>
      </c>
      <c r="H985" s="11">
        <v>2</v>
      </c>
      <c r="I985" s="14">
        <v>18000.0</v>
      </c>
      <c r="J985" s="14"/>
      <c r="K985" s="16">
        <f>IF(I985&gt;0, J985/I985, 0)</f>
        <v>0</v>
      </c>
      <c r="L985" s="14">
        <v>18000.0</v>
      </c>
      <c r="M985" s="14"/>
      <c r="N985" s="14">
        <f>L985-M985</f>
        <v>18000</v>
      </c>
      <c r="O985" s="9" t="s">
        <v>40</v>
      </c>
      <c r="P985" s="9" t="s">
        <v>41</v>
      </c>
      <c r="Q985" s="9" t="s">
        <v>42</v>
      </c>
      <c r="R985" s="7" t="s">
        <v>2183</v>
      </c>
      <c r="S985" s="7" t="s">
        <v>42</v>
      </c>
    </row>
    <row r="986" spans="1:19">
      <c r="A986" s="8">
        <v>979</v>
      </c>
      <c r="B986" s="8" t="s">
        <v>1284</v>
      </c>
      <c r="C986" s="8" t="s">
        <v>1080</v>
      </c>
      <c r="D986" s="8" t="s">
        <v>652</v>
      </c>
      <c r="E986" s="8" t="s">
        <v>33</v>
      </c>
      <c r="F986" s="6" t="s">
        <v>39</v>
      </c>
      <c r="G986" s="10">
        <v>1</v>
      </c>
      <c r="H986" s="10">
        <v>1</v>
      </c>
      <c r="I986" s="13">
        <v>8000.0</v>
      </c>
      <c r="J986" s="13"/>
      <c r="K986" s="15">
        <f>IF(I986&gt;0, J986/I986, 0)</f>
        <v>0</v>
      </c>
      <c r="L986" s="13">
        <v>8000.0</v>
      </c>
      <c r="M986" s="13"/>
      <c r="N986" s="13">
        <f>L986-M986</f>
        <v>8000</v>
      </c>
      <c r="O986" s="8" t="s">
        <v>40</v>
      </c>
      <c r="P986" s="8" t="s">
        <v>41</v>
      </c>
      <c r="Q986" s="8" t="s">
        <v>42</v>
      </c>
      <c r="R986" s="6" t="s">
        <v>2161</v>
      </c>
      <c r="S986" s="6" t="s">
        <v>42</v>
      </c>
    </row>
    <row r="987" spans="1:19">
      <c r="A987" s="9">
        <v>980</v>
      </c>
      <c r="B987" s="9" t="s">
        <v>1285</v>
      </c>
      <c r="C987" s="9" t="s">
        <v>1080</v>
      </c>
      <c r="D987" s="9" t="s">
        <v>652</v>
      </c>
      <c r="E987" s="9" t="s">
        <v>68</v>
      </c>
      <c r="F987" s="7" t="s">
        <v>39</v>
      </c>
      <c r="G987" s="11">
        <v>1</v>
      </c>
      <c r="H987" s="11">
        <v>1</v>
      </c>
      <c r="I987" s="14">
        <v>11000.0</v>
      </c>
      <c r="J987" s="14"/>
      <c r="K987" s="16">
        <f>IF(I987&gt;0, J987/I987, 0)</f>
        <v>0</v>
      </c>
      <c r="L987" s="14">
        <v>11000.0</v>
      </c>
      <c r="M987" s="14"/>
      <c r="N987" s="14">
        <f>L987-M987</f>
        <v>11000</v>
      </c>
      <c r="O987" s="9" t="s">
        <v>40</v>
      </c>
      <c r="P987" s="9" t="s">
        <v>71</v>
      </c>
      <c r="Q987" s="9" t="s">
        <v>42</v>
      </c>
      <c r="R987" s="7" t="s">
        <v>2140</v>
      </c>
      <c r="S987" s="7" t="s">
        <v>42</v>
      </c>
    </row>
    <row r="988" spans="1:19">
      <c r="A988" s="8">
        <v>981</v>
      </c>
      <c r="B988" s="8" t="s">
        <v>1286</v>
      </c>
      <c r="C988" s="8" t="s">
        <v>1287</v>
      </c>
      <c r="D988" s="8" t="s">
        <v>652</v>
      </c>
      <c r="E988" s="8" t="s">
        <v>68</v>
      </c>
      <c r="F988" s="6" t="s">
        <v>39</v>
      </c>
      <c r="G988" s="10">
        <v>1</v>
      </c>
      <c r="H988" s="10">
        <v>3</v>
      </c>
      <c r="I988" s="13">
        <v>30000.0</v>
      </c>
      <c r="J988" s="13"/>
      <c r="K988" s="15">
        <f>IF(I988&gt;0, J988/I988, 0)</f>
        <v>0</v>
      </c>
      <c r="L988" s="13">
        <v>30000.0</v>
      </c>
      <c r="M988" s="13"/>
      <c r="N988" s="13">
        <f>L988-M988</f>
        <v>30000</v>
      </c>
      <c r="O988" s="8" t="s">
        <v>40</v>
      </c>
      <c r="P988" s="8" t="s">
        <v>71</v>
      </c>
      <c r="Q988" s="8" t="s">
        <v>42</v>
      </c>
      <c r="R988" s="6" t="s">
        <v>2257</v>
      </c>
      <c r="S988" s="6" t="s">
        <v>42</v>
      </c>
    </row>
    <row r="989" spans="1:19">
      <c r="A989" s="9">
        <v>982</v>
      </c>
      <c r="B989" s="9" t="s">
        <v>1288</v>
      </c>
      <c r="C989" s="9" t="s">
        <v>1287</v>
      </c>
      <c r="D989" s="9" t="s">
        <v>652</v>
      </c>
      <c r="E989" s="9" t="s">
        <v>33</v>
      </c>
      <c r="F989" s="7" t="s">
        <v>39</v>
      </c>
      <c r="G989" s="11">
        <v>1</v>
      </c>
      <c r="H989" s="11">
        <v>1</v>
      </c>
      <c r="I989" s="14">
        <v>16500.0</v>
      </c>
      <c r="J989" s="14"/>
      <c r="K989" s="16">
        <f>IF(I989&gt;0, J989/I989, 0)</f>
        <v>0</v>
      </c>
      <c r="L989" s="14">
        <v>16500.0</v>
      </c>
      <c r="M989" s="14"/>
      <c r="N989" s="14">
        <f>L989-M989</f>
        <v>16500</v>
      </c>
      <c r="O989" s="9" t="s">
        <v>40</v>
      </c>
      <c r="P989" s="9" t="s">
        <v>41</v>
      </c>
      <c r="Q989" s="9" t="s">
        <v>42</v>
      </c>
      <c r="R989" s="7" t="s">
        <v>2124</v>
      </c>
      <c r="S989" s="7" t="s">
        <v>42</v>
      </c>
    </row>
    <row r="990" spans="1:19">
      <c r="A990" s="8">
        <v>983</v>
      </c>
      <c r="B990" s="8" t="s">
        <v>1289</v>
      </c>
      <c r="C990" s="8" t="s">
        <v>1287</v>
      </c>
      <c r="D990" s="8" t="s">
        <v>652</v>
      </c>
      <c r="E990" s="8" t="s">
        <v>33</v>
      </c>
      <c r="F990" s="6" t="s">
        <v>39</v>
      </c>
      <c r="G990" s="10">
        <v>1</v>
      </c>
      <c r="H990" s="10">
        <v>1</v>
      </c>
      <c r="I990" s="13">
        <v>7500.0</v>
      </c>
      <c r="J990" s="13"/>
      <c r="K990" s="15">
        <f>IF(I990&gt;0, J990/I990, 0)</f>
        <v>0</v>
      </c>
      <c r="L990" s="13">
        <v>7500.0</v>
      </c>
      <c r="M990" s="13"/>
      <c r="N990" s="13">
        <f>L990-M990</f>
        <v>7500</v>
      </c>
      <c r="O990" s="8" t="s">
        <v>40</v>
      </c>
      <c r="P990" s="8" t="s">
        <v>41</v>
      </c>
      <c r="Q990" s="8" t="s">
        <v>42</v>
      </c>
      <c r="R990" s="6" t="s">
        <v>2128</v>
      </c>
      <c r="S990" s="6" t="s">
        <v>42</v>
      </c>
    </row>
    <row r="991" spans="1:19">
      <c r="A991" s="9">
        <v>984</v>
      </c>
      <c r="B991" s="9" t="s">
        <v>1290</v>
      </c>
      <c r="C991" s="9" t="s">
        <v>1287</v>
      </c>
      <c r="D991" s="9" t="s">
        <v>652</v>
      </c>
      <c r="E991" s="9" t="s">
        <v>33</v>
      </c>
      <c r="F991" s="7" t="s">
        <v>39</v>
      </c>
      <c r="G991" s="11">
        <v>1</v>
      </c>
      <c r="H991" s="11">
        <v>1</v>
      </c>
      <c r="I991" s="14">
        <v>8500.0</v>
      </c>
      <c r="J991" s="14"/>
      <c r="K991" s="16">
        <f>IF(I991&gt;0, J991/I991, 0)</f>
        <v>0</v>
      </c>
      <c r="L991" s="14">
        <v>8500.0</v>
      </c>
      <c r="M991" s="14"/>
      <c r="N991" s="14">
        <f>L991-M991</f>
        <v>8500</v>
      </c>
      <c r="O991" s="9" t="s">
        <v>40</v>
      </c>
      <c r="P991" s="9" t="s">
        <v>41</v>
      </c>
      <c r="Q991" s="9" t="s">
        <v>42</v>
      </c>
      <c r="R991" s="7" t="s">
        <v>2171</v>
      </c>
      <c r="S991" s="7" t="s">
        <v>42</v>
      </c>
    </row>
    <row r="992" spans="1:19">
      <c r="A992" s="8">
        <v>985</v>
      </c>
      <c r="B992" s="8" t="s">
        <v>1291</v>
      </c>
      <c r="C992" s="8" t="s">
        <v>1287</v>
      </c>
      <c r="D992" s="8" t="s">
        <v>652</v>
      </c>
      <c r="E992" s="8" t="s">
        <v>33</v>
      </c>
      <c r="F992" s="6" t="s">
        <v>39</v>
      </c>
      <c r="G992" s="10">
        <v>1</v>
      </c>
      <c r="H992" s="10">
        <v>1</v>
      </c>
      <c r="I992" s="13">
        <v>9500.0</v>
      </c>
      <c r="J992" s="13"/>
      <c r="K992" s="15">
        <f>IF(I992&gt;0, J992/I992, 0)</f>
        <v>0</v>
      </c>
      <c r="L992" s="13">
        <v>9500.0</v>
      </c>
      <c r="M992" s="13"/>
      <c r="N992" s="13">
        <f>L992-M992</f>
        <v>9500</v>
      </c>
      <c r="O992" s="8" t="s">
        <v>40</v>
      </c>
      <c r="P992" s="8" t="s">
        <v>41</v>
      </c>
      <c r="Q992" s="8" t="s">
        <v>42</v>
      </c>
      <c r="R992" s="6" t="s">
        <v>2106</v>
      </c>
      <c r="S992" s="6" t="s">
        <v>42</v>
      </c>
    </row>
    <row r="993" spans="1:19">
      <c r="A993" s="9">
        <v>986</v>
      </c>
      <c r="B993" s="9" t="s">
        <v>1292</v>
      </c>
      <c r="C993" s="9" t="s">
        <v>1287</v>
      </c>
      <c r="D993" s="9" t="s">
        <v>652</v>
      </c>
      <c r="E993" s="9" t="s">
        <v>33</v>
      </c>
      <c r="F993" s="7" t="s">
        <v>39</v>
      </c>
      <c r="G993" s="11">
        <v>1</v>
      </c>
      <c r="H993" s="11">
        <v>1</v>
      </c>
      <c r="I993" s="14">
        <v>9000.0</v>
      </c>
      <c r="J993" s="14"/>
      <c r="K993" s="16">
        <f>IF(I993&gt;0, J993/I993, 0)</f>
        <v>0</v>
      </c>
      <c r="L993" s="14">
        <v>9000.0</v>
      </c>
      <c r="M993" s="14"/>
      <c r="N993" s="14">
        <f>L993-M993</f>
        <v>9000</v>
      </c>
      <c r="O993" s="9" t="s">
        <v>40</v>
      </c>
      <c r="P993" s="9" t="s">
        <v>41</v>
      </c>
      <c r="Q993" s="9" t="s">
        <v>42</v>
      </c>
      <c r="R993" s="7" t="s">
        <v>2172</v>
      </c>
      <c r="S993" s="7" t="s">
        <v>42</v>
      </c>
    </row>
    <row r="994" spans="1:19">
      <c r="A994" s="8">
        <v>987</v>
      </c>
      <c r="B994" s="8" t="s">
        <v>1293</v>
      </c>
      <c r="C994" s="8" t="s">
        <v>1287</v>
      </c>
      <c r="D994" s="8" t="s">
        <v>652</v>
      </c>
      <c r="E994" s="8" t="s">
        <v>33</v>
      </c>
      <c r="F994" s="6" t="s">
        <v>39</v>
      </c>
      <c r="G994" s="10">
        <v>1</v>
      </c>
      <c r="H994" s="10">
        <v>2</v>
      </c>
      <c r="I994" s="13">
        <v>16000.0</v>
      </c>
      <c r="J994" s="13"/>
      <c r="K994" s="15">
        <f>IF(I994&gt;0, J994/I994, 0)</f>
        <v>0</v>
      </c>
      <c r="L994" s="13">
        <v>16000.0</v>
      </c>
      <c r="M994" s="13"/>
      <c r="N994" s="13">
        <f>L994-M994</f>
        <v>16000</v>
      </c>
      <c r="O994" s="8" t="s">
        <v>40</v>
      </c>
      <c r="P994" s="8" t="s">
        <v>41</v>
      </c>
      <c r="Q994" s="8" t="s">
        <v>42</v>
      </c>
      <c r="R994" s="6" t="s">
        <v>2184</v>
      </c>
      <c r="S994" s="6" t="s">
        <v>42</v>
      </c>
    </row>
    <row r="995" spans="1:19">
      <c r="A995" s="9">
        <v>988</v>
      </c>
      <c r="B995" s="9" t="s">
        <v>1294</v>
      </c>
      <c r="C995" s="9" t="s">
        <v>1287</v>
      </c>
      <c r="D995" s="9" t="s">
        <v>652</v>
      </c>
      <c r="E995" s="9" t="s">
        <v>68</v>
      </c>
      <c r="F995" s="7" t="s">
        <v>39</v>
      </c>
      <c r="G995" s="11">
        <v>1</v>
      </c>
      <c r="H995" s="11">
        <v>1</v>
      </c>
      <c r="I995" s="14">
        <v>10000.0</v>
      </c>
      <c r="J995" s="14"/>
      <c r="K995" s="16">
        <f>IF(I995&gt;0, J995/I995, 0)</f>
        <v>0</v>
      </c>
      <c r="L995" s="14">
        <v>10000.0</v>
      </c>
      <c r="M995" s="14"/>
      <c r="N995" s="14">
        <f>L995-M995</f>
        <v>10000</v>
      </c>
      <c r="O995" s="9" t="s">
        <v>40</v>
      </c>
      <c r="P995" s="9" t="s">
        <v>71</v>
      </c>
      <c r="Q995" s="9" t="s">
        <v>42</v>
      </c>
      <c r="R995" s="7" t="s">
        <v>2141</v>
      </c>
      <c r="S995" s="7" t="s">
        <v>42</v>
      </c>
    </row>
    <row r="996" spans="1:19">
      <c r="A996" s="8">
        <v>989</v>
      </c>
      <c r="B996" s="8" t="s">
        <v>1295</v>
      </c>
      <c r="C996" s="8" t="s">
        <v>1287</v>
      </c>
      <c r="D996" s="8" t="s">
        <v>652</v>
      </c>
      <c r="E996" s="8" t="s">
        <v>33</v>
      </c>
      <c r="F996" s="6" t="s">
        <v>39</v>
      </c>
      <c r="G996" s="10">
        <v>1</v>
      </c>
      <c r="H996" s="10">
        <v>1</v>
      </c>
      <c r="I996" s="13">
        <v>7000.0</v>
      </c>
      <c r="J996" s="13"/>
      <c r="K996" s="15">
        <f>IF(I996&gt;0, J996/I996, 0)</f>
        <v>0</v>
      </c>
      <c r="L996" s="13">
        <v>7000.0</v>
      </c>
      <c r="M996" s="13"/>
      <c r="N996" s="13">
        <f>L996-M996</f>
        <v>7000</v>
      </c>
      <c r="O996" s="8" t="s">
        <v>40</v>
      </c>
      <c r="P996" s="8" t="s">
        <v>41</v>
      </c>
      <c r="Q996" s="8" t="s">
        <v>42</v>
      </c>
      <c r="R996" s="6" t="s">
        <v>2204</v>
      </c>
      <c r="S996" s="6" t="s">
        <v>42</v>
      </c>
    </row>
    <row r="997" spans="1:19">
      <c r="A997" s="9">
        <v>990</v>
      </c>
      <c r="B997" s="9" t="s">
        <v>1297</v>
      </c>
      <c r="C997" s="9" t="s">
        <v>1287</v>
      </c>
      <c r="D997" s="9" t="s">
        <v>652</v>
      </c>
      <c r="E997" s="9" t="s">
        <v>33</v>
      </c>
      <c r="F997" s="7" t="s">
        <v>39</v>
      </c>
      <c r="G997" s="11">
        <v>1</v>
      </c>
      <c r="H997" s="11">
        <v>1</v>
      </c>
      <c r="I997" s="14">
        <v>18000.0</v>
      </c>
      <c r="J997" s="14"/>
      <c r="K997" s="16">
        <f>IF(I997&gt;0, J997/I997, 0)</f>
        <v>0</v>
      </c>
      <c r="L997" s="14">
        <v>18000.0</v>
      </c>
      <c r="M997" s="14"/>
      <c r="N997" s="14">
        <f>L997-M997</f>
        <v>18000</v>
      </c>
      <c r="O997" s="9" t="s">
        <v>40</v>
      </c>
      <c r="P997" s="9" t="s">
        <v>41</v>
      </c>
      <c r="Q997" s="9" t="s">
        <v>42</v>
      </c>
      <c r="R997" s="7" t="s">
        <v>2103</v>
      </c>
      <c r="S997" s="7" t="s">
        <v>42</v>
      </c>
    </row>
    <row r="998" spans="1:19">
      <c r="A998" s="8">
        <v>991</v>
      </c>
      <c r="B998" s="8" t="s">
        <v>1298</v>
      </c>
      <c r="C998" s="8" t="s">
        <v>1287</v>
      </c>
      <c r="D998" s="8" t="s">
        <v>652</v>
      </c>
      <c r="E998" s="8" t="s">
        <v>33</v>
      </c>
      <c r="F998" s="6" t="s">
        <v>39</v>
      </c>
      <c r="G998" s="10">
        <v>1</v>
      </c>
      <c r="H998" s="10">
        <v>1</v>
      </c>
      <c r="I998" s="13">
        <v>16500.0</v>
      </c>
      <c r="J998" s="13"/>
      <c r="K998" s="15">
        <f>IF(I998&gt;0, J998/I998, 0)</f>
        <v>0</v>
      </c>
      <c r="L998" s="13">
        <v>16500.0</v>
      </c>
      <c r="M998" s="13"/>
      <c r="N998" s="13">
        <f>L998-M998</f>
        <v>16500</v>
      </c>
      <c r="O998" s="8" t="s">
        <v>40</v>
      </c>
      <c r="P998" s="8" t="s">
        <v>41</v>
      </c>
      <c r="Q998" s="8" t="s">
        <v>42</v>
      </c>
      <c r="R998" s="6" t="s">
        <v>2144</v>
      </c>
      <c r="S998" s="6" t="s">
        <v>42</v>
      </c>
    </row>
    <row r="999" spans="1:19">
      <c r="A999" s="9">
        <v>992</v>
      </c>
      <c r="B999" s="9" t="s">
        <v>1299</v>
      </c>
      <c r="C999" s="9" t="s">
        <v>1287</v>
      </c>
      <c r="D999" s="9" t="s">
        <v>652</v>
      </c>
      <c r="E999" s="9" t="s">
        <v>68</v>
      </c>
      <c r="F999" s="7" t="s">
        <v>39</v>
      </c>
      <c r="G999" s="11">
        <v>1</v>
      </c>
      <c r="H999" s="11">
        <v>1</v>
      </c>
      <c r="I999" s="14">
        <v>10000.0</v>
      </c>
      <c r="J999" s="14"/>
      <c r="K999" s="16">
        <f>IF(I999&gt;0, J999/I999, 0)</f>
        <v>0</v>
      </c>
      <c r="L999" s="14">
        <v>10000.0</v>
      </c>
      <c r="M999" s="14"/>
      <c r="N999" s="14">
        <f>L999-M999</f>
        <v>10000</v>
      </c>
      <c r="O999" s="9" t="s">
        <v>40</v>
      </c>
      <c r="P999" s="9" t="s">
        <v>71</v>
      </c>
      <c r="Q999" s="9" t="s">
        <v>42</v>
      </c>
      <c r="R999" s="7" t="s">
        <v>2113</v>
      </c>
      <c r="S999" s="7" t="s">
        <v>42</v>
      </c>
    </row>
    <row r="1000" spans="1:19">
      <c r="A1000" s="8">
        <v>993</v>
      </c>
      <c r="B1000" s="8" t="s">
        <v>1300</v>
      </c>
      <c r="C1000" s="8" t="s">
        <v>1287</v>
      </c>
      <c r="D1000" s="8" t="s">
        <v>652</v>
      </c>
      <c r="E1000" s="8" t="s">
        <v>68</v>
      </c>
      <c r="F1000" s="6" t="s">
        <v>39</v>
      </c>
      <c r="G1000" s="10">
        <v>1</v>
      </c>
      <c r="H1000" s="10">
        <v>1</v>
      </c>
      <c r="I1000" s="13">
        <v>8000.0</v>
      </c>
      <c r="J1000" s="13"/>
      <c r="K1000" s="15">
        <f>IF(I1000&gt;0, J1000/I1000, 0)</f>
        <v>0</v>
      </c>
      <c r="L1000" s="13">
        <v>8000.0</v>
      </c>
      <c r="M1000" s="13"/>
      <c r="N1000" s="13">
        <f>L1000-M1000</f>
        <v>8000</v>
      </c>
      <c r="O1000" s="8" t="s">
        <v>40</v>
      </c>
      <c r="P1000" s="8" t="s">
        <v>71</v>
      </c>
      <c r="Q1000" s="8" t="s">
        <v>42</v>
      </c>
      <c r="R1000" s="6" t="s">
        <v>2216</v>
      </c>
      <c r="S1000" s="6" t="s">
        <v>42</v>
      </c>
    </row>
    <row r="1001" spans="1:19">
      <c r="A1001" s="9">
        <v>994</v>
      </c>
      <c r="B1001" s="9" t="s">
        <v>1301</v>
      </c>
      <c r="C1001" s="9" t="s">
        <v>1287</v>
      </c>
      <c r="D1001" s="9" t="s">
        <v>652</v>
      </c>
      <c r="E1001" s="9" t="s">
        <v>33</v>
      </c>
      <c r="F1001" s="7" t="s">
        <v>39</v>
      </c>
      <c r="G1001" s="11">
        <v>1</v>
      </c>
      <c r="H1001" s="11">
        <v>1</v>
      </c>
      <c r="I1001" s="14">
        <v>16000.0</v>
      </c>
      <c r="J1001" s="14"/>
      <c r="K1001" s="16">
        <f>IF(I1001&gt;0, J1001/I1001, 0)</f>
        <v>0</v>
      </c>
      <c r="L1001" s="14">
        <v>16000.0</v>
      </c>
      <c r="M1001" s="14"/>
      <c r="N1001" s="14">
        <f>L1001-M1001</f>
        <v>16000</v>
      </c>
      <c r="O1001" s="9" t="s">
        <v>40</v>
      </c>
      <c r="P1001" s="9" t="s">
        <v>41</v>
      </c>
      <c r="Q1001" s="9" t="s">
        <v>42</v>
      </c>
      <c r="R1001" s="7" t="s">
        <v>2126</v>
      </c>
      <c r="S1001" s="7" t="s">
        <v>42</v>
      </c>
    </row>
    <row r="1002" spans="1:19">
      <c r="A1002" s="8">
        <v>995</v>
      </c>
      <c r="B1002" s="8" t="s">
        <v>1302</v>
      </c>
      <c r="C1002" s="8" t="s">
        <v>1287</v>
      </c>
      <c r="D1002" s="8" t="s">
        <v>652</v>
      </c>
      <c r="E1002" s="8" t="s">
        <v>33</v>
      </c>
      <c r="F1002" s="6" t="s">
        <v>39</v>
      </c>
      <c r="G1002" s="10">
        <v>1</v>
      </c>
      <c r="H1002" s="10">
        <v>1</v>
      </c>
      <c r="I1002" s="13">
        <v>8000.0</v>
      </c>
      <c r="J1002" s="13"/>
      <c r="K1002" s="15">
        <f>IF(I1002&gt;0, J1002/I1002, 0)</f>
        <v>0</v>
      </c>
      <c r="L1002" s="13">
        <v>8000.0</v>
      </c>
      <c r="M1002" s="13"/>
      <c r="N1002" s="13">
        <f>L1002-M1002</f>
        <v>8000</v>
      </c>
      <c r="O1002" s="8" t="s">
        <v>40</v>
      </c>
      <c r="P1002" s="8" t="s">
        <v>41</v>
      </c>
      <c r="Q1002" s="8" t="s">
        <v>42</v>
      </c>
      <c r="R1002" s="6" t="s">
        <v>2141</v>
      </c>
      <c r="S1002" s="6" t="s">
        <v>42</v>
      </c>
    </row>
    <row r="1003" spans="1:19">
      <c r="A1003" s="9">
        <v>996</v>
      </c>
      <c r="B1003" s="9" t="s">
        <v>1303</v>
      </c>
      <c r="C1003" s="9" t="s">
        <v>1287</v>
      </c>
      <c r="D1003" s="9" t="s">
        <v>652</v>
      </c>
      <c r="E1003" s="9" t="s">
        <v>33</v>
      </c>
      <c r="F1003" s="7" t="s">
        <v>39</v>
      </c>
      <c r="G1003" s="11">
        <v>1</v>
      </c>
      <c r="H1003" s="11">
        <v>1</v>
      </c>
      <c r="I1003" s="14">
        <v>7000.0</v>
      </c>
      <c r="J1003" s="14"/>
      <c r="K1003" s="16">
        <f>IF(I1003&gt;0, J1003/I1003, 0)</f>
        <v>0</v>
      </c>
      <c r="L1003" s="14">
        <v>7000.0</v>
      </c>
      <c r="M1003" s="14"/>
      <c r="N1003" s="14">
        <f>L1003-M1003</f>
        <v>7000</v>
      </c>
      <c r="O1003" s="9" t="s">
        <v>40</v>
      </c>
      <c r="P1003" s="9" t="s">
        <v>41</v>
      </c>
      <c r="Q1003" s="9" t="s">
        <v>42</v>
      </c>
      <c r="R1003" s="7" t="s">
        <v>2107</v>
      </c>
      <c r="S1003" s="7" t="s">
        <v>42</v>
      </c>
    </row>
    <row r="1004" spans="1:19">
      <c r="A1004" s="8">
        <v>997</v>
      </c>
      <c r="B1004" s="8" t="s">
        <v>1304</v>
      </c>
      <c r="C1004" s="8" t="s">
        <v>1287</v>
      </c>
      <c r="D1004" s="8" t="s">
        <v>652</v>
      </c>
      <c r="E1004" s="8" t="s">
        <v>68</v>
      </c>
      <c r="F1004" s="6" t="s">
        <v>39</v>
      </c>
      <c r="G1004" s="10">
        <v>1</v>
      </c>
      <c r="H1004" s="10">
        <v>1</v>
      </c>
      <c r="I1004" s="13">
        <v>18000.0</v>
      </c>
      <c r="J1004" s="13"/>
      <c r="K1004" s="15">
        <f>IF(I1004&gt;0, J1004/I1004, 0)</f>
        <v>0</v>
      </c>
      <c r="L1004" s="13">
        <v>18000.0</v>
      </c>
      <c r="M1004" s="13"/>
      <c r="N1004" s="13">
        <f>L1004-M1004</f>
        <v>18000</v>
      </c>
      <c r="O1004" s="8" t="s">
        <v>40</v>
      </c>
      <c r="P1004" s="8" t="s">
        <v>71</v>
      </c>
      <c r="Q1004" s="8" t="s">
        <v>42</v>
      </c>
      <c r="R1004" s="6" t="s">
        <v>2093</v>
      </c>
      <c r="S1004" s="6" t="s">
        <v>42</v>
      </c>
    </row>
    <row r="1005" spans="1:19">
      <c r="A1005" s="9">
        <v>998</v>
      </c>
      <c r="B1005" s="9" t="s">
        <v>1305</v>
      </c>
      <c r="C1005" s="9" t="s">
        <v>1287</v>
      </c>
      <c r="D1005" s="9" t="s">
        <v>652</v>
      </c>
      <c r="E1005" s="9" t="s">
        <v>33</v>
      </c>
      <c r="F1005" s="7" t="s">
        <v>39</v>
      </c>
      <c r="G1005" s="11">
        <v>1</v>
      </c>
      <c r="H1005" s="11">
        <v>1</v>
      </c>
      <c r="I1005" s="14">
        <v>7500.0</v>
      </c>
      <c r="J1005" s="14"/>
      <c r="K1005" s="16">
        <f>IF(I1005&gt;0, J1005/I1005, 0)</f>
        <v>0</v>
      </c>
      <c r="L1005" s="14">
        <v>7500.0</v>
      </c>
      <c r="M1005" s="14"/>
      <c r="N1005" s="14">
        <f>L1005-M1005</f>
        <v>7500</v>
      </c>
      <c r="O1005" s="9" t="s">
        <v>40</v>
      </c>
      <c r="P1005" s="9" t="s">
        <v>41</v>
      </c>
      <c r="Q1005" s="9" t="s">
        <v>42</v>
      </c>
      <c r="R1005" s="7" t="s">
        <v>2100</v>
      </c>
      <c r="S1005" s="7" t="s">
        <v>42</v>
      </c>
    </row>
    <row r="1006" spans="1:19">
      <c r="A1006" s="8">
        <v>999</v>
      </c>
      <c r="B1006" s="8" t="s">
        <v>1306</v>
      </c>
      <c r="C1006" s="8" t="s">
        <v>1287</v>
      </c>
      <c r="D1006" s="8" t="s">
        <v>652</v>
      </c>
      <c r="E1006" s="8" t="s">
        <v>33</v>
      </c>
      <c r="F1006" s="6" t="s">
        <v>39</v>
      </c>
      <c r="G1006" s="10">
        <v>1</v>
      </c>
      <c r="H1006" s="10">
        <v>1</v>
      </c>
      <c r="I1006" s="13">
        <v>8000.0</v>
      </c>
      <c r="J1006" s="13"/>
      <c r="K1006" s="15">
        <f>IF(I1006&gt;0, J1006/I1006, 0)</f>
        <v>0</v>
      </c>
      <c r="L1006" s="13">
        <v>8000.0</v>
      </c>
      <c r="M1006" s="13"/>
      <c r="N1006" s="13">
        <f>L1006-M1006</f>
        <v>8000</v>
      </c>
      <c r="O1006" s="8" t="s">
        <v>40</v>
      </c>
      <c r="P1006" s="8" t="s">
        <v>41</v>
      </c>
      <c r="Q1006" s="8" t="s">
        <v>42</v>
      </c>
      <c r="R1006" s="6" t="s">
        <v>2082</v>
      </c>
      <c r="S1006" s="6" t="s">
        <v>42</v>
      </c>
    </row>
    <row r="1007" spans="1:19">
      <c r="A1007" s="9">
        <v>1000</v>
      </c>
      <c r="B1007" s="9" t="s">
        <v>1307</v>
      </c>
      <c r="C1007" s="9" t="s">
        <v>1287</v>
      </c>
      <c r="D1007" s="9" t="s">
        <v>652</v>
      </c>
      <c r="E1007" s="9" t="s">
        <v>33</v>
      </c>
      <c r="F1007" s="7" t="s">
        <v>39</v>
      </c>
      <c r="G1007" s="11">
        <v>1</v>
      </c>
      <c r="H1007" s="11">
        <v>1</v>
      </c>
      <c r="I1007" s="14">
        <v>8500.0</v>
      </c>
      <c r="J1007" s="14"/>
      <c r="K1007" s="16">
        <f>IF(I1007&gt;0, J1007/I1007, 0)</f>
        <v>0</v>
      </c>
      <c r="L1007" s="14">
        <v>8500.0</v>
      </c>
      <c r="M1007" s="14"/>
      <c r="N1007" s="14">
        <f>L1007-M1007</f>
        <v>8500</v>
      </c>
      <c r="O1007" s="9" t="s">
        <v>40</v>
      </c>
      <c r="P1007" s="9" t="s">
        <v>41</v>
      </c>
      <c r="Q1007" s="9" t="s">
        <v>42</v>
      </c>
      <c r="R1007" s="7" t="s">
        <v>2099</v>
      </c>
      <c r="S1007" s="7" t="s">
        <v>42</v>
      </c>
    </row>
    <row r="1008" spans="1:19">
      <c r="A1008" s="8">
        <v>1001</v>
      </c>
      <c r="B1008" s="8" t="s">
        <v>1308</v>
      </c>
      <c r="C1008" s="8" t="s">
        <v>1287</v>
      </c>
      <c r="D1008" s="8" t="s">
        <v>652</v>
      </c>
      <c r="E1008" s="8" t="s">
        <v>33</v>
      </c>
      <c r="F1008" s="6" t="s">
        <v>39</v>
      </c>
      <c r="G1008" s="10">
        <v>1</v>
      </c>
      <c r="H1008" s="10">
        <v>1</v>
      </c>
      <c r="I1008" s="13">
        <v>8500.0</v>
      </c>
      <c r="J1008" s="13"/>
      <c r="K1008" s="15">
        <f>IF(I1008&gt;0, J1008/I1008, 0)</f>
        <v>0</v>
      </c>
      <c r="L1008" s="13">
        <v>8500.0</v>
      </c>
      <c r="M1008" s="13"/>
      <c r="N1008" s="13">
        <f>L1008-M1008</f>
        <v>8500</v>
      </c>
      <c r="O1008" s="8" t="s">
        <v>40</v>
      </c>
      <c r="P1008" s="8" t="s">
        <v>41</v>
      </c>
      <c r="Q1008" s="8" t="s">
        <v>42</v>
      </c>
      <c r="R1008" s="6" t="s">
        <v>2078</v>
      </c>
      <c r="S1008" s="6" t="s">
        <v>42</v>
      </c>
    </row>
    <row r="1009" spans="1:19">
      <c r="A1009" s="9">
        <v>1002</v>
      </c>
      <c r="B1009" s="9" t="s">
        <v>1309</v>
      </c>
      <c r="C1009" s="9" t="s">
        <v>1287</v>
      </c>
      <c r="D1009" s="9" t="s">
        <v>652</v>
      </c>
      <c r="E1009" s="9" t="s">
        <v>33</v>
      </c>
      <c r="F1009" s="7" t="s">
        <v>39</v>
      </c>
      <c r="G1009" s="11">
        <v>1</v>
      </c>
      <c r="H1009" s="11">
        <v>1</v>
      </c>
      <c r="I1009" s="14">
        <v>7500.0</v>
      </c>
      <c r="J1009" s="14"/>
      <c r="K1009" s="16">
        <f>IF(I1009&gt;0, J1009/I1009, 0)</f>
        <v>0</v>
      </c>
      <c r="L1009" s="14">
        <v>7500.0</v>
      </c>
      <c r="M1009" s="14"/>
      <c r="N1009" s="14">
        <f>L1009-M1009</f>
        <v>7500</v>
      </c>
      <c r="O1009" s="9" t="s">
        <v>40</v>
      </c>
      <c r="P1009" s="9" t="s">
        <v>41</v>
      </c>
      <c r="Q1009" s="9" t="s">
        <v>42</v>
      </c>
      <c r="R1009" s="7" t="s">
        <v>2077</v>
      </c>
      <c r="S1009" s="7" t="s">
        <v>42</v>
      </c>
    </row>
    <row r="1010" spans="1:19">
      <c r="A1010" s="8">
        <v>1003</v>
      </c>
      <c r="B1010" s="8" t="s">
        <v>1310</v>
      </c>
      <c r="C1010" s="8" t="s">
        <v>1287</v>
      </c>
      <c r="D1010" s="8" t="s">
        <v>652</v>
      </c>
      <c r="E1010" s="8" t="s">
        <v>33</v>
      </c>
      <c r="F1010" s="6" t="s">
        <v>39</v>
      </c>
      <c r="G1010" s="10">
        <v>1</v>
      </c>
      <c r="H1010" s="10">
        <v>1</v>
      </c>
      <c r="I1010" s="13">
        <v>16500.0</v>
      </c>
      <c r="J1010" s="13"/>
      <c r="K1010" s="15">
        <f>IF(I1010&gt;0, J1010/I1010, 0)</f>
        <v>0</v>
      </c>
      <c r="L1010" s="13">
        <v>16500.0</v>
      </c>
      <c r="M1010" s="13"/>
      <c r="N1010" s="13">
        <f>L1010-M1010</f>
        <v>16500</v>
      </c>
      <c r="O1010" s="8" t="s">
        <v>40</v>
      </c>
      <c r="P1010" s="8" t="s">
        <v>41</v>
      </c>
      <c r="Q1010" s="8" t="s">
        <v>42</v>
      </c>
      <c r="R1010" s="6" t="s">
        <v>2118</v>
      </c>
      <c r="S1010" s="6" t="s">
        <v>42</v>
      </c>
    </row>
    <row r="1011" spans="1:19">
      <c r="A1011" s="9">
        <v>1004</v>
      </c>
      <c r="B1011" s="9" t="s">
        <v>1311</v>
      </c>
      <c r="C1011" s="9" t="s">
        <v>1287</v>
      </c>
      <c r="D1011" s="9" t="s">
        <v>652</v>
      </c>
      <c r="E1011" s="9" t="s">
        <v>33</v>
      </c>
      <c r="F1011" s="7" t="s">
        <v>39</v>
      </c>
      <c r="G1011" s="11">
        <v>1</v>
      </c>
      <c r="H1011" s="11">
        <v>1</v>
      </c>
      <c r="I1011" s="14">
        <v>9000.0</v>
      </c>
      <c r="J1011" s="14"/>
      <c r="K1011" s="16">
        <f>IF(I1011&gt;0, J1011/I1011, 0)</f>
        <v>0</v>
      </c>
      <c r="L1011" s="14">
        <v>9000.0</v>
      </c>
      <c r="M1011" s="14"/>
      <c r="N1011" s="14">
        <f>L1011-M1011</f>
        <v>9000</v>
      </c>
      <c r="O1011" s="9" t="s">
        <v>40</v>
      </c>
      <c r="P1011" s="9" t="s">
        <v>41</v>
      </c>
      <c r="Q1011" s="9" t="s">
        <v>42</v>
      </c>
      <c r="R1011" s="7" t="s">
        <v>2200</v>
      </c>
      <c r="S1011" s="7" t="s">
        <v>42</v>
      </c>
    </row>
    <row r="1012" spans="1:19">
      <c r="A1012" s="8">
        <v>1005</v>
      </c>
      <c r="B1012" s="8" t="s">
        <v>1312</v>
      </c>
      <c r="C1012" s="8" t="s">
        <v>1287</v>
      </c>
      <c r="D1012" s="8" t="s">
        <v>652</v>
      </c>
      <c r="E1012" s="8" t="s">
        <v>33</v>
      </c>
      <c r="F1012" s="6" t="s">
        <v>39</v>
      </c>
      <c r="G1012" s="10">
        <v>1</v>
      </c>
      <c r="H1012" s="10">
        <v>1</v>
      </c>
      <c r="I1012" s="13">
        <v>8000.0</v>
      </c>
      <c r="J1012" s="13"/>
      <c r="K1012" s="15">
        <f>IF(I1012&gt;0, J1012/I1012, 0)</f>
        <v>0</v>
      </c>
      <c r="L1012" s="13">
        <v>8000.0</v>
      </c>
      <c r="M1012" s="13"/>
      <c r="N1012" s="13">
        <f>L1012-M1012</f>
        <v>8000</v>
      </c>
      <c r="O1012" s="8" t="s">
        <v>40</v>
      </c>
      <c r="P1012" s="8" t="s">
        <v>41</v>
      </c>
      <c r="Q1012" s="8" t="s">
        <v>42</v>
      </c>
      <c r="R1012" s="6" t="s">
        <v>2082</v>
      </c>
      <c r="S1012" s="6" t="s">
        <v>42</v>
      </c>
    </row>
    <row r="1013" spans="1:19">
      <c r="A1013" s="9">
        <v>1006</v>
      </c>
      <c r="B1013" s="9" t="s">
        <v>1313</v>
      </c>
      <c r="C1013" s="9" t="s">
        <v>1287</v>
      </c>
      <c r="D1013" s="9" t="s">
        <v>652</v>
      </c>
      <c r="E1013" s="9" t="s">
        <v>33</v>
      </c>
      <c r="F1013" s="7" t="s">
        <v>39</v>
      </c>
      <c r="G1013" s="11">
        <v>1</v>
      </c>
      <c r="H1013" s="11">
        <v>1</v>
      </c>
      <c r="I1013" s="14">
        <v>9500.0</v>
      </c>
      <c r="J1013" s="14"/>
      <c r="K1013" s="16">
        <f>IF(I1013&gt;0, J1013/I1013, 0)</f>
        <v>0</v>
      </c>
      <c r="L1013" s="14">
        <v>9500.0</v>
      </c>
      <c r="M1013" s="14"/>
      <c r="N1013" s="14">
        <f>L1013-M1013</f>
        <v>9500</v>
      </c>
      <c r="O1013" s="9" t="s">
        <v>40</v>
      </c>
      <c r="P1013" s="9" t="s">
        <v>41</v>
      </c>
      <c r="Q1013" s="9" t="s">
        <v>42</v>
      </c>
      <c r="R1013" s="7" t="s">
        <v>2125</v>
      </c>
      <c r="S1013" s="7" t="s">
        <v>42</v>
      </c>
    </row>
    <row r="1014" spans="1:19">
      <c r="A1014" s="8">
        <v>1007</v>
      </c>
      <c r="B1014" s="8" t="s">
        <v>1314</v>
      </c>
      <c r="C1014" s="8" t="s">
        <v>1287</v>
      </c>
      <c r="D1014" s="8" t="s">
        <v>652</v>
      </c>
      <c r="E1014" s="8" t="s">
        <v>33</v>
      </c>
      <c r="F1014" s="6" t="s">
        <v>39</v>
      </c>
      <c r="G1014" s="10">
        <v>1</v>
      </c>
      <c r="H1014" s="10">
        <v>1</v>
      </c>
      <c r="I1014" s="13">
        <v>7000.0</v>
      </c>
      <c r="J1014" s="13"/>
      <c r="K1014" s="15">
        <f>IF(I1014&gt;0, J1014/I1014, 0)</f>
        <v>0</v>
      </c>
      <c r="L1014" s="13">
        <v>7000.0</v>
      </c>
      <c r="M1014" s="13"/>
      <c r="N1014" s="13">
        <f>L1014-M1014</f>
        <v>7000</v>
      </c>
      <c r="O1014" s="8" t="s">
        <v>40</v>
      </c>
      <c r="P1014" s="8" t="s">
        <v>41</v>
      </c>
      <c r="Q1014" s="8" t="s">
        <v>42</v>
      </c>
      <c r="R1014" s="6" t="s">
        <v>2107</v>
      </c>
      <c r="S1014" s="6" t="s">
        <v>42</v>
      </c>
    </row>
    <row r="1015" spans="1:19">
      <c r="A1015" s="9">
        <v>1008</v>
      </c>
      <c r="B1015" s="9" t="s">
        <v>1315</v>
      </c>
      <c r="C1015" s="9" t="s">
        <v>1287</v>
      </c>
      <c r="D1015" s="9" t="s">
        <v>652</v>
      </c>
      <c r="E1015" s="9" t="s">
        <v>68</v>
      </c>
      <c r="F1015" s="7" t="s">
        <v>39</v>
      </c>
      <c r="G1015" s="11">
        <v>1</v>
      </c>
      <c r="H1015" s="11">
        <v>1</v>
      </c>
      <c r="I1015" s="14">
        <v>17000.0</v>
      </c>
      <c r="J1015" s="14"/>
      <c r="K1015" s="16">
        <f>IF(I1015&gt;0, J1015/I1015, 0)</f>
        <v>0</v>
      </c>
      <c r="L1015" s="14">
        <v>17000.0</v>
      </c>
      <c r="M1015" s="14"/>
      <c r="N1015" s="14">
        <f>L1015-M1015</f>
        <v>17000</v>
      </c>
      <c r="O1015" s="9" t="s">
        <v>40</v>
      </c>
      <c r="P1015" s="9" t="s">
        <v>71</v>
      </c>
      <c r="Q1015" s="9" t="s">
        <v>42</v>
      </c>
      <c r="R1015" s="7" t="s">
        <v>2093</v>
      </c>
      <c r="S1015" s="7" t="s">
        <v>42</v>
      </c>
    </row>
    <row r="1016" spans="1:19">
      <c r="A1016" s="8">
        <v>1009</v>
      </c>
      <c r="B1016" s="8" t="s">
        <v>1316</v>
      </c>
      <c r="C1016" s="8" t="s">
        <v>1287</v>
      </c>
      <c r="D1016" s="8" t="s">
        <v>652</v>
      </c>
      <c r="E1016" s="8" t="s">
        <v>68</v>
      </c>
      <c r="F1016" s="6" t="s">
        <v>39</v>
      </c>
      <c r="G1016" s="10">
        <v>1</v>
      </c>
      <c r="H1016" s="10">
        <v>1</v>
      </c>
      <c r="I1016" s="13">
        <v>18000.0</v>
      </c>
      <c r="J1016" s="13"/>
      <c r="K1016" s="15">
        <f>IF(I1016&gt;0, J1016/I1016, 0)</f>
        <v>0</v>
      </c>
      <c r="L1016" s="13">
        <v>18000.0</v>
      </c>
      <c r="M1016" s="13"/>
      <c r="N1016" s="13">
        <f>L1016-M1016</f>
        <v>18000</v>
      </c>
      <c r="O1016" s="8" t="s">
        <v>40</v>
      </c>
      <c r="P1016" s="8" t="s">
        <v>71</v>
      </c>
      <c r="Q1016" s="8" t="s">
        <v>42</v>
      </c>
      <c r="R1016" s="6" t="s">
        <v>2080</v>
      </c>
      <c r="S1016" s="6" t="s">
        <v>42</v>
      </c>
    </row>
    <row r="1017" spans="1:19">
      <c r="A1017" s="9">
        <v>1010</v>
      </c>
      <c r="B1017" s="9" t="s">
        <v>1317</v>
      </c>
      <c r="C1017" s="9" t="s">
        <v>1287</v>
      </c>
      <c r="D1017" s="9" t="s">
        <v>652</v>
      </c>
      <c r="E1017" s="9" t="s">
        <v>33</v>
      </c>
      <c r="F1017" s="7" t="s">
        <v>39</v>
      </c>
      <c r="G1017" s="11">
        <v>1</v>
      </c>
      <c r="H1017" s="11">
        <v>3</v>
      </c>
      <c r="I1017" s="14">
        <v>24000.0</v>
      </c>
      <c r="J1017" s="14"/>
      <c r="K1017" s="16">
        <f>IF(I1017&gt;0, J1017/I1017, 0)</f>
        <v>0</v>
      </c>
      <c r="L1017" s="14">
        <v>24000.0</v>
      </c>
      <c r="M1017" s="14"/>
      <c r="N1017" s="14">
        <f>L1017-M1017</f>
        <v>24000</v>
      </c>
      <c r="O1017" s="9" t="s">
        <v>40</v>
      </c>
      <c r="P1017" s="9" t="s">
        <v>41</v>
      </c>
      <c r="Q1017" s="9" t="s">
        <v>42</v>
      </c>
      <c r="R1017" s="7" t="s">
        <v>2215</v>
      </c>
      <c r="S1017" s="7" t="s">
        <v>42</v>
      </c>
    </row>
    <row r="1018" spans="1:19">
      <c r="A1018" s="8">
        <v>1011</v>
      </c>
      <c r="B1018" s="8" t="s">
        <v>1318</v>
      </c>
      <c r="C1018" s="8" t="s">
        <v>1287</v>
      </c>
      <c r="D1018" s="8" t="s">
        <v>652</v>
      </c>
      <c r="E1018" s="8" t="s">
        <v>33</v>
      </c>
      <c r="F1018" s="6" t="s">
        <v>39</v>
      </c>
      <c r="G1018" s="10">
        <v>1</v>
      </c>
      <c r="H1018" s="10">
        <v>1</v>
      </c>
      <c r="I1018" s="13">
        <v>16000.0</v>
      </c>
      <c r="J1018" s="13"/>
      <c r="K1018" s="15">
        <f>IF(I1018&gt;0, J1018/I1018, 0)</f>
        <v>0</v>
      </c>
      <c r="L1018" s="13">
        <v>16000.0</v>
      </c>
      <c r="M1018" s="13"/>
      <c r="N1018" s="13">
        <f>L1018-M1018</f>
        <v>16000</v>
      </c>
      <c r="O1018" s="8" t="s">
        <v>40</v>
      </c>
      <c r="P1018" s="8" t="s">
        <v>41</v>
      </c>
      <c r="Q1018" s="8" t="s">
        <v>42</v>
      </c>
      <c r="R1018" s="6" t="s">
        <v>2132</v>
      </c>
      <c r="S1018" s="6" t="s">
        <v>42</v>
      </c>
    </row>
    <row r="1019" spans="1:19">
      <c r="A1019" s="9">
        <v>1012</v>
      </c>
      <c r="B1019" s="9" t="s">
        <v>1319</v>
      </c>
      <c r="C1019" s="9" t="s">
        <v>1287</v>
      </c>
      <c r="D1019" s="9" t="s">
        <v>652</v>
      </c>
      <c r="E1019" s="9" t="s">
        <v>33</v>
      </c>
      <c r="F1019" s="7" t="s">
        <v>39</v>
      </c>
      <c r="G1019" s="11">
        <v>1</v>
      </c>
      <c r="H1019" s="11">
        <v>1</v>
      </c>
      <c r="I1019" s="14">
        <v>8000.0</v>
      </c>
      <c r="J1019" s="14"/>
      <c r="K1019" s="16">
        <f>IF(I1019&gt;0, J1019/I1019, 0)</f>
        <v>0</v>
      </c>
      <c r="L1019" s="14">
        <v>8000.0</v>
      </c>
      <c r="M1019" s="14"/>
      <c r="N1019" s="14">
        <f>L1019-M1019</f>
        <v>8000</v>
      </c>
      <c r="O1019" s="9" t="s">
        <v>40</v>
      </c>
      <c r="P1019" s="9" t="s">
        <v>41</v>
      </c>
      <c r="Q1019" s="9" t="s">
        <v>42</v>
      </c>
      <c r="R1019" s="7" t="s">
        <v>2189</v>
      </c>
      <c r="S1019" s="7" t="s">
        <v>42</v>
      </c>
    </row>
    <row r="1020" spans="1:19">
      <c r="A1020" s="8">
        <v>1013</v>
      </c>
      <c r="B1020" s="8" t="s">
        <v>1320</v>
      </c>
      <c r="C1020" s="8" t="s">
        <v>1287</v>
      </c>
      <c r="D1020" s="8" t="s">
        <v>652</v>
      </c>
      <c r="E1020" s="8" t="s">
        <v>33</v>
      </c>
      <c r="F1020" s="6" t="s">
        <v>39</v>
      </c>
      <c r="G1020" s="10">
        <v>1</v>
      </c>
      <c r="H1020" s="10">
        <v>1</v>
      </c>
      <c r="I1020" s="13">
        <v>7000.0</v>
      </c>
      <c r="J1020" s="13"/>
      <c r="K1020" s="15">
        <f>IF(I1020&gt;0, J1020/I1020, 0)</f>
        <v>0</v>
      </c>
      <c r="L1020" s="13">
        <v>7000.0</v>
      </c>
      <c r="M1020" s="13"/>
      <c r="N1020" s="13">
        <f>L1020-M1020</f>
        <v>7000</v>
      </c>
      <c r="O1020" s="8" t="s">
        <v>40</v>
      </c>
      <c r="P1020" s="8" t="s">
        <v>41</v>
      </c>
      <c r="Q1020" s="8" t="s">
        <v>42</v>
      </c>
      <c r="R1020" s="6" t="s">
        <v>2131</v>
      </c>
      <c r="S1020" s="6" t="s">
        <v>42</v>
      </c>
    </row>
    <row r="1021" spans="1:19">
      <c r="A1021" s="9">
        <v>1014</v>
      </c>
      <c r="B1021" s="9" t="s">
        <v>1321</v>
      </c>
      <c r="C1021" s="9" t="s">
        <v>1287</v>
      </c>
      <c r="D1021" s="9" t="s">
        <v>652</v>
      </c>
      <c r="E1021" s="9" t="s">
        <v>33</v>
      </c>
      <c r="F1021" s="7" t="s">
        <v>39</v>
      </c>
      <c r="G1021" s="11">
        <v>1</v>
      </c>
      <c r="H1021" s="11">
        <v>1</v>
      </c>
      <c r="I1021" s="14">
        <v>8000.0</v>
      </c>
      <c r="J1021" s="14"/>
      <c r="K1021" s="16">
        <f>IF(I1021&gt;0, J1021/I1021, 0)</f>
        <v>0</v>
      </c>
      <c r="L1021" s="14">
        <v>8000.0</v>
      </c>
      <c r="M1021" s="14"/>
      <c r="N1021" s="14">
        <f>L1021-M1021</f>
        <v>8000</v>
      </c>
      <c r="O1021" s="9" t="s">
        <v>40</v>
      </c>
      <c r="P1021" s="9" t="s">
        <v>41</v>
      </c>
      <c r="Q1021" s="9" t="s">
        <v>42</v>
      </c>
      <c r="R1021" s="7" t="s">
        <v>2163</v>
      </c>
      <c r="S1021" s="7" t="s">
        <v>42</v>
      </c>
    </row>
    <row r="1022" spans="1:19">
      <c r="A1022" s="8">
        <v>1015</v>
      </c>
      <c r="B1022" s="8" t="s">
        <v>1322</v>
      </c>
      <c r="C1022" s="8" t="s">
        <v>1287</v>
      </c>
      <c r="D1022" s="8" t="s">
        <v>652</v>
      </c>
      <c r="E1022" s="8" t="s">
        <v>33</v>
      </c>
      <c r="F1022" s="6" t="s">
        <v>39</v>
      </c>
      <c r="G1022" s="10">
        <v>1</v>
      </c>
      <c r="H1022" s="10">
        <v>1</v>
      </c>
      <c r="I1022" s="13">
        <v>8000.0</v>
      </c>
      <c r="J1022" s="13"/>
      <c r="K1022" s="15">
        <f>IF(I1022&gt;0, J1022/I1022, 0)</f>
        <v>0</v>
      </c>
      <c r="L1022" s="13">
        <v>8000.0</v>
      </c>
      <c r="M1022" s="13"/>
      <c r="N1022" s="13">
        <f>L1022-M1022</f>
        <v>8000</v>
      </c>
      <c r="O1022" s="8" t="s">
        <v>40</v>
      </c>
      <c r="P1022" s="8" t="s">
        <v>41</v>
      </c>
      <c r="Q1022" s="8" t="s">
        <v>42</v>
      </c>
      <c r="R1022" s="6" t="s">
        <v>2074</v>
      </c>
      <c r="S1022" s="6" t="s">
        <v>42</v>
      </c>
    </row>
    <row r="1023" spans="1:19">
      <c r="A1023" s="9">
        <v>1016</v>
      </c>
      <c r="B1023" s="9" t="s">
        <v>1323</v>
      </c>
      <c r="C1023" s="9" t="s">
        <v>1287</v>
      </c>
      <c r="D1023" s="9" t="s">
        <v>652</v>
      </c>
      <c r="E1023" s="9" t="s">
        <v>33</v>
      </c>
      <c r="F1023" s="7" t="s">
        <v>39</v>
      </c>
      <c r="G1023" s="11">
        <v>1</v>
      </c>
      <c r="H1023" s="11">
        <v>1</v>
      </c>
      <c r="I1023" s="14">
        <v>16000.0</v>
      </c>
      <c r="J1023" s="14"/>
      <c r="K1023" s="16">
        <f>IF(I1023&gt;0, J1023/I1023, 0)</f>
        <v>0</v>
      </c>
      <c r="L1023" s="14">
        <v>16000.0</v>
      </c>
      <c r="M1023" s="14"/>
      <c r="N1023" s="14">
        <f>L1023-M1023</f>
        <v>16000</v>
      </c>
      <c r="O1023" s="9" t="s">
        <v>40</v>
      </c>
      <c r="P1023" s="9" t="s">
        <v>41</v>
      </c>
      <c r="Q1023" s="9" t="s">
        <v>42</v>
      </c>
      <c r="R1023" s="7" t="s">
        <v>2132</v>
      </c>
      <c r="S1023" s="7" t="s">
        <v>42</v>
      </c>
    </row>
    <row r="1024" spans="1:19">
      <c r="A1024" s="8">
        <v>1017</v>
      </c>
      <c r="B1024" s="8" t="s">
        <v>1324</v>
      </c>
      <c r="C1024" s="8" t="s">
        <v>1287</v>
      </c>
      <c r="D1024" s="8" t="s">
        <v>652</v>
      </c>
      <c r="E1024" s="8" t="s">
        <v>33</v>
      </c>
      <c r="F1024" s="6" t="s">
        <v>39</v>
      </c>
      <c r="G1024" s="10">
        <v>1</v>
      </c>
      <c r="H1024" s="10">
        <v>1</v>
      </c>
      <c r="I1024" s="13">
        <v>7000.0</v>
      </c>
      <c r="J1024" s="13"/>
      <c r="K1024" s="15">
        <f>IF(I1024&gt;0, J1024/I1024, 0)</f>
        <v>0</v>
      </c>
      <c r="L1024" s="13">
        <v>7000.0</v>
      </c>
      <c r="M1024" s="13"/>
      <c r="N1024" s="13">
        <f>L1024-M1024</f>
        <v>7000</v>
      </c>
      <c r="O1024" s="8" t="s">
        <v>40</v>
      </c>
      <c r="P1024" s="8" t="s">
        <v>41</v>
      </c>
      <c r="Q1024" s="8" t="s">
        <v>42</v>
      </c>
      <c r="R1024" s="6" t="s">
        <v>2155</v>
      </c>
      <c r="S1024" s="6" t="s">
        <v>42</v>
      </c>
    </row>
    <row r="1025" spans="1:19">
      <c r="A1025" s="9">
        <v>1018</v>
      </c>
      <c r="B1025" s="9" t="s">
        <v>1325</v>
      </c>
      <c r="C1025" s="9" t="s">
        <v>1287</v>
      </c>
      <c r="D1025" s="9" t="s">
        <v>652</v>
      </c>
      <c r="E1025" s="9" t="s">
        <v>68</v>
      </c>
      <c r="F1025" s="7" t="s">
        <v>39</v>
      </c>
      <c r="G1025" s="11">
        <v>1</v>
      </c>
      <c r="H1025" s="11">
        <v>1</v>
      </c>
      <c r="I1025" s="14">
        <v>18000.0</v>
      </c>
      <c r="J1025" s="14"/>
      <c r="K1025" s="16">
        <f>IF(I1025&gt;0, J1025/I1025, 0)</f>
        <v>0</v>
      </c>
      <c r="L1025" s="14">
        <v>18000.0</v>
      </c>
      <c r="M1025" s="14"/>
      <c r="N1025" s="14">
        <f>L1025-M1025</f>
        <v>18000</v>
      </c>
      <c r="O1025" s="9" t="s">
        <v>40</v>
      </c>
      <c r="P1025" s="9" t="s">
        <v>71</v>
      </c>
      <c r="Q1025" s="9" t="s">
        <v>42</v>
      </c>
      <c r="R1025" s="7" t="s">
        <v>2093</v>
      </c>
      <c r="S1025" s="7" t="s">
        <v>42</v>
      </c>
    </row>
    <row r="1026" spans="1:19">
      <c r="A1026" s="8">
        <v>1019</v>
      </c>
      <c r="B1026" s="8" t="s">
        <v>1326</v>
      </c>
      <c r="C1026" s="8" t="s">
        <v>1287</v>
      </c>
      <c r="D1026" s="8" t="s">
        <v>652</v>
      </c>
      <c r="E1026" s="8" t="s">
        <v>33</v>
      </c>
      <c r="F1026" s="6" t="s">
        <v>39</v>
      </c>
      <c r="G1026" s="10">
        <v>1</v>
      </c>
      <c r="H1026" s="10">
        <v>1</v>
      </c>
      <c r="I1026" s="13">
        <v>18000.0</v>
      </c>
      <c r="J1026" s="13"/>
      <c r="K1026" s="15">
        <f>IF(I1026&gt;0, J1026/I1026, 0)</f>
        <v>0</v>
      </c>
      <c r="L1026" s="13">
        <v>18000.0</v>
      </c>
      <c r="M1026" s="13"/>
      <c r="N1026" s="13">
        <f>L1026-M1026</f>
        <v>18000</v>
      </c>
      <c r="O1026" s="8" t="s">
        <v>40</v>
      </c>
      <c r="P1026" s="8" t="s">
        <v>41</v>
      </c>
      <c r="Q1026" s="8" t="s">
        <v>42</v>
      </c>
      <c r="R1026" s="6" t="s">
        <v>2075</v>
      </c>
      <c r="S1026" s="6" t="s">
        <v>42</v>
      </c>
    </row>
    <row r="1027" spans="1:19">
      <c r="A1027" s="9">
        <v>1020</v>
      </c>
      <c r="B1027" s="9" t="s">
        <v>1327</v>
      </c>
      <c r="C1027" s="9" t="s">
        <v>1287</v>
      </c>
      <c r="D1027" s="9" t="s">
        <v>652</v>
      </c>
      <c r="E1027" s="9" t="s">
        <v>33</v>
      </c>
      <c r="F1027" s="7" t="s">
        <v>39</v>
      </c>
      <c r="G1027" s="11">
        <v>1</v>
      </c>
      <c r="H1027" s="11">
        <v>2</v>
      </c>
      <c r="I1027" s="14">
        <v>16000.0</v>
      </c>
      <c r="J1027" s="14"/>
      <c r="K1027" s="16">
        <f>IF(I1027&gt;0, J1027/I1027, 0)</f>
        <v>0</v>
      </c>
      <c r="L1027" s="14">
        <v>16000.0</v>
      </c>
      <c r="M1027" s="14"/>
      <c r="N1027" s="14">
        <f>L1027-M1027</f>
        <v>16000</v>
      </c>
      <c r="O1027" s="9" t="s">
        <v>40</v>
      </c>
      <c r="P1027" s="9" t="s">
        <v>41</v>
      </c>
      <c r="Q1027" s="9" t="s">
        <v>42</v>
      </c>
      <c r="R1027" s="7" t="s">
        <v>2145</v>
      </c>
      <c r="S1027" s="7" t="s">
        <v>42</v>
      </c>
    </row>
    <row r="1028" spans="1:19">
      <c r="A1028" s="8">
        <v>1021</v>
      </c>
      <c r="B1028" s="8" t="s">
        <v>1328</v>
      </c>
      <c r="C1028" s="8" t="s">
        <v>1287</v>
      </c>
      <c r="D1028" s="8" t="s">
        <v>652</v>
      </c>
      <c r="E1028" s="8" t="s">
        <v>68</v>
      </c>
      <c r="F1028" s="6" t="s">
        <v>39</v>
      </c>
      <c r="G1028" s="10">
        <v>1</v>
      </c>
      <c r="H1028" s="10">
        <v>1</v>
      </c>
      <c r="I1028" s="13">
        <v>10000.0</v>
      </c>
      <c r="J1028" s="13"/>
      <c r="K1028" s="15">
        <f>IF(I1028&gt;0, J1028/I1028, 0)</f>
        <v>0</v>
      </c>
      <c r="L1028" s="13">
        <v>10000.0</v>
      </c>
      <c r="M1028" s="13"/>
      <c r="N1028" s="13">
        <f>L1028-M1028</f>
        <v>10000</v>
      </c>
      <c r="O1028" s="8" t="s">
        <v>40</v>
      </c>
      <c r="P1028" s="8" t="s">
        <v>71</v>
      </c>
      <c r="Q1028" s="8" t="s">
        <v>42</v>
      </c>
      <c r="R1028" s="6" t="s">
        <v>2112</v>
      </c>
      <c r="S1028" s="6" t="s">
        <v>42</v>
      </c>
    </row>
    <row r="1029" spans="1:19">
      <c r="A1029" s="9">
        <v>1022</v>
      </c>
      <c r="B1029" s="9" t="s">
        <v>1329</v>
      </c>
      <c r="C1029" s="9" t="s">
        <v>1287</v>
      </c>
      <c r="D1029" s="9" t="s">
        <v>652</v>
      </c>
      <c r="E1029" s="9" t="s">
        <v>33</v>
      </c>
      <c r="F1029" s="7" t="s">
        <v>39</v>
      </c>
      <c r="G1029" s="11">
        <v>1</v>
      </c>
      <c r="H1029" s="11">
        <v>1</v>
      </c>
      <c r="I1029" s="14">
        <v>7000.0</v>
      </c>
      <c r="J1029" s="14"/>
      <c r="K1029" s="16">
        <f>IF(I1029&gt;0, J1029/I1029, 0)</f>
        <v>0</v>
      </c>
      <c r="L1029" s="14">
        <v>7000.0</v>
      </c>
      <c r="M1029" s="14"/>
      <c r="N1029" s="14">
        <f>L1029-M1029</f>
        <v>7000</v>
      </c>
      <c r="O1029" s="9" t="s">
        <v>40</v>
      </c>
      <c r="P1029" s="9" t="s">
        <v>41</v>
      </c>
      <c r="Q1029" s="9" t="s">
        <v>42</v>
      </c>
      <c r="R1029" s="7" t="s">
        <v>2231</v>
      </c>
      <c r="S1029" s="7" t="s">
        <v>42</v>
      </c>
    </row>
    <row r="1030" spans="1:19">
      <c r="A1030" s="8">
        <v>1023</v>
      </c>
      <c r="B1030" s="8" t="s">
        <v>1330</v>
      </c>
      <c r="C1030" s="8" t="s">
        <v>1287</v>
      </c>
      <c r="D1030" s="8" t="s">
        <v>652</v>
      </c>
      <c r="E1030" s="8" t="s">
        <v>33</v>
      </c>
      <c r="F1030" s="6" t="s">
        <v>39</v>
      </c>
      <c r="G1030" s="10">
        <v>1</v>
      </c>
      <c r="H1030" s="10">
        <v>1</v>
      </c>
      <c r="I1030" s="13">
        <v>8000.0</v>
      </c>
      <c r="J1030" s="13"/>
      <c r="K1030" s="15">
        <f>IF(I1030&gt;0, J1030/I1030, 0)</f>
        <v>0</v>
      </c>
      <c r="L1030" s="13">
        <v>8000.0</v>
      </c>
      <c r="M1030" s="13"/>
      <c r="N1030" s="13">
        <f>L1030-M1030</f>
        <v>8000</v>
      </c>
      <c r="O1030" s="8" t="s">
        <v>40</v>
      </c>
      <c r="P1030" s="8" t="s">
        <v>41</v>
      </c>
      <c r="Q1030" s="8" t="s">
        <v>42</v>
      </c>
      <c r="R1030" s="6" t="s">
        <v>2163</v>
      </c>
      <c r="S1030" s="6" t="s">
        <v>42</v>
      </c>
    </row>
    <row r="1031" spans="1:19">
      <c r="A1031" s="9">
        <v>1024</v>
      </c>
      <c r="B1031" s="9" t="s">
        <v>1331</v>
      </c>
      <c r="C1031" s="9" t="s">
        <v>1287</v>
      </c>
      <c r="D1031" s="9" t="s">
        <v>652</v>
      </c>
      <c r="E1031" s="9" t="s">
        <v>33</v>
      </c>
      <c r="F1031" s="7" t="s">
        <v>39</v>
      </c>
      <c r="G1031" s="11">
        <v>1</v>
      </c>
      <c r="H1031" s="11">
        <v>2</v>
      </c>
      <c r="I1031" s="14">
        <v>14000.0</v>
      </c>
      <c r="J1031" s="14"/>
      <c r="K1031" s="16">
        <f>IF(I1031&gt;0, J1031/I1031, 0)</f>
        <v>0</v>
      </c>
      <c r="L1031" s="14">
        <v>14000.0</v>
      </c>
      <c r="M1031" s="14"/>
      <c r="N1031" s="14">
        <f>L1031-M1031</f>
        <v>14000</v>
      </c>
      <c r="O1031" s="9" t="s">
        <v>40</v>
      </c>
      <c r="P1031" s="9" t="s">
        <v>41</v>
      </c>
      <c r="Q1031" s="9" t="s">
        <v>42</v>
      </c>
      <c r="R1031" s="7" t="s">
        <v>2192</v>
      </c>
      <c r="S1031" s="7" t="s">
        <v>42</v>
      </c>
    </row>
    <row r="1032" spans="1:19">
      <c r="A1032" s="8">
        <v>1025</v>
      </c>
      <c r="B1032" s="8" t="s">
        <v>1332</v>
      </c>
      <c r="C1032" s="8" t="s">
        <v>1287</v>
      </c>
      <c r="D1032" s="8" t="s">
        <v>652</v>
      </c>
      <c r="E1032" s="8" t="s">
        <v>33</v>
      </c>
      <c r="F1032" s="6" t="s">
        <v>39</v>
      </c>
      <c r="G1032" s="10">
        <v>1</v>
      </c>
      <c r="H1032" s="10">
        <v>1</v>
      </c>
      <c r="I1032" s="13">
        <v>8000.0</v>
      </c>
      <c r="J1032" s="13"/>
      <c r="K1032" s="15">
        <f>IF(I1032&gt;0, J1032/I1032, 0)</f>
        <v>0</v>
      </c>
      <c r="L1032" s="13">
        <v>8000.0</v>
      </c>
      <c r="M1032" s="13"/>
      <c r="N1032" s="13">
        <f>L1032-M1032</f>
        <v>8000</v>
      </c>
      <c r="O1032" s="8" t="s">
        <v>40</v>
      </c>
      <c r="P1032" s="8" t="s">
        <v>41</v>
      </c>
      <c r="Q1032" s="8" t="s">
        <v>42</v>
      </c>
      <c r="R1032" s="6" t="s">
        <v>2189</v>
      </c>
      <c r="S1032" s="6" t="s">
        <v>42</v>
      </c>
    </row>
    <row r="1033" spans="1:19">
      <c r="A1033" s="9">
        <v>1026</v>
      </c>
      <c r="B1033" s="9" t="s">
        <v>1333</v>
      </c>
      <c r="C1033" s="9" t="s">
        <v>1334</v>
      </c>
      <c r="D1033" s="9" t="s">
        <v>652</v>
      </c>
      <c r="E1033" s="9" t="s">
        <v>33</v>
      </c>
      <c r="F1033" s="7" t="s">
        <v>39</v>
      </c>
      <c r="G1033" s="11">
        <v>1</v>
      </c>
      <c r="H1033" s="11">
        <v>1</v>
      </c>
      <c r="I1033" s="14">
        <v>7000.0</v>
      </c>
      <c r="J1033" s="14"/>
      <c r="K1033" s="16">
        <f>IF(I1033&gt;0, J1033/I1033, 0)</f>
        <v>0</v>
      </c>
      <c r="L1033" s="14">
        <v>7000.0</v>
      </c>
      <c r="M1033" s="14"/>
      <c r="N1033" s="14">
        <f>L1033-M1033</f>
        <v>7000</v>
      </c>
      <c r="O1033" s="9" t="s">
        <v>40</v>
      </c>
      <c r="P1033" s="9" t="s">
        <v>41</v>
      </c>
      <c r="Q1033" s="9" t="s">
        <v>42</v>
      </c>
      <c r="R1033" s="7" t="s">
        <v>2107</v>
      </c>
      <c r="S1033" s="7" t="s">
        <v>42</v>
      </c>
    </row>
    <row r="1034" spans="1:19">
      <c r="A1034" s="8">
        <v>1027</v>
      </c>
      <c r="B1034" s="8" t="s">
        <v>1335</v>
      </c>
      <c r="C1034" s="8" t="s">
        <v>1334</v>
      </c>
      <c r="D1034" s="8" t="s">
        <v>652</v>
      </c>
      <c r="E1034" s="8" t="s">
        <v>33</v>
      </c>
      <c r="F1034" s="6" t="s">
        <v>39</v>
      </c>
      <c r="G1034" s="10">
        <v>1</v>
      </c>
      <c r="H1034" s="10">
        <v>1</v>
      </c>
      <c r="I1034" s="13">
        <v>9000.0</v>
      </c>
      <c r="J1034" s="13"/>
      <c r="K1034" s="15">
        <f>IF(I1034&gt;0, J1034/I1034, 0)</f>
        <v>0</v>
      </c>
      <c r="L1034" s="13">
        <v>9000.0</v>
      </c>
      <c r="M1034" s="13"/>
      <c r="N1034" s="13">
        <f>L1034-M1034</f>
        <v>9000</v>
      </c>
      <c r="O1034" s="8" t="s">
        <v>40</v>
      </c>
      <c r="P1034" s="8" t="s">
        <v>41</v>
      </c>
      <c r="Q1034" s="8" t="s">
        <v>42</v>
      </c>
      <c r="R1034" s="6" t="s">
        <v>2125</v>
      </c>
      <c r="S1034" s="6" t="s">
        <v>42</v>
      </c>
    </row>
    <row r="1035" spans="1:19">
      <c r="A1035" s="9">
        <v>1028</v>
      </c>
      <c r="B1035" s="9" t="s">
        <v>1336</v>
      </c>
      <c r="C1035" s="9" t="s">
        <v>1334</v>
      </c>
      <c r="D1035" s="9" t="s">
        <v>652</v>
      </c>
      <c r="E1035" s="9" t="s">
        <v>33</v>
      </c>
      <c r="F1035" s="7" t="s">
        <v>39</v>
      </c>
      <c r="G1035" s="11">
        <v>1</v>
      </c>
      <c r="H1035" s="11">
        <v>1</v>
      </c>
      <c r="I1035" s="14">
        <v>16000.0</v>
      </c>
      <c r="J1035" s="14"/>
      <c r="K1035" s="16">
        <f>IF(I1035&gt;0, J1035/I1035, 0)</f>
        <v>0</v>
      </c>
      <c r="L1035" s="14">
        <v>16000.0</v>
      </c>
      <c r="M1035" s="14"/>
      <c r="N1035" s="14">
        <f>L1035-M1035</f>
        <v>16000</v>
      </c>
      <c r="O1035" s="9" t="s">
        <v>40</v>
      </c>
      <c r="P1035" s="9" t="s">
        <v>41</v>
      </c>
      <c r="Q1035" s="9" t="s">
        <v>42</v>
      </c>
      <c r="R1035" s="7" t="s">
        <v>2144</v>
      </c>
      <c r="S1035" s="7" t="s">
        <v>42</v>
      </c>
    </row>
    <row r="1036" spans="1:19">
      <c r="A1036" s="8">
        <v>1029</v>
      </c>
      <c r="B1036" s="8" t="s">
        <v>1337</v>
      </c>
      <c r="C1036" s="8" t="s">
        <v>1334</v>
      </c>
      <c r="D1036" s="8" t="s">
        <v>652</v>
      </c>
      <c r="E1036" s="8" t="s">
        <v>33</v>
      </c>
      <c r="F1036" s="6" t="s">
        <v>39</v>
      </c>
      <c r="G1036" s="10">
        <v>1</v>
      </c>
      <c r="H1036" s="10">
        <v>1</v>
      </c>
      <c r="I1036" s="13">
        <v>18000.0</v>
      </c>
      <c r="J1036" s="13"/>
      <c r="K1036" s="15">
        <f>IF(I1036&gt;0, J1036/I1036, 0)</f>
        <v>0</v>
      </c>
      <c r="L1036" s="13">
        <v>18000.0</v>
      </c>
      <c r="M1036" s="13"/>
      <c r="N1036" s="13">
        <f>L1036-M1036</f>
        <v>18000</v>
      </c>
      <c r="O1036" s="8" t="s">
        <v>40</v>
      </c>
      <c r="P1036" s="8" t="s">
        <v>41</v>
      </c>
      <c r="Q1036" s="8" t="s">
        <v>42</v>
      </c>
      <c r="R1036" s="6" t="s">
        <v>2160</v>
      </c>
      <c r="S1036" s="6" t="s">
        <v>42</v>
      </c>
    </row>
    <row r="1037" spans="1:19">
      <c r="A1037" s="9">
        <v>1030</v>
      </c>
      <c r="B1037" s="9" t="s">
        <v>1338</v>
      </c>
      <c r="C1037" s="9" t="s">
        <v>1334</v>
      </c>
      <c r="D1037" s="9" t="s">
        <v>652</v>
      </c>
      <c r="E1037" s="9" t="s">
        <v>33</v>
      </c>
      <c r="F1037" s="7" t="s">
        <v>39</v>
      </c>
      <c r="G1037" s="11">
        <v>1</v>
      </c>
      <c r="H1037" s="11">
        <v>1</v>
      </c>
      <c r="I1037" s="14">
        <v>7000.0</v>
      </c>
      <c r="J1037" s="14"/>
      <c r="K1037" s="16">
        <f>IF(I1037&gt;0, J1037/I1037, 0)</f>
        <v>0</v>
      </c>
      <c r="L1037" s="14">
        <v>7000.0</v>
      </c>
      <c r="M1037" s="14"/>
      <c r="N1037" s="14">
        <f>L1037-M1037</f>
        <v>7000</v>
      </c>
      <c r="O1037" s="9" t="s">
        <v>40</v>
      </c>
      <c r="P1037" s="9" t="s">
        <v>41</v>
      </c>
      <c r="Q1037" s="9" t="s">
        <v>42</v>
      </c>
      <c r="R1037" s="7" t="s">
        <v>2154</v>
      </c>
      <c r="S1037" s="7" t="s">
        <v>42</v>
      </c>
    </row>
    <row r="1038" spans="1:19">
      <c r="A1038" s="8">
        <v>1031</v>
      </c>
      <c r="B1038" s="8" t="s">
        <v>1339</v>
      </c>
      <c r="C1038" s="8" t="s">
        <v>1334</v>
      </c>
      <c r="D1038" s="8" t="s">
        <v>652</v>
      </c>
      <c r="E1038" s="8" t="s">
        <v>33</v>
      </c>
      <c r="F1038" s="6" t="s">
        <v>39</v>
      </c>
      <c r="G1038" s="10">
        <v>1</v>
      </c>
      <c r="H1038" s="10">
        <v>1</v>
      </c>
      <c r="I1038" s="13">
        <v>8000.0</v>
      </c>
      <c r="J1038" s="13"/>
      <c r="K1038" s="15">
        <f>IF(I1038&gt;0, J1038/I1038, 0)</f>
        <v>0</v>
      </c>
      <c r="L1038" s="13">
        <v>8000.0</v>
      </c>
      <c r="M1038" s="13"/>
      <c r="N1038" s="13">
        <f>L1038-M1038</f>
        <v>8000</v>
      </c>
      <c r="O1038" s="8" t="s">
        <v>40</v>
      </c>
      <c r="P1038" s="8" t="s">
        <v>41</v>
      </c>
      <c r="Q1038" s="8" t="s">
        <v>42</v>
      </c>
      <c r="R1038" s="6" t="s">
        <v>2152</v>
      </c>
      <c r="S1038" s="6" t="s">
        <v>42</v>
      </c>
    </row>
    <row r="1039" spans="1:19">
      <c r="A1039" s="9">
        <v>1032</v>
      </c>
      <c r="B1039" s="9" t="s">
        <v>1340</v>
      </c>
      <c r="C1039" s="9" t="s">
        <v>1334</v>
      </c>
      <c r="D1039" s="9" t="s">
        <v>652</v>
      </c>
      <c r="E1039" s="9" t="s">
        <v>33</v>
      </c>
      <c r="F1039" s="7" t="s">
        <v>39</v>
      </c>
      <c r="G1039" s="11">
        <v>1</v>
      </c>
      <c r="H1039" s="11">
        <v>1</v>
      </c>
      <c r="I1039" s="14">
        <v>17000.0</v>
      </c>
      <c r="J1039" s="14"/>
      <c r="K1039" s="16">
        <f>IF(I1039&gt;0, J1039/I1039, 0)</f>
        <v>0</v>
      </c>
      <c r="L1039" s="14">
        <v>17000.0</v>
      </c>
      <c r="M1039" s="14"/>
      <c r="N1039" s="14">
        <f>L1039-M1039</f>
        <v>17000</v>
      </c>
      <c r="O1039" s="9" t="s">
        <v>40</v>
      </c>
      <c r="P1039" s="9" t="s">
        <v>41</v>
      </c>
      <c r="Q1039" s="9" t="s">
        <v>42</v>
      </c>
      <c r="R1039" s="7" t="s">
        <v>2126</v>
      </c>
      <c r="S1039" s="7" t="s">
        <v>42</v>
      </c>
    </row>
    <row r="1040" spans="1:19">
      <c r="A1040" s="8">
        <v>1033</v>
      </c>
      <c r="B1040" s="8" t="s">
        <v>1341</v>
      </c>
      <c r="C1040" s="8" t="s">
        <v>1334</v>
      </c>
      <c r="D1040" s="8" t="s">
        <v>652</v>
      </c>
      <c r="E1040" s="8" t="s">
        <v>33</v>
      </c>
      <c r="F1040" s="6" t="s">
        <v>39</v>
      </c>
      <c r="G1040" s="10">
        <v>1</v>
      </c>
      <c r="H1040" s="10">
        <v>1</v>
      </c>
      <c r="I1040" s="13">
        <v>7000.0</v>
      </c>
      <c r="J1040" s="13"/>
      <c r="K1040" s="15">
        <f>IF(I1040&gt;0, J1040/I1040, 0)</f>
        <v>0</v>
      </c>
      <c r="L1040" s="13">
        <v>7000.0</v>
      </c>
      <c r="M1040" s="13"/>
      <c r="N1040" s="13">
        <f>L1040-M1040</f>
        <v>7000</v>
      </c>
      <c r="O1040" s="8" t="s">
        <v>40</v>
      </c>
      <c r="P1040" s="8" t="s">
        <v>41</v>
      </c>
      <c r="Q1040" s="8" t="s">
        <v>42</v>
      </c>
      <c r="R1040" s="6" t="s">
        <v>2154</v>
      </c>
      <c r="S1040" s="6" t="s">
        <v>42</v>
      </c>
    </row>
    <row r="1041" spans="1:19">
      <c r="A1041" s="9">
        <v>1034</v>
      </c>
      <c r="B1041" s="9" t="s">
        <v>1342</v>
      </c>
      <c r="C1041" s="9" t="s">
        <v>1334</v>
      </c>
      <c r="D1041" s="9" t="s">
        <v>652</v>
      </c>
      <c r="E1041" s="9" t="s">
        <v>33</v>
      </c>
      <c r="F1041" s="7" t="s">
        <v>39</v>
      </c>
      <c r="G1041" s="11">
        <v>1</v>
      </c>
      <c r="H1041" s="11">
        <v>1</v>
      </c>
      <c r="I1041" s="14">
        <v>9000.0</v>
      </c>
      <c r="J1041" s="14"/>
      <c r="K1041" s="16">
        <f>IF(I1041&gt;0, J1041/I1041, 0)</f>
        <v>0</v>
      </c>
      <c r="L1041" s="14">
        <v>9000.0</v>
      </c>
      <c r="M1041" s="14"/>
      <c r="N1041" s="14">
        <f>L1041-M1041</f>
        <v>9000</v>
      </c>
      <c r="O1041" s="9" t="s">
        <v>40</v>
      </c>
      <c r="P1041" s="9" t="s">
        <v>41</v>
      </c>
      <c r="Q1041" s="9" t="s">
        <v>42</v>
      </c>
      <c r="R1041" s="7" t="s">
        <v>2125</v>
      </c>
      <c r="S1041" s="7" t="s">
        <v>42</v>
      </c>
    </row>
    <row r="1042" spans="1:19">
      <c r="A1042" s="8">
        <v>1035</v>
      </c>
      <c r="B1042" s="8" t="s">
        <v>1343</v>
      </c>
      <c r="C1042" s="8" t="s">
        <v>1334</v>
      </c>
      <c r="D1042" s="8" t="s">
        <v>652</v>
      </c>
      <c r="E1042" s="8" t="s">
        <v>33</v>
      </c>
      <c r="F1042" s="6" t="s">
        <v>39</v>
      </c>
      <c r="G1042" s="10">
        <v>1</v>
      </c>
      <c r="H1042" s="10">
        <v>1</v>
      </c>
      <c r="I1042" s="13">
        <v>8000.0</v>
      </c>
      <c r="J1042" s="13"/>
      <c r="K1042" s="15">
        <f>IF(I1042&gt;0, J1042/I1042, 0)</f>
        <v>0</v>
      </c>
      <c r="L1042" s="13">
        <v>8000.0</v>
      </c>
      <c r="M1042" s="13"/>
      <c r="N1042" s="13">
        <f>L1042-M1042</f>
        <v>8000</v>
      </c>
      <c r="O1042" s="8" t="s">
        <v>40</v>
      </c>
      <c r="P1042" s="8" t="s">
        <v>41</v>
      </c>
      <c r="Q1042" s="8" t="s">
        <v>42</v>
      </c>
      <c r="R1042" s="6" t="s">
        <v>2078</v>
      </c>
      <c r="S1042" s="6" t="s">
        <v>42</v>
      </c>
    </row>
    <row r="1043" spans="1:19">
      <c r="A1043" s="9">
        <v>1036</v>
      </c>
      <c r="B1043" s="9" t="s">
        <v>1344</v>
      </c>
      <c r="C1043" s="9" t="s">
        <v>1334</v>
      </c>
      <c r="D1043" s="9" t="s">
        <v>652</v>
      </c>
      <c r="E1043" s="9" t="s">
        <v>33</v>
      </c>
      <c r="F1043" s="7" t="s">
        <v>39</v>
      </c>
      <c r="G1043" s="11">
        <v>1</v>
      </c>
      <c r="H1043" s="11">
        <v>1</v>
      </c>
      <c r="I1043" s="14">
        <v>7000.0</v>
      </c>
      <c r="J1043" s="14"/>
      <c r="K1043" s="16">
        <f>IF(I1043&gt;0, J1043/I1043, 0)</f>
        <v>0</v>
      </c>
      <c r="L1043" s="14">
        <v>7000.0</v>
      </c>
      <c r="M1043" s="14"/>
      <c r="N1043" s="14">
        <f>L1043-M1043</f>
        <v>7000</v>
      </c>
      <c r="O1043" s="9" t="s">
        <v>40</v>
      </c>
      <c r="P1043" s="9" t="s">
        <v>41</v>
      </c>
      <c r="Q1043" s="9" t="s">
        <v>42</v>
      </c>
      <c r="R1043" s="7" t="s">
        <v>2074</v>
      </c>
      <c r="S1043" s="7" t="s">
        <v>42</v>
      </c>
    </row>
    <row r="1044" spans="1:19">
      <c r="A1044" s="8">
        <v>1037</v>
      </c>
      <c r="B1044" s="8" t="s">
        <v>1345</v>
      </c>
      <c r="C1044" s="8" t="s">
        <v>1334</v>
      </c>
      <c r="D1044" s="8" t="s">
        <v>652</v>
      </c>
      <c r="E1044" s="8" t="s">
        <v>33</v>
      </c>
      <c r="F1044" s="6" t="s">
        <v>39</v>
      </c>
      <c r="G1044" s="10">
        <v>1</v>
      </c>
      <c r="H1044" s="10">
        <v>1</v>
      </c>
      <c r="I1044" s="13">
        <v>16000.0</v>
      </c>
      <c r="J1044" s="13"/>
      <c r="K1044" s="15">
        <f>IF(I1044&gt;0, J1044/I1044, 0)</f>
        <v>0</v>
      </c>
      <c r="L1044" s="13">
        <v>16000.0</v>
      </c>
      <c r="M1044" s="13"/>
      <c r="N1044" s="13">
        <f>L1044-M1044</f>
        <v>16000</v>
      </c>
      <c r="O1044" s="8" t="s">
        <v>40</v>
      </c>
      <c r="P1044" s="8" t="s">
        <v>41</v>
      </c>
      <c r="Q1044" s="8" t="s">
        <v>42</v>
      </c>
      <c r="R1044" s="6" t="s">
        <v>2126</v>
      </c>
      <c r="S1044" s="6" t="s">
        <v>42</v>
      </c>
    </row>
    <row r="1045" spans="1:19">
      <c r="A1045" s="9">
        <v>1038</v>
      </c>
      <c r="B1045" s="9" t="s">
        <v>1346</v>
      </c>
      <c r="C1045" s="9" t="s">
        <v>1334</v>
      </c>
      <c r="D1045" s="9" t="s">
        <v>652</v>
      </c>
      <c r="E1045" s="9" t="s">
        <v>33</v>
      </c>
      <c r="F1045" s="7" t="s">
        <v>39</v>
      </c>
      <c r="G1045" s="11">
        <v>1</v>
      </c>
      <c r="H1045" s="11">
        <v>1</v>
      </c>
      <c r="I1045" s="14">
        <v>16000.0</v>
      </c>
      <c r="J1045" s="14"/>
      <c r="K1045" s="16">
        <f>IF(I1045&gt;0, J1045/I1045, 0)</f>
        <v>0</v>
      </c>
      <c r="L1045" s="14">
        <v>16000.0</v>
      </c>
      <c r="M1045" s="14"/>
      <c r="N1045" s="14">
        <f>L1045-M1045</f>
        <v>16000</v>
      </c>
      <c r="O1045" s="9" t="s">
        <v>40</v>
      </c>
      <c r="P1045" s="9" t="s">
        <v>41</v>
      </c>
      <c r="Q1045" s="9" t="s">
        <v>42</v>
      </c>
      <c r="R1045" s="7" t="s">
        <v>2132</v>
      </c>
      <c r="S1045" s="7" t="s">
        <v>42</v>
      </c>
    </row>
    <row r="1046" spans="1:19">
      <c r="A1046" s="8">
        <v>1039</v>
      </c>
      <c r="B1046" s="8" t="s">
        <v>1347</v>
      </c>
      <c r="C1046" s="8" t="s">
        <v>1334</v>
      </c>
      <c r="D1046" s="8" t="s">
        <v>652</v>
      </c>
      <c r="E1046" s="8" t="s">
        <v>33</v>
      </c>
      <c r="F1046" s="6" t="s">
        <v>39</v>
      </c>
      <c r="G1046" s="10">
        <v>1</v>
      </c>
      <c r="H1046" s="10">
        <v>1</v>
      </c>
      <c r="I1046" s="13">
        <v>9000.0</v>
      </c>
      <c r="J1046" s="13"/>
      <c r="K1046" s="15">
        <f>IF(I1046&gt;0, J1046/I1046, 0)</f>
        <v>0</v>
      </c>
      <c r="L1046" s="13">
        <v>9000.0</v>
      </c>
      <c r="M1046" s="13"/>
      <c r="N1046" s="13">
        <f>L1046-M1046</f>
        <v>9000</v>
      </c>
      <c r="O1046" s="8" t="s">
        <v>40</v>
      </c>
      <c r="P1046" s="8" t="s">
        <v>41</v>
      </c>
      <c r="Q1046" s="8" t="s">
        <v>42</v>
      </c>
      <c r="R1046" s="6" t="s">
        <v>2125</v>
      </c>
      <c r="S1046" s="6" t="s">
        <v>42</v>
      </c>
    </row>
    <row r="1047" spans="1:19">
      <c r="A1047" s="9">
        <v>1040</v>
      </c>
      <c r="B1047" s="9" t="s">
        <v>1348</v>
      </c>
      <c r="C1047" s="9" t="s">
        <v>1334</v>
      </c>
      <c r="D1047" s="9" t="s">
        <v>652</v>
      </c>
      <c r="E1047" s="9" t="s">
        <v>33</v>
      </c>
      <c r="F1047" s="7" t="s">
        <v>39</v>
      </c>
      <c r="G1047" s="11">
        <v>1</v>
      </c>
      <c r="H1047" s="11">
        <v>1</v>
      </c>
      <c r="I1047" s="14">
        <v>7000.0</v>
      </c>
      <c r="J1047" s="14"/>
      <c r="K1047" s="16">
        <f>IF(I1047&gt;0, J1047/I1047, 0)</f>
        <v>0</v>
      </c>
      <c r="L1047" s="14">
        <v>7000.0</v>
      </c>
      <c r="M1047" s="14"/>
      <c r="N1047" s="14">
        <f>L1047-M1047</f>
        <v>7000</v>
      </c>
      <c r="O1047" s="9" t="s">
        <v>40</v>
      </c>
      <c r="P1047" s="9" t="s">
        <v>41</v>
      </c>
      <c r="Q1047" s="9" t="s">
        <v>42</v>
      </c>
      <c r="R1047" s="7" t="s">
        <v>2194</v>
      </c>
      <c r="S1047" s="7" t="s">
        <v>42</v>
      </c>
    </row>
    <row r="1048" spans="1:19">
      <c r="A1048" s="8">
        <v>1041</v>
      </c>
      <c r="B1048" s="8" t="s">
        <v>1349</v>
      </c>
      <c r="C1048" s="8" t="s">
        <v>1334</v>
      </c>
      <c r="D1048" s="8" t="s">
        <v>652</v>
      </c>
      <c r="E1048" s="8" t="s">
        <v>33</v>
      </c>
      <c r="F1048" s="6" t="s">
        <v>39</v>
      </c>
      <c r="G1048" s="10">
        <v>1</v>
      </c>
      <c r="H1048" s="10">
        <v>1</v>
      </c>
      <c r="I1048" s="13">
        <v>7000.0</v>
      </c>
      <c r="J1048" s="13"/>
      <c r="K1048" s="15">
        <f>IF(I1048&gt;0, J1048/I1048, 0)</f>
        <v>0</v>
      </c>
      <c r="L1048" s="13">
        <v>7000.0</v>
      </c>
      <c r="M1048" s="13"/>
      <c r="N1048" s="13">
        <f>L1048-M1048</f>
        <v>7000</v>
      </c>
      <c r="O1048" s="8" t="s">
        <v>40</v>
      </c>
      <c r="P1048" s="8" t="s">
        <v>41</v>
      </c>
      <c r="Q1048" s="8" t="s">
        <v>42</v>
      </c>
      <c r="R1048" s="6" t="s">
        <v>2154</v>
      </c>
      <c r="S1048" s="6" t="s">
        <v>42</v>
      </c>
    </row>
    <row r="1049" spans="1:19">
      <c r="A1049" s="9">
        <v>1042</v>
      </c>
      <c r="B1049" s="9" t="s">
        <v>1350</v>
      </c>
      <c r="C1049" s="9" t="s">
        <v>1334</v>
      </c>
      <c r="D1049" s="9" t="s">
        <v>652</v>
      </c>
      <c r="E1049" s="9" t="s">
        <v>33</v>
      </c>
      <c r="F1049" s="7" t="s">
        <v>39</v>
      </c>
      <c r="G1049" s="11">
        <v>1</v>
      </c>
      <c r="H1049" s="11">
        <v>1</v>
      </c>
      <c r="I1049" s="14">
        <v>8000.0</v>
      </c>
      <c r="J1049" s="14"/>
      <c r="K1049" s="16">
        <f>IF(I1049&gt;0, J1049/I1049, 0)</f>
        <v>0</v>
      </c>
      <c r="L1049" s="14">
        <v>8000.0</v>
      </c>
      <c r="M1049" s="14"/>
      <c r="N1049" s="14">
        <f>L1049-M1049</f>
        <v>8000</v>
      </c>
      <c r="O1049" s="9" t="s">
        <v>40</v>
      </c>
      <c r="P1049" s="9" t="s">
        <v>41</v>
      </c>
      <c r="Q1049" s="9" t="s">
        <v>42</v>
      </c>
      <c r="R1049" s="7" t="s">
        <v>2116</v>
      </c>
      <c r="S1049" s="7" t="s">
        <v>42</v>
      </c>
    </row>
    <row r="1050" spans="1:19">
      <c r="A1050" s="8">
        <v>1043</v>
      </c>
      <c r="B1050" s="8" t="s">
        <v>1351</v>
      </c>
      <c r="C1050" s="8" t="s">
        <v>1334</v>
      </c>
      <c r="D1050" s="8" t="s">
        <v>652</v>
      </c>
      <c r="E1050" s="8" t="s">
        <v>33</v>
      </c>
      <c r="F1050" s="6" t="s">
        <v>39</v>
      </c>
      <c r="G1050" s="10">
        <v>1</v>
      </c>
      <c r="H1050" s="10">
        <v>1</v>
      </c>
      <c r="I1050" s="13">
        <v>8000.0</v>
      </c>
      <c r="J1050" s="13"/>
      <c r="K1050" s="15">
        <f>IF(I1050&gt;0, J1050/I1050, 0)</f>
        <v>0</v>
      </c>
      <c r="L1050" s="13">
        <v>8000.0</v>
      </c>
      <c r="M1050" s="13"/>
      <c r="N1050" s="13">
        <f>L1050-M1050</f>
        <v>8000</v>
      </c>
      <c r="O1050" s="8" t="s">
        <v>40</v>
      </c>
      <c r="P1050" s="8" t="s">
        <v>41</v>
      </c>
      <c r="Q1050" s="8" t="s">
        <v>42</v>
      </c>
      <c r="R1050" s="6" t="s">
        <v>2141</v>
      </c>
      <c r="S1050" s="6" t="s">
        <v>42</v>
      </c>
    </row>
    <row r="1051" spans="1:19">
      <c r="A1051" s="9">
        <v>1044</v>
      </c>
      <c r="B1051" s="9" t="s">
        <v>1352</v>
      </c>
      <c r="C1051" s="9" t="s">
        <v>1334</v>
      </c>
      <c r="D1051" s="9" t="s">
        <v>652</v>
      </c>
      <c r="E1051" s="9" t="s">
        <v>33</v>
      </c>
      <c r="F1051" s="7" t="s">
        <v>39</v>
      </c>
      <c r="G1051" s="11">
        <v>1</v>
      </c>
      <c r="H1051" s="11">
        <v>3</v>
      </c>
      <c r="I1051" s="14">
        <v>21000.0</v>
      </c>
      <c r="J1051" s="14"/>
      <c r="K1051" s="16">
        <f>IF(I1051&gt;0, J1051/I1051, 0)</f>
        <v>0</v>
      </c>
      <c r="L1051" s="14">
        <v>21000.0</v>
      </c>
      <c r="M1051" s="14"/>
      <c r="N1051" s="14">
        <f>L1051-M1051</f>
        <v>21000</v>
      </c>
      <c r="O1051" s="9" t="s">
        <v>40</v>
      </c>
      <c r="P1051" s="9" t="s">
        <v>41</v>
      </c>
      <c r="Q1051" s="9" t="s">
        <v>42</v>
      </c>
      <c r="R1051" s="7" t="s">
        <v>2146</v>
      </c>
      <c r="S1051" s="7" t="s">
        <v>42</v>
      </c>
    </row>
    <row r="1052" spans="1:19">
      <c r="A1052" s="8">
        <v>1045</v>
      </c>
      <c r="B1052" s="8" t="s">
        <v>1353</v>
      </c>
      <c r="C1052" s="8" t="s">
        <v>1334</v>
      </c>
      <c r="D1052" s="8" t="s">
        <v>652</v>
      </c>
      <c r="E1052" s="8" t="s">
        <v>33</v>
      </c>
      <c r="F1052" s="6" t="s">
        <v>39</v>
      </c>
      <c r="G1052" s="10">
        <v>1</v>
      </c>
      <c r="H1052" s="10">
        <v>3</v>
      </c>
      <c r="I1052" s="13">
        <v>21000.0</v>
      </c>
      <c r="J1052" s="13"/>
      <c r="K1052" s="15">
        <f>IF(I1052&gt;0, J1052/I1052, 0)</f>
        <v>0</v>
      </c>
      <c r="L1052" s="13">
        <v>21000.0</v>
      </c>
      <c r="M1052" s="13"/>
      <c r="N1052" s="13">
        <f>L1052-M1052</f>
        <v>21000</v>
      </c>
      <c r="O1052" s="8" t="s">
        <v>40</v>
      </c>
      <c r="P1052" s="8" t="s">
        <v>41</v>
      </c>
      <c r="Q1052" s="8" t="s">
        <v>42</v>
      </c>
      <c r="R1052" s="6" t="s">
        <v>2150</v>
      </c>
      <c r="S1052" s="6" t="s">
        <v>42</v>
      </c>
    </row>
    <row r="1053" spans="1:19">
      <c r="A1053" s="9">
        <v>1046</v>
      </c>
      <c r="B1053" s="9" t="s">
        <v>1354</v>
      </c>
      <c r="C1053" s="9" t="s">
        <v>1334</v>
      </c>
      <c r="D1053" s="9" t="s">
        <v>652</v>
      </c>
      <c r="E1053" s="9" t="s">
        <v>68</v>
      </c>
      <c r="F1053" s="7" t="s">
        <v>39</v>
      </c>
      <c r="G1053" s="11">
        <v>1</v>
      </c>
      <c r="H1053" s="11">
        <v>1</v>
      </c>
      <c r="I1053" s="14">
        <v>8000.0</v>
      </c>
      <c r="J1053" s="14"/>
      <c r="K1053" s="16">
        <f>IF(I1053&gt;0, J1053/I1053, 0)</f>
        <v>0</v>
      </c>
      <c r="L1053" s="14">
        <v>8000.0</v>
      </c>
      <c r="M1053" s="14"/>
      <c r="N1053" s="14">
        <f>L1053-M1053</f>
        <v>8000</v>
      </c>
      <c r="O1053" s="9" t="s">
        <v>40</v>
      </c>
      <c r="P1053" s="9" t="s">
        <v>71</v>
      </c>
      <c r="Q1053" s="9" t="s">
        <v>42</v>
      </c>
      <c r="R1053" s="7" t="s">
        <v>2190</v>
      </c>
      <c r="S1053" s="7" t="s">
        <v>42</v>
      </c>
    </row>
    <row r="1054" spans="1:19">
      <c r="A1054" s="8">
        <v>1047</v>
      </c>
      <c r="B1054" s="8" t="s">
        <v>1355</v>
      </c>
      <c r="C1054" s="8" t="s">
        <v>1334</v>
      </c>
      <c r="D1054" s="8" t="s">
        <v>652</v>
      </c>
      <c r="E1054" s="8" t="s">
        <v>33</v>
      </c>
      <c r="F1054" s="6" t="s">
        <v>39</v>
      </c>
      <c r="G1054" s="10">
        <v>1</v>
      </c>
      <c r="H1054" s="10">
        <v>1</v>
      </c>
      <c r="I1054" s="13">
        <v>8000.0</v>
      </c>
      <c r="J1054" s="13"/>
      <c r="K1054" s="15">
        <f>IF(I1054&gt;0, J1054/I1054, 0)</f>
        <v>0</v>
      </c>
      <c r="L1054" s="13">
        <v>8000.0</v>
      </c>
      <c r="M1054" s="13"/>
      <c r="N1054" s="13">
        <f>L1054-M1054</f>
        <v>8000</v>
      </c>
      <c r="O1054" s="8" t="s">
        <v>40</v>
      </c>
      <c r="P1054" s="8" t="s">
        <v>41</v>
      </c>
      <c r="Q1054" s="8" t="s">
        <v>42</v>
      </c>
      <c r="R1054" s="6" t="s">
        <v>2163</v>
      </c>
      <c r="S1054" s="6" t="s">
        <v>42</v>
      </c>
    </row>
    <row r="1055" spans="1:19">
      <c r="A1055" s="9">
        <v>1048</v>
      </c>
      <c r="B1055" s="9" t="s">
        <v>1356</v>
      </c>
      <c r="C1055" s="9" t="s">
        <v>1334</v>
      </c>
      <c r="D1055" s="9" t="s">
        <v>652</v>
      </c>
      <c r="E1055" s="9" t="s">
        <v>33</v>
      </c>
      <c r="F1055" s="7" t="s">
        <v>39</v>
      </c>
      <c r="G1055" s="11">
        <v>1</v>
      </c>
      <c r="H1055" s="11">
        <v>2</v>
      </c>
      <c r="I1055" s="14">
        <v>14000.0</v>
      </c>
      <c r="J1055" s="14"/>
      <c r="K1055" s="16">
        <f>IF(I1055&gt;0, J1055/I1055, 0)</f>
        <v>0</v>
      </c>
      <c r="L1055" s="14">
        <v>14000.0</v>
      </c>
      <c r="M1055" s="14"/>
      <c r="N1055" s="14">
        <f>L1055-M1055</f>
        <v>14000</v>
      </c>
      <c r="O1055" s="9" t="s">
        <v>40</v>
      </c>
      <c r="P1055" s="9" t="s">
        <v>41</v>
      </c>
      <c r="Q1055" s="9" t="s">
        <v>42</v>
      </c>
      <c r="R1055" s="7" t="s">
        <v>2192</v>
      </c>
      <c r="S1055" s="7" t="s">
        <v>42</v>
      </c>
    </row>
    <row r="1056" spans="1:19">
      <c r="A1056" s="8">
        <v>1049</v>
      </c>
      <c r="B1056" s="8" t="s">
        <v>1357</v>
      </c>
      <c r="C1056" s="8" t="s">
        <v>1334</v>
      </c>
      <c r="D1056" s="8" t="s">
        <v>652</v>
      </c>
      <c r="E1056" s="8" t="s">
        <v>33</v>
      </c>
      <c r="F1056" s="6" t="s">
        <v>39</v>
      </c>
      <c r="G1056" s="10">
        <v>1</v>
      </c>
      <c r="H1056" s="10">
        <v>5</v>
      </c>
      <c r="I1056" s="13">
        <v>35000.0</v>
      </c>
      <c r="J1056" s="13"/>
      <c r="K1056" s="15">
        <f>IF(I1056&gt;0, J1056/I1056, 0)</f>
        <v>0</v>
      </c>
      <c r="L1056" s="13">
        <v>35000.0</v>
      </c>
      <c r="M1056" s="13"/>
      <c r="N1056" s="13">
        <f>L1056-M1056</f>
        <v>35000</v>
      </c>
      <c r="O1056" s="8" t="s">
        <v>40</v>
      </c>
      <c r="P1056" s="8" t="s">
        <v>41</v>
      </c>
      <c r="Q1056" s="8" t="s">
        <v>42</v>
      </c>
      <c r="R1056" s="6" t="s">
        <v>2258</v>
      </c>
      <c r="S1056" s="6" t="s">
        <v>42</v>
      </c>
    </row>
    <row r="1057" spans="1:19">
      <c r="A1057" s="9">
        <v>1050</v>
      </c>
      <c r="B1057" s="9" t="s">
        <v>1358</v>
      </c>
      <c r="C1057" s="9" t="s">
        <v>1334</v>
      </c>
      <c r="D1057" s="9" t="s">
        <v>652</v>
      </c>
      <c r="E1057" s="9" t="s">
        <v>33</v>
      </c>
      <c r="F1057" s="7" t="s">
        <v>39</v>
      </c>
      <c r="G1057" s="11">
        <v>1</v>
      </c>
      <c r="H1057" s="11">
        <v>2</v>
      </c>
      <c r="I1057" s="14">
        <v>14000.0</v>
      </c>
      <c r="J1057" s="14"/>
      <c r="K1057" s="16">
        <f>IF(I1057&gt;0, J1057/I1057, 0)</f>
        <v>0</v>
      </c>
      <c r="L1057" s="14">
        <v>14000.0</v>
      </c>
      <c r="M1057" s="14"/>
      <c r="N1057" s="14">
        <f>L1057-M1057</f>
        <v>14000</v>
      </c>
      <c r="O1057" s="9" t="s">
        <v>40</v>
      </c>
      <c r="P1057" s="9" t="s">
        <v>41</v>
      </c>
      <c r="Q1057" s="9" t="s">
        <v>42</v>
      </c>
      <c r="R1057" s="7" t="s">
        <v>2192</v>
      </c>
      <c r="S1057" s="7" t="s">
        <v>42</v>
      </c>
    </row>
    <row r="1058" spans="1:19">
      <c r="A1058" s="8">
        <v>1051</v>
      </c>
      <c r="B1058" s="8" t="s">
        <v>1359</v>
      </c>
      <c r="C1058" s="8" t="s">
        <v>1334</v>
      </c>
      <c r="D1058" s="8" t="s">
        <v>652</v>
      </c>
      <c r="E1058" s="8" t="s">
        <v>68</v>
      </c>
      <c r="F1058" s="6" t="s">
        <v>39</v>
      </c>
      <c r="G1058" s="10">
        <v>1</v>
      </c>
      <c r="H1058" s="10">
        <v>1</v>
      </c>
      <c r="I1058" s="13">
        <v>17000.0</v>
      </c>
      <c r="J1058" s="13"/>
      <c r="K1058" s="15">
        <f>IF(I1058&gt;0, J1058/I1058, 0)</f>
        <v>0</v>
      </c>
      <c r="L1058" s="13">
        <v>17000.0</v>
      </c>
      <c r="M1058" s="13"/>
      <c r="N1058" s="13">
        <f>L1058-M1058</f>
        <v>17000</v>
      </c>
      <c r="O1058" s="8" t="s">
        <v>40</v>
      </c>
      <c r="P1058" s="8" t="s">
        <v>71</v>
      </c>
      <c r="Q1058" s="8" t="s">
        <v>42</v>
      </c>
      <c r="R1058" s="6" t="s">
        <v>2093</v>
      </c>
      <c r="S1058" s="6" t="s">
        <v>42</v>
      </c>
    </row>
    <row r="1059" spans="1:19">
      <c r="A1059" s="9">
        <v>1052</v>
      </c>
      <c r="B1059" s="9" t="s">
        <v>1360</v>
      </c>
      <c r="C1059" s="9" t="s">
        <v>1334</v>
      </c>
      <c r="D1059" s="9" t="s">
        <v>652</v>
      </c>
      <c r="E1059" s="9" t="s">
        <v>33</v>
      </c>
      <c r="F1059" s="7" t="s">
        <v>39</v>
      </c>
      <c r="G1059" s="11">
        <v>1</v>
      </c>
      <c r="H1059" s="11">
        <v>1</v>
      </c>
      <c r="I1059" s="14">
        <v>7000.0</v>
      </c>
      <c r="J1059" s="14"/>
      <c r="K1059" s="16">
        <f>IF(I1059&gt;0, J1059/I1059, 0)</f>
        <v>0</v>
      </c>
      <c r="L1059" s="14">
        <v>7000.0</v>
      </c>
      <c r="M1059" s="14"/>
      <c r="N1059" s="14">
        <f>L1059-M1059</f>
        <v>7000</v>
      </c>
      <c r="O1059" s="9" t="s">
        <v>40</v>
      </c>
      <c r="P1059" s="9" t="s">
        <v>41</v>
      </c>
      <c r="Q1059" s="9" t="s">
        <v>42</v>
      </c>
      <c r="R1059" s="7" t="s">
        <v>2154</v>
      </c>
      <c r="S1059" s="7" t="s">
        <v>42</v>
      </c>
    </row>
    <row r="1060" spans="1:19">
      <c r="A1060" s="8">
        <v>1053</v>
      </c>
      <c r="B1060" s="8" t="s">
        <v>1361</v>
      </c>
      <c r="C1060" s="8" t="s">
        <v>1334</v>
      </c>
      <c r="D1060" s="8" t="s">
        <v>652</v>
      </c>
      <c r="E1060" s="8" t="s">
        <v>33</v>
      </c>
      <c r="F1060" s="6" t="s">
        <v>39</v>
      </c>
      <c r="G1060" s="10">
        <v>1</v>
      </c>
      <c r="H1060" s="10">
        <v>1</v>
      </c>
      <c r="I1060" s="13">
        <v>8000.0</v>
      </c>
      <c r="J1060" s="13"/>
      <c r="K1060" s="15">
        <f>IF(I1060&gt;0, J1060/I1060, 0)</f>
        <v>0</v>
      </c>
      <c r="L1060" s="13">
        <v>8000.0</v>
      </c>
      <c r="M1060" s="13"/>
      <c r="N1060" s="13">
        <f>L1060-M1060</f>
        <v>8000</v>
      </c>
      <c r="O1060" s="8" t="s">
        <v>40</v>
      </c>
      <c r="P1060" s="8" t="s">
        <v>41</v>
      </c>
      <c r="Q1060" s="8" t="s">
        <v>42</v>
      </c>
      <c r="R1060" s="6" t="s">
        <v>2152</v>
      </c>
      <c r="S1060" s="6" t="s">
        <v>42</v>
      </c>
    </row>
    <row r="1061" spans="1:19">
      <c r="A1061" s="9">
        <v>1054</v>
      </c>
      <c r="B1061" s="9" t="s">
        <v>1362</v>
      </c>
      <c r="C1061" s="9" t="s">
        <v>1334</v>
      </c>
      <c r="D1061" s="9" t="s">
        <v>652</v>
      </c>
      <c r="E1061" s="9" t="s">
        <v>33</v>
      </c>
      <c r="F1061" s="7" t="s">
        <v>39</v>
      </c>
      <c r="G1061" s="11">
        <v>1</v>
      </c>
      <c r="H1061" s="11">
        <v>1</v>
      </c>
      <c r="I1061" s="14">
        <v>9000.0</v>
      </c>
      <c r="J1061" s="14"/>
      <c r="K1061" s="16">
        <f>IF(I1061&gt;0, J1061/I1061, 0)</f>
        <v>0</v>
      </c>
      <c r="L1061" s="14">
        <v>9000.0</v>
      </c>
      <c r="M1061" s="14"/>
      <c r="N1061" s="14">
        <f>L1061-M1061</f>
        <v>9000</v>
      </c>
      <c r="O1061" s="9" t="s">
        <v>40</v>
      </c>
      <c r="P1061" s="9" t="s">
        <v>41</v>
      </c>
      <c r="Q1061" s="9" t="s">
        <v>42</v>
      </c>
      <c r="R1061" s="7" t="s">
        <v>2125</v>
      </c>
      <c r="S1061" s="7" t="s">
        <v>42</v>
      </c>
    </row>
    <row r="1062" spans="1:19">
      <c r="A1062" s="8">
        <v>1055</v>
      </c>
      <c r="B1062" s="8" t="s">
        <v>1363</v>
      </c>
      <c r="C1062" s="8" t="s">
        <v>1334</v>
      </c>
      <c r="D1062" s="8" t="s">
        <v>652</v>
      </c>
      <c r="E1062" s="8" t="s">
        <v>33</v>
      </c>
      <c r="F1062" s="6" t="s">
        <v>39</v>
      </c>
      <c r="G1062" s="10">
        <v>1</v>
      </c>
      <c r="H1062" s="10">
        <v>1</v>
      </c>
      <c r="I1062" s="13">
        <v>7000.0</v>
      </c>
      <c r="J1062" s="13"/>
      <c r="K1062" s="15">
        <f>IF(I1062&gt;0, J1062/I1062, 0)</f>
        <v>0</v>
      </c>
      <c r="L1062" s="13">
        <v>7000.0</v>
      </c>
      <c r="M1062" s="13"/>
      <c r="N1062" s="13">
        <f>L1062-M1062</f>
        <v>7000</v>
      </c>
      <c r="O1062" s="8" t="s">
        <v>40</v>
      </c>
      <c r="P1062" s="8" t="s">
        <v>41</v>
      </c>
      <c r="Q1062" s="8" t="s">
        <v>42</v>
      </c>
      <c r="R1062" s="6" t="s">
        <v>2074</v>
      </c>
      <c r="S1062" s="6" t="s">
        <v>42</v>
      </c>
    </row>
    <row r="1063" spans="1:19">
      <c r="A1063" s="9">
        <v>1056</v>
      </c>
      <c r="B1063" s="9" t="s">
        <v>1364</v>
      </c>
      <c r="C1063" s="9" t="s">
        <v>1334</v>
      </c>
      <c r="D1063" s="9" t="s">
        <v>652</v>
      </c>
      <c r="E1063" s="9" t="s">
        <v>33</v>
      </c>
      <c r="F1063" s="7" t="s">
        <v>39</v>
      </c>
      <c r="G1063" s="11">
        <v>1</v>
      </c>
      <c r="H1063" s="11">
        <v>1</v>
      </c>
      <c r="I1063" s="14">
        <v>8000.0</v>
      </c>
      <c r="J1063" s="14"/>
      <c r="K1063" s="16">
        <f>IF(I1063&gt;0, J1063/I1063, 0)</f>
        <v>0</v>
      </c>
      <c r="L1063" s="14">
        <v>8000.0</v>
      </c>
      <c r="M1063" s="14"/>
      <c r="N1063" s="14">
        <f>L1063-M1063</f>
        <v>8000</v>
      </c>
      <c r="O1063" s="9" t="s">
        <v>40</v>
      </c>
      <c r="P1063" s="9" t="s">
        <v>41</v>
      </c>
      <c r="Q1063" s="9" t="s">
        <v>42</v>
      </c>
      <c r="R1063" s="7" t="s">
        <v>2152</v>
      </c>
      <c r="S1063" s="7" t="s">
        <v>42</v>
      </c>
    </row>
    <row r="1064" spans="1:19">
      <c r="A1064" s="8">
        <v>1057</v>
      </c>
      <c r="B1064" s="8" t="s">
        <v>1365</v>
      </c>
      <c r="C1064" s="8" t="s">
        <v>1366</v>
      </c>
      <c r="D1064" s="8" t="s">
        <v>652</v>
      </c>
      <c r="E1064" s="8" t="s">
        <v>33</v>
      </c>
      <c r="F1064" s="6" t="s">
        <v>39</v>
      </c>
      <c r="G1064" s="10">
        <v>1</v>
      </c>
      <c r="H1064" s="10">
        <v>1</v>
      </c>
      <c r="I1064" s="13">
        <v>16000.0</v>
      </c>
      <c r="J1064" s="13"/>
      <c r="K1064" s="15">
        <f>IF(I1064&gt;0, J1064/I1064, 0)</f>
        <v>0</v>
      </c>
      <c r="L1064" s="13">
        <v>16000.0</v>
      </c>
      <c r="M1064" s="13"/>
      <c r="N1064" s="13">
        <f>L1064-M1064</f>
        <v>16000</v>
      </c>
      <c r="O1064" s="8" t="s">
        <v>40</v>
      </c>
      <c r="P1064" s="8" t="s">
        <v>41</v>
      </c>
      <c r="Q1064" s="8" t="s">
        <v>42</v>
      </c>
      <c r="R1064" s="6" t="s">
        <v>2126</v>
      </c>
      <c r="S1064" s="6" t="s">
        <v>42</v>
      </c>
    </row>
    <row r="1065" spans="1:19">
      <c r="A1065" s="9">
        <v>1058</v>
      </c>
      <c r="B1065" s="9" t="s">
        <v>1367</v>
      </c>
      <c r="C1065" s="9" t="s">
        <v>1366</v>
      </c>
      <c r="D1065" s="9" t="s">
        <v>652</v>
      </c>
      <c r="E1065" s="9" t="s">
        <v>33</v>
      </c>
      <c r="F1065" s="7" t="s">
        <v>39</v>
      </c>
      <c r="G1065" s="11">
        <v>1</v>
      </c>
      <c r="H1065" s="11">
        <v>1</v>
      </c>
      <c r="I1065" s="14">
        <v>9500.0</v>
      </c>
      <c r="J1065" s="14"/>
      <c r="K1065" s="16">
        <f>IF(I1065&gt;0, J1065/I1065, 0)</f>
        <v>0</v>
      </c>
      <c r="L1065" s="14">
        <v>9500.0</v>
      </c>
      <c r="M1065" s="14"/>
      <c r="N1065" s="14">
        <f>L1065-M1065</f>
        <v>9500</v>
      </c>
      <c r="O1065" s="9" t="s">
        <v>40</v>
      </c>
      <c r="P1065" s="9" t="s">
        <v>41</v>
      </c>
      <c r="Q1065" s="9" t="s">
        <v>42</v>
      </c>
      <c r="R1065" s="7" t="s">
        <v>2214</v>
      </c>
      <c r="S1065" s="7" t="s">
        <v>42</v>
      </c>
    </row>
    <row r="1066" spans="1:19">
      <c r="A1066" s="8">
        <v>1059</v>
      </c>
      <c r="B1066" s="8" t="s">
        <v>1368</v>
      </c>
      <c r="C1066" s="8" t="s">
        <v>1366</v>
      </c>
      <c r="D1066" s="8" t="s">
        <v>652</v>
      </c>
      <c r="E1066" s="8" t="s">
        <v>33</v>
      </c>
      <c r="F1066" s="6" t="s">
        <v>39</v>
      </c>
      <c r="G1066" s="10">
        <v>1</v>
      </c>
      <c r="H1066" s="10">
        <v>1</v>
      </c>
      <c r="I1066" s="13">
        <v>18000.0</v>
      </c>
      <c r="J1066" s="13"/>
      <c r="K1066" s="15">
        <f>IF(I1066&gt;0, J1066/I1066, 0)</f>
        <v>0</v>
      </c>
      <c r="L1066" s="13">
        <v>18000.0</v>
      </c>
      <c r="M1066" s="13"/>
      <c r="N1066" s="13">
        <f>L1066-M1066</f>
        <v>18000</v>
      </c>
      <c r="O1066" s="8" t="s">
        <v>40</v>
      </c>
      <c r="P1066" s="8" t="s">
        <v>41</v>
      </c>
      <c r="Q1066" s="8" t="s">
        <v>42</v>
      </c>
      <c r="R1066" s="6" t="s">
        <v>2222</v>
      </c>
      <c r="S1066" s="6" t="s">
        <v>42</v>
      </c>
    </row>
    <row r="1067" spans="1:19">
      <c r="A1067" s="9">
        <v>1060</v>
      </c>
      <c r="B1067" s="9" t="s">
        <v>1369</v>
      </c>
      <c r="C1067" s="9" t="s">
        <v>1366</v>
      </c>
      <c r="D1067" s="9" t="s">
        <v>652</v>
      </c>
      <c r="E1067" s="9" t="s">
        <v>33</v>
      </c>
      <c r="F1067" s="7" t="s">
        <v>39</v>
      </c>
      <c r="G1067" s="11">
        <v>1</v>
      </c>
      <c r="H1067" s="11">
        <v>1</v>
      </c>
      <c r="I1067" s="14">
        <v>9000.0</v>
      </c>
      <c r="J1067" s="14"/>
      <c r="K1067" s="16">
        <f>IF(I1067&gt;0, J1067/I1067, 0)</f>
        <v>0</v>
      </c>
      <c r="L1067" s="14">
        <v>9000.0</v>
      </c>
      <c r="M1067" s="14"/>
      <c r="N1067" s="14">
        <f>L1067-M1067</f>
        <v>9000</v>
      </c>
      <c r="O1067" s="9" t="s">
        <v>40</v>
      </c>
      <c r="P1067" s="9" t="s">
        <v>41</v>
      </c>
      <c r="Q1067" s="9" t="s">
        <v>42</v>
      </c>
      <c r="R1067" s="7" t="s">
        <v>2224</v>
      </c>
      <c r="S1067" s="7" t="s">
        <v>42</v>
      </c>
    </row>
    <row r="1068" spans="1:19">
      <c r="A1068" s="8">
        <v>1061</v>
      </c>
      <c r="B1068" s="8" t="s">
        <v>1370</v>
      </c>
      <c r="C1068" s="8" t="s">
        <v>1366</v>
      </c>
      <c r="D1068" s="8" t="s">
        <v>652</v>
      </c>
      <c r="E1068" s="8" t="s">
        <v>33</v>
      </c>
      <c r="F1068" s="6" t="s">
        <v>39</v>
      </c>
      <c r="G1068" s="10">
        <v>1</v>
      </c>
      <c r="H1068" s="10">
        <v>1</v>
      </c>
      <c r="I1068" s="13">
        <v>9000.0</v>
      </c>
      <c r="J1068" s="13"/>
      <c r="K1068" s="15">
        <f>IF(I1068&gt;0, J1068/I1068, 0)</f>
        <v>0</v>
      </c>
      <c r="L1068" s="13">
        <v>9000.0</v>
      </c>
      <c r="M1068" s="13"/>
      <c r="N1068" s="13">
        <f>L1068-M1068</f>
        <v>9000</v>
      </c>
      <c r="O1068" s="8" t="s">
        <v>40</v>
      </c>
      <c r="P1068" s="8" t="s">
        <v>41</v>
      </c>
      <c r="Q1068" s="8" t="s">
        <v>42</v>
      </c>
      <c r="R1068" s="6" t="s">
        <v>2162</v>
      </c>
      <c r="S1068" s="6" t="s">
        <v>42</v>
      </c>
    </row>
    <row r="1069" spans="1:19">
      <c r="A1069" s="9">
        <v>1062</v>
      </c>
      <c r="B1069" s="9" t="s">
        <v>1371</v>
      </c>
      <c r="C1069" s="9" t="s">
        <v>1366</v>
      </c>
      <c r="D1069" s="9" t="s">
        <v>652</v>
      </c>
      <c r="E1069" s="9" t="s">
        <v>68</v>
      </c>
      <c r="F1069" s="7" t="s">
        <v>39</v>
      </c>
      <c r="G1069" s="11">
        <v>1</v>
      </c>
      <c r="H1069" s="11">
        <v>1</v>
      </c>
      <c r="I1069" s="14">
        <v>8000.0</v>
      </c>
      <c r="J1069" s="14"/>
      <c r="K1069" s="16">
        <f>IF(I1069&gt;0, J1069/I1069, 0)</f>
        <v>0</v>
      </c>
      <c r="L1069" s="14">
        <v>8000.0</v>
      </c>
      <c r="M1069" s="14"/>
      <c r="N1069" s="14">
        <f>L1069-M1069</f>
        <v>8000</v>
      </c>
      <c r="O1069" s="9" t="s">
        <v>40</v>
      </c>
      <c r="P1069" s="9" t="s">
        <v>71</v>
      </c>
      <c r="Q1069" s="9" t="s">
        <v>42</v>
      </c>
      <c r="R1069" s="7" t="s">
        <v>2190</v>
      </c>
      <c r="S1069" s="7" t="s">
        <v>42</v>
      </c>
    </row>
    <row r="1070" spans="1:19">
      <c r="A1070" s="8">
        <v>1063</v>
      </c>
      <c r="B1070" s="8" t="s">
        <v>1372</v>
      </c>
      <c r="C1070" s="8" t="s">
        <v>1366</v>
      </c>
      <c r="D1070" s="8" t="s">
        <v>652</v>
      </c>
      <c r="E1070" s="8" t="s">
        <v>33</v>
      </c>
      <c r="F1070" s="6" t="s">
        <v>39</v>
      </c>
      <c r="G1070" s="10">
        <v>1</v>
      </c>
      <c r="H1070" s="10">
        <v>2</v>
      </c>
      <c r="I1070" s="13">
        <v>16000.0</v>
      </c>
      <c r="J1070" s="13"/>
      <c r="K1070" s="15">
        <f>IF(I1070&gt;0, J1070/I1070, 0)</f>
        <v>0</v>
      </c>
      <c r="L1070" s="13">
        <v>16000.0</v>
      </c>
      <c r="M1070" s="13"/>
      <c r="N1070" s="13">
        <f>L1070-M1070</f>
        <v>16000</v>
      </c>
      <c r="O1070" s="8" t="s">
        <v>40</v>
      </c>
      <c r="P1070" s="8" t="s">
        <v>41</v>
      </c>
      <c r="Q1070" s="8" t="s">
        <v>42</v>
      </c>
      <c r="R1070" s="6" t="s">
        <v>2139</v>
      </c>
      <c r="S1070" s="6" t="s">
        <v>42</v>
      </c>
    </row>
    <row r="1071" spans="1:19">
      <c r="A1071" s="9">
        <v>1064</v>
      </c>
      <c r="B1071" s="9" t="s">
        <v>1373</v>
      </c>
      <c r="C1071" s="9" t="s">
        <v>1366</v>
      </c>
      <c r="D1071" s="9" t="s">
        <v>652</v>
      </c>
      <c r="E1071" s="9" t="s">
        <v>33</v>
      </c>
      <c r="F1071" s="7" t="s">
        <v>39</v>
      </c>
      <c r="G1071" s="11">
        <v>1</v>
      </c>
      <c r="H1071" s="11">
        <v>1</v>
      </c>
      <c r="I1071" s="14">
        <v>8000.0</v>
      </c>
      <c r="J1071" s="14"/>
      <c r="K1071" s="16">
        <f>IF(I1071&gt;0, J1071/I1071, 0)</f>
        <v>0</v>
      </c>
      <c r="L1071" s="14">
        <v>8000.0</v>
      </c>
      <c r="M1071" s="14"/>
      <c r="N1071" s="14">
        <f>L1071-M1071</f>
        <v>8000</v>
      </c>
      <c r="O1071" s="9" t="s">
        <v>40</v>
      </c>
      <c r="P1071" s="9" t="s">
        <v>41</v>
      </c>
      <c r="Q1071" s="9" t="s">
        <v>42</v>
      </c>
      <c r="R1071" s="7" t="s">
        <v>2116</v>
      </c>
      <c r="S1071" s="7" t="s">
        <v>42</v>
      </c>
    </row>
    <row r="1072" spans="1:19">
      <c r="A1072" s="8">
        <v>1065</v>
      </c>
      <c r="B1072" s="8" t="s">
        <v>1374</v>
      </c>
      <c r="C1072" s="8" t="s">
        <v>1366</v>
      </c>
      <c r="D1072" s="8" t="s">
        <v>652</v>
      </c>
      <c r="E1072" s="8" t="s">
        <v>33</v>
      </c>
      <c r="F1072" s="6" t="s">
        <v>39</v>
      </c>
      <c r="G1072" s="10">
        <v>1</v>
      </c>
      <c r="H1072" s="10">
        <v>5</v>
      </c>
      <c r="I1072" s="13">
        <v>35000.0</v>
      </c>
      <c r="J1072" s="13"/>
      <c r="K1072" s="15">
        <f>IF(I1072&gt;0, J1072/I1072, 0)</f>
        <v>0</v>
      </c>
      <c r="L1072" s="13">
        <v>35000.0</v>
      </c>
      <c r="M1072" s="13"/>
      <c r="N1072" s="13">
        <f>L1072-M1072</f>
        <v>35000</v>
      </c>
      <c r="O1072" s="8" t="s">
        <v>40</v>
      </c>
      <c r="P1072" s="8" t="s">
        <v>41</v>
      </c>
      <c r="Q1072" s="8" t="s">
        <v>42</v>
      </c>
      <c r="R1072" s="6" t="s">
        <v>2258</v>
      </c>
      <c r="S1072" s="6" t="s">
        <v>42</v>
      </c>
    </row>
    <row r="1073" spans="1:19">
      <c r="A1073" s="9">
        <v>1066</v>
      </c>
      <c r="B1073" s="9" t="s">
        <v>1375</v>
      </c>
      <c r="C1073" s="9" t="s">
        <v>1366</v>
      </c>
      <c r="D1073" s="9" t="s">
        <v>652</v>
      </c>
      <c r="E1073" s="9" t="s">
        <v>33</v>
      </c>
      <c r="F1073" s="7" t="s">
        <v>39</v>
      </c>
      <c r="G1073" s="11">
        <v>1</v>
      </c>
      <c r="H1073" s="11">
        <v>1</v>
      </c>
      <c r="I1073" s="14">
        <v>16000.0</v>
      </c>
      <c r="J1073" s="14"/>
      <c r="K1073" s="16">
        <f>IF(I1073&gt;0, J1073/I1073, 0)</f>
        <v>0</v>
      </c>
      <c r="L1073" s="14">
        <v>16000.0</v>
      </c>
      <c r="M1073" s="14"/>
      <c r="N1073" s="14">
        <f>L1073-M1073</f>
        <v>16000</v>
      </c>
      <c r="O1073" s="9" t="s">
        <v>40</v>
      </c>
      <c r="P1073" s="9" t="s">
        <v>41</v>
      </c>
      <c r="Q1073" s="9" t="s">
        <v>42</v>
      </c>
      <c r="R1073" s="7" t="s">
        <v>2126</v>
      </c>
      <c r="S1073" s="7" t="s">
        <v>42</v>
      </c>
    </row>
    <row r="1074" spans="1:19">
      <c r="A1074" s="8">
        <v>1067</v>
      </c>
      <c r="B1074" s="8" t="s">
        <v>1376</v>
      </c>
      <c r="C1074" s="8" t="s">
        <v>1366</v>
      </c>
      <c r="D1074" s="8" t="s">
        <v>652</v>
      </c>
      <c r="E1074" s="8" t="s">
        <v>33</v>
      </c>
      <c r="F1074" s="6" t="s">
        <v>39</v>
      </c>
      <c r="G1074" s="10">
        <v>1</v>
      </c>
      <c r="H1074" s="10">
        <v>1</v>
      </c>
      <c r="I1074" s="13">
        <v>9000.0</v>
      </c>
      <c r="J1074" s="13"/>
      <c r="K1074" s="15">
        <f>IF(I1074&gt;0, J1074/I1074, 0)</f>
        <v>0</v>
      </c>
      <c r="L1074" s="13">
        <v>9000.0</v>
      </c>
      <c r="M1074" s="13"/>
      <c r="N1074" s="13">
        <f>L1074-M1074</f>
        <v>9000</v>
      </c>
      <c r="O1074" s="8" t="s">
        <v>40</v>
      </c>
      <c r="P1074" s="8" t="s">
        <v>41</v>
      </c>
      <c r="Q1074" s="8" t="s">
        <v>42</v>
      </c>
      <c r="R1074" s="6" t="s">
        <v>2125</v>
      </c>
      <c r="S1074" s="6" t="s">
        <v>42</v>
      </c>
    </row>
    <row r="1075" spans="1:19">
      <c r="A1075" s="9">
        <v>1068</v>
      </c>
      <c r="B1075" s="9" t="s">
        <v>1377</v>
      </c>
      <c r="C1075" s="9" t="s">
        <v>1366</v>
      </c>
      <c r="D1075" s="9" t="s">
        <v>652</v>
      </c>
      <c r="E1075" s="9" t="s">
        <v>33</v>
      </c>
      <c r="F1075" s="7" t="s">
        <v>39</v>
      </c>
      <c r="G1075" s="11">
        <v>1</v>
      </c>
      <c r="H1075" s="11">
        <v>2</v>
      </c>
      <c r="I1075" s="14">
        <v>14000.0</v>
      </c>
      <c r="J1075" s="14"/>
      <c r="K1075" s="16">
        <f>IF(I1075&gt;0, J1075/I1075, 0)</f>
        <v>0</v>
      </c>
      <c r="L1075" s="14">
        <v>14000.0</v>
      </c>
      <c r="M1075" s="14"/>
      <c r="N1075" s="14">
        <f>L1075-M1075</f>
        <v>14000</v>
      </c>
      <c r="O1075" s="9" t="s">
        <v>40</v>
      </c>
      <c r="P1075" s="9" t="s">
        <v>41</v>
      </c>
      <c r="Q1075" s="9" t="s">
        <v>42</v>
      </c>
      <c r="R1075" s="7" t="s">
        <v>2234</v>
      </c>
      <c r="S1075" s="7" t="s">
        <v>42</v>
      </c>
    </row>
    <row r="1076" spans="1:19">
      <c r="A1076" s="8">
        <v>1069</v>
      </c>
      <c r="B1076" s="8" t="s">
        <v>1378</v>
      </c>
      <c r="C1076" s="8" t="s">
        <v>1366</v>
      </c>
      <c r="D1076" s="8" t="s">
        <v>652</v>
      </c>
      <c r="E1076" s="8" t="s">
        <v>33</v>
      </c>
      <c r="F1076" s="6" t="s">
        <v>39</v>
      </c>
      <c r="G1076" s="10">
        <v>1</v>
      </c>
      <c r="H1076" s="10">
        <v>1</v>
      </c>
      <c r="I1076" s="13">
        <v>16000.0</v>
      </c>
      <c r="J1076" s="13"/>
      <c r="K1076" s="15">
        <f>IF(I1076&gt;0, J1076/I1076, 0)</f>
        <v>0</v>
      </c>
      <c r="L1076" s="13">
        <v>16000.0</v>
      </c>
      <c r="M1076" s="13"/>
      <c r="N1076" s="13">
        <f>L1076-M1076</f>
        <v>16000</v>
      </c>
      <c r="O1076" s="8" t="s">
        <v>40</v>
      </c>
      <c r="P1076" s="8" t="s">
        <v>41</v>
      </c>
      <c r="Q1076" s="8" t="s">
        <v>42</v>
      </c>
      <c r="R1076" s="6" t="s">
        <v>2144</v>
      </c>
      <c r="S1076" s="6" t="s">
        <v>42</v>
      </c>
    </row>
    <row r="1077" spans="1:19">
      <c r="A1077" s="9">
        <v>1070</v>
      </c>
      <c r="B1077" s="9" t="s">
        <v>1379</v>
      </c>
      <c r="C1077" s="9" t="s">
        <v>1366</v>
      </c>
      <c r="D1077" s="9" t="s">
        <v>652</v>
      </c>
      <c r="E1077" s="9" t="s">
        <v>33</v>
      </c>
      <c r="F1077" s="7" t="s">
        <v>39</v>
      </c>
      <c r="G1077" s="11">
        <v>1</v>
      </c>
      <c r="H1077" s="11">
        <v>2</v>
      </c>
      <c r="I1077" s="14">
        <v>14000.0</v>
      </c>
      <c r="J1077" s="14"/>
      <c r="K1077" s="16">
        <f>IF(I1077&gt;0, J1077/I1077, 0)</f>
        <v>0</v>
      </c>
      <c r="L1077" s="14">
        <v>14000.0</v>
      </c>
      <c r="M1077" s="14"/>
      <c r="N1077" s="14">
        <f>L1077-M1077</f>
        <v>14000</v>
      </c>
      <c r="O1077" s="9" t="s">
        <v>40</v>
      </c>
      <c r="P1077" s="9" t="s">
        <v>41</v>
      </c>
      <c r="Q1077" s="9" t="s">
        <v>42</v>
      </c>
      <c r="R1077" s="7" t="s">
        <v>2198</v>
      </c>
      <c r="S1077" s="7" t="s">
        <v>42</v>
      </c>
    </row>
    <row r="1078" spans="1:19">
      <c r="A1078" s="8">
        <v>1071</v>
      </c>
      <c r="B1078" s="8" t="s">
        <v>1380</v>
      </c>
      <c r="C1078" s="8" t="s">
        <v>1366</v>
      </c>
      <c r="D1078" s="8" t="s">
        <v>652</v>
      </c>
      <c r="E1078" s="8" t="s">
        <v>33</v>
      </c>
      <c r="F1078" s="6" t="s">
        <v>39</v>
      </c>
      <c r="G1078" s="10">
        <v>1</v>
      </c>
      <c r="H1078" s="10">
        <v>1</v>
      </c>
      <c r="I1078" s="13">
        <v>7000.0</v>
      </c>
      <c r="J1078" s="13"/>
      <c r="K1078" s="15">
        <f>IF(I1078&gt;0, J1078/I1078, 0)</f>
        <v>0</v>
      </c>
      <c r="L1078" s="13">
        <v>7000.0</v>
      </c>
      <c r="M1078" s="13"/>
      <c r="N1078" s="13">
        <f>L1078-M1078</f>
        <v>7000</v>
      </c>
      <c r="O1078" s="8" t="s">
        <v>40</v>
      </c>
      <c r="P1078" s="8" t="s">
        <v>41</v>
      </c>
      <c r="Q1078" s="8" t="s">
        <v>42</v>
      </c>
      <c r="R1078" s="6" t="s">
        <v>2194</v>
      </c>
      <c r="S1078" s="6" t="s">
        <v>42</v>
      </c>
    </row>
    <row r="1079" spans="1:19">
      <c r="A1079" s="9">
        <v>1072</v>
      </c>
      <c r="B1079" s="9" t="s">
        <v>1381</v>
      </c>
      <c r="C1079" s="9" t="s">
        <v>1366</v>
      </c>
      <c r="D1079" s="9" t="s">
        <v>652</v>
      </c>
      <c r="E1079" s="9" t="s">
        <v>33</v>
      </c>
      <c r="F1079" s="7" t="s">
        <v>39</v>
      </c>
      <c r="G1079" s="11">
        <v>1</v>
      </c>
      <c r="H1079" s="11">
        <v>1</v>
      </c>
      <c r="I1079" s="14">
        <v>8000.0</v>
      </c>
      <c r="J1079" s="14"/>
      <c r="K1079" s="16">
        <f>IF(I1079&gt;0, J1079/I1079, 0)</f>
        <v>0</v>
      </c>
      <c r="L1079" s="14">
        <v>8000.0</v>
      </c>
      <c r="M1079" s="14"/>
      <c r="N1079" s="14">
        <f>L1079-M1079</f>
        <v>8000</v>
      </c>
      <c r="O1079" s="9" t="s">
        <v>40</v>
      </c>
      <c r="P1079" s="9" t="s">
        <v>41</v>
      </c>
      <c r="Q1079" s="9" t="s">
        <v>42</v>
      </c>
      <c r="R1079" s="7" t="s">
        <v>2141</v>
      </c>
      <c r="S1079" s="7" t="s">
        <v>42</v>
      </c>
    </row>
    <row r="1080" spans="1:19">
      <c r="A1080" s="8">
        <v>1073</v>
      </c>
      <c r="B1080" s="8" t="s">
        <v>1382</v>
      </c>
      <c r="C1080" s="8" t="s">
        <v>1366</v>
      </c>
      <c r="D1080" s="8" t="s">
        <v>652</v>
      </c>
      <c r="E1080" s="8" t="s">
        <v>33</v>
      </c>
      <c r="F1080" s="6" t="s">
        <v>39</v>
      </c>
      <c r="G1080" s="10">
        <v>1</v>
      </c>
      <c r="H1080" s="10">
        <v>1</v>
      </c>
      <c r="I1080" s="13">
        <v>9000.0</v>
      </c>
      <c r="J1080" s="13"/>
      <c r="K1080" s="15">
        <f>IF(I1080&gt;0, J1080/I1080, 0)</f>
        <v>0</v>
      </c>
      <c r="L1080" s="13">
        <v>9000.0</v>
      </c>
      <c r="M1080" s="13"/>
      <c r="N1080" s="13">
        <f>L1080-M1080</f>
        <v>9000</v>
      </c>
      <c r="O1080" s="8" t="s">
        <v>40</v>
      </c>
      <c r="P1080" s="8" t="s">
        <v>41</v>
      </c>
      <c r="Q1080" s="8" t="s">
        <v>42</v>
      </c>
      <c r="R1080" s="6" t="s">
        <v>2255</v>
      </c>
      <c r="S1080" s="6" t="s">
        <v>42</v>
      </c>
    </row>
    <row r="1081" spans="1:19">
      <c r="A1081" s="9">
        <v>1074</v>
      </c>
      <c r="B1081" s="9" t="s">
        <v>1383</v>
      </c>
      <c r="C1081" s="9" t="s">
        <v>1366</v>
      </c>
      <c r="D1081" s="9" t="s">
        <v>652</v>
      </c>
      <c r="E1081" s="9" t="s">
        <v>33</v>
      </c>
      <c r="F1081" s="7" t="s">
        <v>39</v>
      </c>
      <c r="G1081" s="11">
        <v>1</v>
      </c>
      <c r="H1081" s="11">
        <v>1</v>
      </c>
      <c r="I1081" s="14">
        <v>7000.0</v>
      </c>
      <c r="J1081" s="14"/>
      <c r="K1081" s="16">
        <f>IF(I1081&gt;0, J1081/I1081, 0)</f>
        <v>0</v>
      </c>
      <c r="L1081" s="14">
        <v>7000.0</v>
      </c>
      <c r="M1081" s="14"/>
      <c r="N1081" s="14">
        <f>L1081-M1081</f>
        <v>7000</v>
      </c>
      <c r="O1081" s="9" t="s">
        <v>40</v>
      </c>
      <c r="P1081" s="9" t="s">
        <v>41</v>
      </c>
      <c r="Q1081" s="9" t="s">
        <v>42</v>
      </c>
      <c r="R1081" s="7" t="s">
        <v>2092</v>
      </c>
      <c r="S1081" s="7" t="s">
        <v>42</v>
      </c>
    </row>
    <row r="1082" spans="1:19">
      <c r="A1082" s="8">
        <v>1075</v>
      </c>
      <c r="B1082" s="8" t="s">
        <v>1384</v>
      </c>
      <c r="C1082" s="8" t="s">
        <v>1366</v>
      </c>
      <c r="D1082" s="8" t="s">
        <v>652</v>
      </c>
      <c r="E1082" s="8" t="s">
        <v>33</v>
      </c>
      <c r="F1082" s="6" t="s">
        <v>39</v>
      </c>
      <c r="G1082" s="10">
        <v>1</v>
      </c>
      <c r="H1082" s="10">
        <v>1</v>
      </c>
      <c r="I1082" s="13">
        <v>16000.0</v>
      </c>
      <c r="J1082" s="13"/>
      <c r="K1082" s="15">
        <f>IF(I1082&gt;0, J1082/I1082, 0)</f>
        <v>0</v>
      </c>
      <c r="L1082" s="13">
        <v>16000.0</v>
      </c>
      <c r="M1082" s="13"/>
      <c r="N1082" s="13">
        <f>L1082-M1082</f>
        <v>16000</v>
      </c>
      <c r="O1082" s="8" t="s">
        <v>40</v>
      </c>
      <c r="P1082" s="8" t="s">
        <v>41</v>
      </c>
      <c r="Q1082" s="8" t="s">
        <v>42</v>
      </c>
      <c r="R1082" s="6" t="s">
        <v>2094</v>
      </c>
      <c r="S1082" s="6" t="s">
        <v>42</v>
      </c>
    </row>
    <row r="1083" spans="1:19">
      <c r="A1083" s="9">
        <v>1076</v>
      </c>
      <c r="B1083" s="9" t="s">
        <v>1385</v>
      </c>
      <c r="C1083" s="9" t="s">
        <v>1366</v>
      </c>
      <c r="D1083" s="9" t="s">
        <v>652</v>
      </c>
      <c r="E1083" s="9" t="s">
        <v>33</v>
      </c>
      <c r="F1083" s="7" t="s">
        <v>39</v>
      </c>
      <c r="G1083" s="11">
        <v>1</v>
      </c>
      <c r="H1083" s="11">
        <v>1</v>
      </c>
      <c r="I1083" s="14">
        <v>8000.0</v>
      </c>
      <c r="J1083" s="14"/>
      <c r="K1083" s="16">
        <f>IF(I1083&gt;0, J1083/I1083, 0)</f>
        <v>0</v>
      </c>
      <c r="L1083" s="14">
        <v>8000.0</v>
      </c>
      <c r="M1083" s="14"/>
      <c r="N1083" s="14">
        <f>L1083-M1083</f>
        <v>8000</v>
      </c>
      <c r="O1083" s="9" t="s">
        <v>40</v>
      </c>
      <c r="P1083" s="9" t="s">
        <v>41</v>
      </c>
      <c r="Q1083" s="9" t="s">
        <v>42</v>
      </c>
      <c r="R1083" s="7" t="s">
        <v>2084</v>
      </c>
      <c r="S1083" s="7" t="s">
        <v>42</v>
      </c>
    </row>
    <row r="1084" spans="1:19">
      <c r="A1084" s="8">
        <v>1077</v>
      </c>
      <c r="B1084" s="8" t="s">
        <v>1386</v>
      </c>
      <c r="C1084" s="8" t="s">
        <v>1366</v>
      </c>
      <c r="D1084" s="8" t="s">
        <v>652</v>
      </c>
      <c r="E1084" s="8" t="s">
        <v>33</v>
      </c>
      <c r="F1084" s="6" t="s">
        <v>39</v>
      </c>
      <c r="G1084" s="10">
        <v>1</v>
      </c>
      <c r="H1084" s="10">
        <v>1</v>
      </c>
      <c r="I1084" s="13">
        <v>8500.0</v>
      </c>
      <c r="J1084" s="13"/>
      <c r="K1084" s="15">
        <f>IF(I1084&gt;0, J1084/I1084, 0)</f>
        <v>0</v>
      </c>
      <c r="L1084" s="13">
        <v>8500.0</v>
      </c>
      <c r="M1084" s="13"/>
      <c r="N1084" s="13">
        <f>L1084-M1084</f>
        <v>8500</v>
      </c>
      <c r="O1084" s="8" t="s">
        <v>40</v>
      </c>
      <c r="P1084" s="8" t="s">
        <v>41</v>
      </c>
      <c r="Q1084" s="8" t="s">
        <v>42</v>
      </c>
      <c r="R1084" s="6" t="s">
        <v>2078</v>
      </c>
      <c r="S1084" s="6" t="s">
        <v>42</v>
      </c>
    </row>
    <row r="1085" spans="1:19">
      <c r="A1085" s="9">
        <v>1078</v>
      </c>
      <c r="B1085" s="9" t="s">
        <v>1387</v>
      </c>
      <c r="C1085" s="9" t="s">
        <v>1366</v>
      </c>
      <c r="D1085" s="9" t="s">
        <v>652</v>
      </c>
      <c r="E1085" s="9" t="s">
        <v>33</v>
      </c>
      <c r="F1085" s="7" t="s">
        <v>39</v>
      </c>
      <c r="G1085" s="11">
        <v>1</v>
      </c>
      <c r="H1085" s="11">
        <v>1</v>
      </c>
      <c r="I1085" s="14">
        <v>8000.0</v>
      </c>
      <c r="J1085" s="14"/>
      <c r="K1085" s="16">
        <f>IF(I1085&gt;0, J1085/I1085, 0)</f>
        <v>0</v>
      </c>
      <c r="L1085" s="14">
        <v>8000.0</v>
      </c>
      <c r="M1085" s="14"/>
      <c r="N1085" s="14">
        <f>L1085-M1085</f>
        <v>8000</v>
      </c>
      <c r="O1085" s="9" t="s">
        <v>40</v>
      </c>
      <c r="P1085" s="9" t="s">
        <v>41</v>
      </c>
      <c r="Q1085" s="9" t="s">
        <v>42</v>
      </c>
      <c r="R1085" s="7" t="s">
        <v>2074</v>
      </c>
      <c r="S1085" s="7" t="s">
        <v>42</v>
      </c>
    </row>
    <row r="1086" spans="1:19">
      <c r="A1086" s="8">
        <v>1079</v>
      </c>
      <c r="B1086" s="8" t="s">
        <v>1388</v>
      </c>
      <c r="C1086" s="8" t="s">
        <v>1366</v>
      </c>
      <c r="D1086" s="8" t="s">
        <v>652</v>
      </c>
      <c r="E1086" s="8" t="s">
        <v>33</v>
      </c>
      <c r="F1086" s="6" t="s">
        <v>39</v>
      </c>
      <c r="G1086" s="10">
        <v>1</v>
      </c>
      <c r="H1086" s="10">
        <v>1</v>
      </c>
      <c r="I1086" s="13">
        <v>9500.0</v>
      </c>
      <c r="J1086" s="13"/>
      <c r="K1086" s="15">
        <f>IF(I1086&gt;0, J1086/I1086, 0)</f>
        <v>0</v>
      </c>
      <c r="L1086" s="13">
        <v>9500.0</v>
      </c>
      <c r="M1086" s="13"/>
      <c r="N1086" s="13">
        <f>L1086-M1086</f>
        <v>9500</v>
      </c>
      <c r="O1086" s="8" t="s">
        <v>40</v>
      </c>
      <c r="P1086" s="8" t="s">
        <v>41</v>
      </c>
      <c r="Q1086" s="8" t="s">
        <v>42</v>
      </c>
      <c r="R1086" s="6" t="s">
        <v>2135</v>
      </c>
      <c r="S1086" s="6" t="s">
        <v>42</v>
      </c>
    </row>
    <row r="1087" spans="1:19">
      <c r="A1087" s="9">
        <v>1080</v>
      </c>
      <c r="B1087" s="9" t="s">
        <v>1389</v>
      </c>
      <c r="C1087" s="9" t="s">
        <v>1366</v>
      </c>
      <c r="D1087" s="9" t="s">
        <v>652</v>
      </c>
      <c r="E1087" s="9" t="s">
        <v>33</v>
      </c>
      <c r="F1087" s="7" t="s">
        <v>39</v>
      </c>
      <c r="G1087" s="11">
        <v>1</v>
      </c>
      <c r="H1087" s="11">
        <v>1</v>
      </c>
      <c r="I1087" s="14">
        <v>18000.0</v>
      </c>
      <c r="J1087" s="14"/>
      <c r="K1087" s="16">
        <f>IF(I1087&gt;0, J1087/I1087, 0)</f>
        <v>0</v>
      </c>
      <c r="L1087" s="14">
        <v>18000.0</v>
      </c>
      <c r="M1087" s="14"/>
      <c r="N1087" s="14">
        <f>L1087-M1087</f>
        <v>18000</v>
      </c>
      <c r="O1087" s="9" t="s">
        <v>40</v>
      </c>
      <c r="P1087" s="9" t="s">
        <v>41</v>
      </c>
      <c r="Q1087" s="9" t="s">
        <v>42</v>
      </c>
      <c r="R1087" s="7" t="s">
        <v>2222</v>
      </c>
      <c r="S1087" s="7" t="s">
        <v>42</v>
      </c>
    </row>
    <row r="1088" spans="1:19">
      <c r="A1088" s="8">
        <v>1081</v>
      </c>
      <c r="B1088" s="8" t="s">
        <v>1390</v>
      </c>
      <c r="C1088" s="8" t="s">
        <v>1366</v>
      </c>
      <c r="D1088" s="8" t="s">
        <v>652</v>
      </c>
      <c r="E1088" s="8" t="s">
        <v>33</v>
      </c>
      <c r="F1088" s="6" t="s">
        <v>39</v>
      </c>
      <c r="G1088" s="10">
        <v>1</v>
      </c>
      <c r="H1088" s="10">
        <v>1</v>
      </c>
      <c r="I1088" s="13">
        <v>16500.0</v>
      </c>
      <c r="J1088" s="13"/>
      <c r="K1088" s="15">
        <f>IF(I1088&gt;0, J1088/I1088, 0)</f>
        <v>0</v>
      </c>
      <c r="L1088" s="13">
        <v>16500.0</v>
      </c>
      <c r="M1088" s="13"/>
      <c r="N1088" s="13">
        <f>L1088-M1088</f>
        <v>16500</v>
      </c>
      <c r="O1088" s="8" t="s">
        <v>40</v>
      </c>
      <c r="P1088" s="8" t="s">
        <v>41</v>
      </c>
      <c r="Q1088" s="8" t="s">
        <v>42</v>
      </c>
      <c r="R1088" s="6" t="s">
        <v>2124</v>
      </c>
      <c r="S1088" s="6" t="s">
        <v>42</v>
      </c>
    </row>
    <row r="1089" spans="1:19">
      <c r="A1089" s="9">
        <v>1082</v>
      </c>
      <c r="B1089" s="9" t="s">
        <v>1391</v>
      </c>
      <c r="C1089" s="9" t="s">
        <v>1366</v>
      </c>
      <c r="D1089" s="9" t="s">
        <v>652</v>
      </c>
      <c r="E1089" s="9" t="s">
        <v>33</v>
      </c>
      <c r="F1089" s="7" t="s">
        <v>39</v>
      </c>
      <c r="G1089" s="11">
        <v>1</v>
      </c>
      <c r="H1089" s="11">
        <v>1</v>
      </c>
      <c r="I1089" s="14">
        <v>7500.0</v>
      </c>
      <c r="J1089" s="14"/>
      <c r="K1089" s="16">
        <f>IF(I1089&gt;0, J1089/I1089, 0)</f>
        <v>0</v>
      </c>
      <c r="L1089" s="14">
        <v>7500.0</v>
      </c>
      <c r="M1089" s="14"/>
      <c r="N1089" s="14">
        <f>L1089-M1089</f>
        <v>7500</v>
      </c>
      <c r="O1089" s="9" t="s">
        <v>40</v>
      </c>
      <c r="P1089" s="9" t="s">
        <v>41</v>
      </c>
      <c r="Q1089" s="9" t="s">
        <v>42</v>
      </c>
      <c r="R1089" s="7" t="s">
        <v>2128</v>
      </c>
      <c r="S1089" s="7" t="s">
        <v>42</v>
      </c>
    </row>
    <row r="1090" spans="1:19">
      <c r="A1090" s="8">
        <v>1083</v>
      </c>
      <c r="B1090" s="8" t="s">
        <v>1392</v>
      </c>
      <c r="C1090" s="8" t="s">
        <v>1366</v>
      </c>
      <c r="D1090" s="8" t="s">
        <v>652</v>
      </c>
      <c r="E1090" s="8" t="s">
        <v>33</v>
      </c>
      <c r="F1090" s="6" t="s">
        <v>39</v>
      </c>
      <c r="G1090" s="10">
        <v>1</v>
      </c>
      <c r="H1090" s="10">
        <v>1</v>
      </c>
      <c r="I1090" s="13">
        <v>8000.0</v>
      </c>
      <c r="J1090" s="13"/>
      <c r="K1090" s="15">
        <f>IF(I1090&gt;0, J1090/I1090, 0)</f>
        <v>0</v>
      </c>
      <c r="L1090" s="13">
        <v>8000.0</v>
      </c>
      <c r="M1090" s="13"/>
      <c r="N1090" s="13">
        <f>L1090-M1090</f>
        <v>8000</v>
      </c>
      <c r="O1090" s="8" t="s">
        <v>40</v>
      </c>
      <c r="P1090" s="8" t="s">
        <v>41</v>
      </c>
      <c r="Q1090" s="8" t="s">
        <v>42</v>
      </c>
      <c r="R1090" s="6" t="s">
        <v>2076</v>
      </c>
      <c r="S1090" s="6" t="s">
        <v>42</v>
      </c>
    </row>
    <row r="1091" spans="1:19">
      <c r="A1091" s="9">
        <v>1084</v>
      </c>
      <c r="B1091" s="9" t="s">
        <v>1393</v>
      </c>
      <c r="C1091" s="9" t="s">
        <v>1366</v>
      </c>
      <c r="D1091" s="9" t="s">
        <v>652</v>
      </c>
      <c r="E1091" s="9" t="s">
        <v>33</v>
      </c>
      <c r="F1091" s="7" t="s">
        <v>39</v>
      </c>
      <c r="G1091" s="11">
        <v>1</v>
      </c>
      <c r="H1091" s="11">
        <v>1</v>
      </c>
      <c r="I1091" s="14">
        <v>8000.0</v>
      </c>
      <c r="J1091" s="14"/>
      <c r="K1091" s="16">
        <f>IF(I1091&gt;0, J1091/I1091, 0)</f>
        <v>0</v>
      </c>
      <c r="L1091" s="14">
        <v>8000.0</v>
      </c>
      <c r="M1091" s="14"/>
      <c r="N1091" s="14">
        <f>L1091-M1091</f>
        <v>8000</v>
      </c>
      <c r="O1091" s="9" t="s">
        <v>40</v>
      </c>
      <c r="P1091" s="9" t="s">
        <v>41</v>
      </c>
      <c r="Q1091" s="9" t="s">
        <v>42</v>
      </c>
      <c r="R1091" s="7" t="s">
        <v>2122</v>
      </c>
      <c r="S1091" s="7" t="s">
        <v>42</v>
      </c>
    </row>
    <row r="1092" spans="1:19">
      <c r="A1092" s="8">
        <v>1085</v>
      </c>
      <c r="B1092" s="8" t="s">
        <v>1394</v>
      </c>
      <c r="C1092" s="8" t="s">
        <v>1366</v>
      </c>
      <c r="D1092" s="8" t="s">
        <v>652</v>
      </c>
      <c r="E1092" s="8" t="s">
        <v>33</v>
      </c>
      <c r="F1092" s="6" t="s">
        <v>39</v>
      </c>
      <c r="G1092" s="10">
        <v>1</v>
      </c>
      <c r="H1092" s="10">
        <v>1</v>
      </c>
      <c r="I1092" s="13">
        <v>8000.0</v>
      </c>
      <c r="J1092" s="13"/>
      <c r="K1092" s="15">
        <f>IF(I1092&gt;0, J1092/I1092, 0)</f>
        <v>0</v>
      </c>
      <c r="L1092" s="13">
        <v>8000.0</v>
      </c>
      <c r="M1092" s="13"/>
      <c r="N1092" s="13">
        <f>L1092-M1092</f>
        <v>8000</v>
      </c>
      <c r="O1092" s="8" t="s">
        <v>40</v>
      </c>
      <c r="P1092" s="8" t="s">
        <v>41</v>
      </c>
      <c r="Q1092" s="8" t="s">
        <v>42</v>
      </c>
      <c r="R1092" s="6" t="s">
        <v>2161</v>
      </c>
      <c r="S1092" s="6" t="s">
        <v>42</v>
      </c>
    </row>
    <row r="1093" spans="1:19">
      <c r="A1093" s="9">
        <v>1086</v>
      </c>
      <c r="B1093" s="9" t="s">
        <v>1395</v>
      </c>
      <c r="C1093" s="9" t="s">
        <v>1366</v>
      </c>
      <c r="D1093" s="9" t="s">
        <v>652</v>
      </c>
      <c r="E1093" s="9" t="s">
        <v>68</v>
      </c>
      <c r="F1093" s="7" t="s">
        <v>39</v>
      </c>
      <c r="G1093" s="11">
        <v>1</v>
      </c>
      <c r="H1093" s="11">
        <v>1</v>
      </c>
      <c r="I1093" s="14">
        <v>9000.0</v>
      </c>
      <c r="J1093" s="14"/>
      <c r="K1093" s="16">
        <f>IF(I1093&gt;0, J1093/I1093, 0)</f>
        <v>0</v>
      </c>
      <c r="L1093" s="14">
        <v>9000.0</v>
      </c>
      <c r="M1093" s="14"/>
      <c r="N1093" s="14">
        <f>L1093-M1093</f>
        <v>9000</v>
      </c>
      <c r="O1093" s="9" t="s">
        <v>40</v>
      </c>
      <c r="P1093" s="9" t="s">
        <v>71</v>
      </c>
      <c r="Q1093" s="9" t="s">
        <v>42</v>
      </c>
      <c r="R1093" s="7" t="s">
        <v>2100</v>
      </c>
      <c r="S1093" s="7" t="s">
        <v>42</v>
      </c>
    </row>
    <row r="1094" spans="1:19">
      <c r="A1094" s="8">
        <v>1087</v>
      </c>
      <c r="B1094" s="8" t="s">
        <v>1396</v>
      </c>
      <c r="C1094" s="8" t="s">
        <v>1366</v>
      </c>
      <c r="D1094" s="8" t="s">
        <v>652</v>
      </c>
      <c r="E1094" s="8" t="s">
        <v>68</v>
      </c>
      <c r="F1094" s="6" t="s">
        <v>39</v>
      </c>
      <c r="G1094" s="10">
        <v>1</v>
      </c>
      <c r="H1094" s="10">
        <v>1</v>
      </c>
      <c r="I1094" s="13">
        <v>18000.0</v>
      </c>
      <c r="J1094" s="13"/>
      <c r="K1094" s="15">
        <f>IF(I1094&gt;0, J1094/I1094, 0)</f>
        <v>0</v>
      </c>
      <c r="L1094" s="13">
        <v>18000.0</v>
      </c>
      <c r="M1094" s="13"/>
      <c r="N1094" s="13">
        <f>L1094-M1094</f>
        <v>18000</v>
      </c>
      <c r="O1094" s="8" t="s">
        <v>40</v>
      </c>
      <c r="P1094" s="8" t="s">
        <v>71</v>
      </c>
      <c r="Q1094" s="8" t="s">
        <v>42</v>
      </c>
      <c r="R1094" s="6" t="s">
        <v>2093</v>
      </c>
      <c r="S1094" s="6" t="s">
        <v>42</v>
      </c>
    </row>
    <row r="1095" spans="1:19">
      <c r="A1095" s="9">
        <v>1088</v>
      </c>
      <c r="B1095" s="9" t="s">
        <v>1397</v>
      </c>
      <c r="C1095" s="9" t="s">
        <v>1366</v>
      </c>
      <c r="D1095" s="9" t="s">
        <v>652</v>
      </c>
      <c r="E1095" s="9" t="s">
        <v>33</v>
      </c>
      <c r="F1095" s="7" t="s">
        <v>39</v>
      </c>
      <c r="G1095" s="11">
        <v>1</v>
      </c>
      <c r="H1095" s="11">
        <v>1</v>
      </c>
      <c r="I1095" s="14">
        <v>8500.0</v>
      </c>
      <c r="J1095" s="14"/>
      <c r="K1095" s="16">
        <f>IF(I1095&gt;0, J1095/I1095, 0)</f>
        <v>0</v>
      </c>
      <c r="L1095" s="14">
        <v>8500.0</v>
      </c>
      <c r="M1095" s="14"/>
      <c r="N1095" s="14">
        <f>L1095-M1095</f>
        <v>8500</v>
      </c>
      <c r="O1095" s="9" t="s">
        <v>40</v>
      </c>
      <c r="P1095" s="9" t="s">
        <v>41</v>
      </c>
      <c r="Q1095" s="9" t="s">
        <v>42</v>
      </c>
      <c r="R1095" s="7" t="s">
        <v>2099</v>
      </c>
      <c r="S1095" s="7" t="s">
        <v>42</v>
      </c>
    </row>
    <row r="1096" spans="1:19">
      <c r="A1096" s="8">
        <v>1089</v>
      </c>
      <c r="B1096" s="8" t="s">
        <v>1398</v>
      </c>
      <c r="C1096" s="8" t="s">
        <v>1366</v>
      </c>
      <c r="D1096" s="8" t="s">
        <v>652</v>
      </c>
      <c r="E1096" s="8" t="s">
        <v>33</v>
      </c>
      <c r="F1096" s="6" t="s">
        <v>39</v>
      </c>
      <c r="G1096" s="10">
        <v>1</v>
      </c>
      <c r="H1096" s="10">
        <v>1</v>
      </c>
      <c r="I1096" s="13">
        <v>9500.0</v>
      </c>
      <c r="J1096" s="13"/>
      <c r="K1096" s="15">
        <f>IF(I1096&gt;0, J1096/I1096, 0)</f>
        <v>0</v>
      </c>
      <c r="L1096" s="13">
        <v>9500.0</v>
      </c>
      <c r="M1096" s="13"/>
      <c r="N1096" s="13">
        <f>L1096-M1096</f>
        <v>9500</v>
      </c>
      <c r="O1096" s="8" t="s">
        <v>40</v>
      </c>
      <c r="P1096" s="8" t="s">
        <v>41</v>
      </c>
      <c r="Q1096" s="8" t="s">
        <v>42</v>
      </c>
      <c r="R1096" s="6" t="s">
        <v>2129</v>
      </c>
      <c r="S1096" s="6" t="s">
        <v>42</v>
      </c>
    </row>
    <row r="1097" spans="1:19">
      <c r="A1097" s="9">
        <v>1090</v>
      </c>
      <c r="B1097" s="9" t="s">
        <v>1399</v>
      </c>
      <c r="C1097" s="9" t="s">
        <v>1366</v>
      </c>
      <c r="D1097" s="9" t="s">
        <v>652</v>
      </c>
      <c r="E1097" s="9" t="s">
        <v>33</v>
      </c>
      <c r="F1097" s="7" t="s">
        <v>39</v>
      </c>
      <c r="G1097" s="11">
        <v>1</v>
      </c>
      <c r="H1097" s="11">
        <v>1</v>
      </c>
      <c r="I1097" s="14">
        <v>9000.0</v>
      </c>
      <c r="J1097" s="14"/>
      <c r="K1097" s="16">
        <f>IF(I1097&gt;0, J1097/I1097, 0)</f>
        <v>0</v>
      </c>
      <c r="L1097" s="14">
        <v>9000.0</v>
      </c>
      <c r="M1097" s="14"/>
      <c r="N1097" s="14">
        <f>L1097-M1097</f>
        <v>9000</v>
      </c>
      <c r="O1097" s="9" t="s">
        <v>40</v>
      </c>
      <c r="P1097" s="9" t="s">
        <v>41</v>
      </c>
      <c r="Q1097" s="9" t="s">
        <v>42</v>
      </c>
      <c r="R1097" s="7" t="s">
        <v>2081</v>
      </c>
      <c r="S1097" s="7" t="s">
        <v>42</v>
      </c>
    </row>
    <row r="1098" spans="1:19">
      <c r="A1098" s="8">
        <v>1091</v>
      </c>
      <c r="B1098" s="8" t="s">
        <v>1400</v>
      </c>
      <c r="C1098" s="8" t="s">
        <v>1366</v>
      </c>
      <c r="D1098" s="8" t="s">
        <v>652</v>
      </c>
      <c r="E1098" s="8" t="s">
        <v>33</v>
      </c>
      <c r="F1098" s="6" t="s">
        <v>39</v>
      </c>
      <c r="G1098" s="10">
        <v>1</v>
      </c>
      <c r="H1098" s="10">
        <v>2</v>
      </c>
      <c r="I1098" s="13">
        <v>16000.0</v>
      </c>
      <c r="J1098" s="13"/>
      <c r="K1098" s="15">
        <f>IF(I1098&gt;0, J1098/I1098, 0)</f>
        <v>0</v>
      </c>
      <c r="L1098" s="13">
        <v>16000.0</v>
      </c>
      <c r="M1098" s="13"/>
      <c r="N1098" s="13">
        <f>L1098-M1098</f>
        <v>16000</v>
      </c>
      <c r="O1098" s="8" t="s">
        <v>40</v>
      </c>
      <c r="P1098" s="8" t="s">
        <v>41</v>
      </c>
      <c r="Q1098" s="8" t="s">
        <v>42</v>
      </c>
      <c r="R1098" s="6" t="s">
        <v>2098</v>
      </c>
      <c r="S1098" s="6" t="s">
        <v>42</v>
      </c>
    </row>
    <row r="1099" spans="1:19">
      <c r="A1099" s="9">
        <v>1092</v>
      </c>
      <c r="B1099" s="9" t="s">
        <v>1401</v>
      </c>
      <c r="C1099" s="9" t="s">
        <v>1366</v>
      </c>
      <c r="D1099" s="9" t="s">
        <v>652</v>
      </c>
      <c r="E1099" s="9" t="s">
        <v>33</v>
      </c>
      <c r="F1099" s="7" t="s">
        <v>39</v>
      </c>
      <c r="G1099" s="11">
        <v>1</v>
      </c>
      <c r="H1099" s="11">
        <v>3</v>
      </c>
      <c r="I1099" s="14">
        <v>24000.0</v>
      </c>
      <c r="J1099" s="14"/>
      <c r="K1099" s="16">
        <f>IF(I1099&gt;0, J1099/I1099, 0)</f>
        <v>0</v>
      </c>
      <c r="L1099" s="14">
        <v>24000.0</v>
      </c>
      <c r="M1099" s="14"/>
      <c r="N1099" s="14">
        <f>L1099-M1099</f>
        <v>24000</v>
      </c>
      <c r="O1099" s="9" t="s">
        <v>40</v>
      </c>
      <c r="P1099" s="9" t="s">
        <v>41</v>
      </c>
      <c r="Q1099" s="9" t="s">
        <v>42</v>
      </c>
      <c r="R1099" s="7" t="s">
        <v>2256</v>
      </c>
      <c r="S1099" s="7" t="s">
        <v>42</v>
      </c>
    </row>
    <row r="1100" spans="1:19">
      <c r="A1100" s="8">
        <v>1093</v>
      </c>
      <c r="B1100" s="8" t="s">
        <v>1402</v>
      </c>
      <c r="C1100" s="8" t="s">
        <v>1366</v>
      </c>
      <c r="D1100" s="8" t="s">
        <v>652</v>
      </c>
      <c r="E1100" s="8" t="s">
        <v>33</v>
      </c>
      <c r="F1100" s="6" t="s">
        <v>39</v>
      </c>
      <c r="G1100" s="10">
        <v>1</v>
      </c>
      <c r="H1100" s="10">
        <v>2</v>
      </c>
      <c r="I1100" s="13">
        <v>17000.0</v>
      </c>
      <c r="J1100" s="13"/>
      <c r="K1100" s="15">
        <f>IF(I1100&gt;0, J1100/I1100, 0)</f>
        <v>0</v>
      </c>
      <c r="L1100" s="13">
        <v>17000.0</v>
      </c>
      <c r="M1100" s="13"/>
      <c r="N1100" s="13">
        <f>L1100-M1100</f>
        <v>17000</v>
      </c>
      <c r="O1100" s="8" t="s">
        <v>40</v>
      </c>
      <c r="P1100" s="8" t="s">
        <v>41</v>
      </c>
      <c r="Q1100" s="8" t="s">
        <v>42</v>
      </c>
      <c r="R1100" s="6" t="s">
        <v>2238</v>
      </c>
      <c r="S1100" s="6" t="s">
        <v>42</v>
      </c>
    </row>
    <row r="1101" spans="1:19">
      <c r="A1101" s="9">
        <v>1094</v>
      </c>
      <c r="B1101" s="9" t="s">
        <v>1403</v>
      </c>
      <c r="C1101" s="9" t="s">
        <v>1366</v>
      </c>
      <c r="D1101" s="9" t="s">
        <v>652</v>
      </c>
      <c r="E1101" s="9" t="s">
        <v>33</v>
      </c>
      <c r="F1101" s="7" t="s">
        <v>39</v>
      </c>
      <c r="G1101" s="11">
        <v>1</v>
      </c>
      <c r="H1101" s="11">
        <v>1</v>
      </c>
      <c r="I1101" s="14">
        <v>18000.0</v>
      </c>
      <c r="J1101" s="14"/>
      <c r="K1101" s="16">
        <f>IF(I1101&gt;0, J1101/I1101, 0)</f>
        <v>0</v>
      </c>
      <c r="L1101" s="14">
        <v>18000.0</v>
      </c>
      <c r="M1101" s="14"/>
      <c r="N1101" s="14">
        <f>L1101-M1101</f>
        <v>18000</v>
      </c>
      <c r="O1101" s="9" t="s">
        <v>40</v>
      </c>
      <c r="P1101" s="9" t="s">
        <v>41</v>
      </c>
      <c r="Q1101" s="9" t="s">
        <v>42</v>
      </c>
      <c r="R1101" s="7" t="s">
        <v>2119</v>
      </c>
      <c r="S1101" s="7" t="s">
        <v>42</v>
      </c>
    </row>
    <row r="1102" spans="1:19">
      <c r="A1102" s="8">
        <v>1095</v>
      </c>
      <c r="B1102" s="8" t="s">
        <v>1404</v>
      </c>
      <c r="C1102" s="8" t="s">
        <v>1366</v>
      </c>
      <c r="D1102" s="8" t="s">
        <v>652</v>
      </c>
      <c r="E1102" s="8" t="s">
        <v>33</v>
      </c>
      <c r="F1102" s="6" t="s">
        <v>39</v>
      </c>
      <c r="G1102" s="10">
        <v>1</v>
      </c>
      <c r="H1102" s="10">
        <v>1</v>
      </c>
      <c r="I1102" s="13">
        <v>7500.0</v>
      </c>
      <c r="J1102" s="13"/>
      <c r="K1102" s="15">
        <f>IF(I1102&gt;0, J1102/I1102, 0)</f>
        <v>0</v>
      </c>
      <c r="L1102" s="13">
        <v>7500.0</v>
      </c>
      <c r="M1102" s="13"/>
      <c r="N1102" s="13">
        <f>L1102-M1102</f>
        <v>7500</v>
      </c>
      <c r="O1102" s="8" t="s">
        <v>40</v>
      </c>
      <c r="P1102" s="8" t="s">
        <v>41</v>
      </c>
      <c r="Q1102" s="8" t="s">
        <v>42</v>
      </c>
      <c r="R1102" s="6" t="s">
        <v>2077</v>
      </c>
      <c r="S1102" s="6" t="s">
        <v>42</v>
      </c>
    </row>
    <row r="1103" spans="1:19">
      <c r="A1103" s="9">
        <v>1096</v>
      </c>
      <c r="B1103" s="9" t="s">
        <v>1405</v>
      </c>
      <c r="C1103" s="9" t="s">
        <v>1366</v>
      </c>
      <c r="D1103" s="9" t="s">
        <v>652</v>
      </c>
      <c r="E1103" s="9" t="s">
        <v>33</v>
      </c>
      <c r="F1103" s="7" t="s">
        <v>39</v>
      </c>
      <c r="G1103" s="11">
        <v>1</v>
      </c>
      <c r="H1103" s="11">
        <v>1</v>
      </c>
      <c r="I1103" s="14">
        <v>8500.0</v>
      </c>
      <c r="J1103" s="14"/>
      <c r="K1103" s="16">
        <f>IF(I1103&gt;0, J1103/I1103, 0)</f>
        <v>0</v>
      </c>
      <c r="L1103" s="14">
        <v>8500.0</v>
      </c>
      <c r="M1103" s="14"/>
      <c r="N1103" s="14">
        <f>L1103-M1103</f>
        <v>8500</v>
      </c>
      <c r="O1103" s="9" t="s">
        <v>40</v>
      </c>
      <c r="P1103" s="9" t="s">
        <v>41</v>
      </c>
      <c r="Q1103" s="9" t="s">
        <v>42</v>
      </c>
      <c r="R1103" s="7" t="s">
        <v>2099</v>
      </c>
      <c r="S1103" s="7" t="s">
        <v>42</v>
      </c>
    </row>
    <row r="1104" spans="1:19">
      <c r="A1104" s="8">
        <v>1097</v>
      </c>
      <c r="B1104" s="8" t="s">
        <v>1406</v>
      </c>
      <c r="C1104" s="8" t="s">
        <v>1366</v>
      </c>
      <c r="D1104" s="8" t="s">
        <v>652</v>
      </c>
      <c r="E1104" s="8" t="s">
        <v>33</v>
      </c>
      <c r="F1104" s="6" t="s">
        <v>39</v>
      </c>
      <c r="G1104" s="10">
        <v>1</v>
      </c>
      <c r="H1104" s="10">
        <v>1</v>
      </c>
      <c r="I1104" s="13">
        <v>18000.0</v>
      </c>
      <c r="J1104" s="13"/>
      <c r="K1104" s="15">
        <f>IF(I1104&gt;0, J1104/I1104, 0)</f>
        <v>0</v>
      </c>
      <c r="L1104" s="13">
        <v>18000.0</v>
      </c>
      <c r="M1104" s="13"/>
      <c r="N1104" s="13">
        <f>L1104-M1104</f>
        <v>18000</v>
      </c>
      <c r="O1104" s="8" t="s">
        <v>40</v>
      </c>
      <c r="P1104" s="8" t="s">
        <v>41</v>
      </c>
      <c r="Q1104" s="8" t="s">
        <v>42</v>
      </c>
      <c r="R1104" s="6" t="s">
        <v>2075</v>
      </c>
      <c r="S1104" s="6" t="s">
        <v>42</v>
      </c>
    </row>
    <row r="1105" spans="1:19">
      <c r="A1105" s="9">
        <v>1098</v>
      </c>
      <c r="B1105" s="9" t="s">
        <v>1407</v>
      </c>
      <c r="C1105" s="9" t="s">
        <v>1366</v>
      </c>
      <c r="D1105" s="9" t="s">
        <v>652</v>
      </c>
      <c r="E1105" s="9" t="s">
        <v>33</v>
      </c>
      <c r="F1105" s="7" t="s">
        <v>39</v>
      </c>
      <c r="G1105" s="11">
        <v>1</v>
      </c>
      <c r="H1105" s="11">
        <v>1</v>
      </c>
      <c r="I1105" s="14">
        <v>7500.0</v>
      </c>
      <c r="J1105" s="14"/>
      <c r="K1105" s="16">
        <f>IF(I1105&gt;0, J1105/I1105, 0)</f>
        <v>0</v>
      </c>
      <c r="L1105" s="14">
        <v>7500.0</v>
      </c>
      <c r="M1105" s="14"/>
      <c r="N1105" s="14">
        <f>L1105-M1105</f>
        <v>7500</v>
      </c>
      <c r="O1105" s="9" t="s">
        <v>40</v>
      </c>
      <c r="P1105" s="9" t="s">
        <v>41</v>
      </c>
      <c r="Q1105" s="9" t="s">
        <v>42</v>
      </c>
      <c r="R1105" s="7" t="s">
        <v>2100</v>
      </c>
      <c r="S1105" s="7" t="s">
        <v>42</v>
      </c>
    </row>
    <row r="1106" spans="1:19">
      <c r="A1106" s="8">
        <v>1099</v>
      </c>
      <c r="B1106" s="8" t="s">
        <v>1408</v>
      </c>
      <c r="C1106" s="8" t="s">
        <v>1366</v>
      </c>
      <c r="D1106" s="8" t="s">
        <v>652</v>
      </c>
      <c r="E1106" s="8" t="s">
        <v>33</v>
      </c>
      <c r="F1106" s="6" t="s">
        <v>39</v>
      </c>
      <c r="G1106" s="10">
        <v>1</v>
      </c>
      <c r="H1106" s="10">
        <v>1</v>
      </c>
      <c r="I1106" s="13">
        <v>9500.0</v>
      </c>
      <c r="J1106" s="13"/>
      <c r="K1106" s="15">
        <f>IF(I1106&gt;0, J1106/I1106, 0)</f>
        <v>0</v>
      </c>
      <c r="L1106" s="13">
        <v>9500.0</v>
      </c>
      <c r="M1106" s="13"/>
      <c r="N1106" s="13">
        <f>L1106-M1106</f>
        <v>9500</v>
      </c>
      <c r="O1106" s="8" t="s">
        <v>40</v>
      </c>
      <c r="P1106" s="8" t="s">
        <v>41</v>
      </c>
      <c r="Q1106" s="8" t="s">
        <v>42</v>
      </c>
      <c r="R1106" s="6" t="s">
        <v>2125</v>
      </c>
      <c r="S1106" s="6" t="s">
        <v>42</v>
      </c>
    </row>
    <row r="1107" spans="1:19">
      <c r="A1107" s="9">
        <v>1100</v>
      </c>
      <c r="B1107" s="9" t="s">
        <v>1409</v>
      </c>
      <c r="C1107" s="9" t="s">
        <v>1366</v>
      </c>
      <c r="D1107" s="9" t="s">
        <v>652</v>
      </c>
      <c r="E1107" s="9" t="s">
        <v>33</v>
      </c>
      <c r="F1107" s="7" t="s">
        <v>39</v>
      </c>
      <c r="G1107" s="11">
        <v>1</v>
      </c>
      <c r="H1107" s="11">
        <v>1</v>
      </c>
      <c r="I1107" s="14">
        <v>9000.0</v>
      </c>
      <c r="J1107" s="14"/>
      <c r="K1107" s="16">
        <f>IF(I1107&gt;0, J1107/I1107, 0)</f>
        <v>0</v>
      </c>
      <c r="L1107" s="14">
        <v>9000.0</v>
      </c>
      <c r="M1107" s="14"/>
      <c r="N1107" s="14">
        <f>L1107-M1107</f>
        <v>9000</v>
      </c>
      <c r="O1107" s="9" t="s">
        <v>40</v>
      </c>
      <c r="P1107" s="9" t="s">
        <v>41</v>
      </c>
      <c r="Q1107" s="9" t="s">
        <v>42</v>
      </c>
      <c r="R1107" s="7" t="s">
        <v>2181</v>
      </c>
      <c r="S1107" s="7" t="s">
        <v>42</v>
      </c>
    </row>
    <row r="1108" spans="1:19">
      <c r="A1108" s="8">
        <v>1101</v>
      </c>
      <c r="B1108" s="8" t="s">
        <v>1410</v>
      </c>
      <c r="C1108" s="8" t="s">
        <v>1366</v>
      </c>
      <c r="D1108" s="8" t="s">
        <v>652</v>
      </c>
      <c r="E1108" s="8" t="s">
        <v>33</v>
      </c>
      <c r="F1108" s="6" t="s">
        <v>39</v>
      </c>
      <c r="G1108" s="10">
        <v>1</v>
      </c>
      <c r="H1108" s="10">
        <v>2</v>
      </c>
      <c r="I1108" s="13">
        <v>16000.0</v>
      </c>
      <c r="J1108" s="13"/>
      <c r="K1108" s="15">
        <f>IF(I1108&gt;0, J1108/I1108, 0)</f>
        <v>0</v>
      </c>
      <c r="L1108" s="13">
        <v>16000.0</v>
      </c>
      <c r="M1108" s="13"/>
      <c r="N1108" s="13">
        <f>L1108-M1108</f>
        <v>16000</v>
      </c>
      <c r="O1108" s="8" t="s">
        <v>40</v>
      </c>
      <c r="P1108" s="8" t="s">
        <v>41</v>
      </c>
      <c r="Q1108" s="8" t="s">
        <v>42</v>
      </c>
      <c r="R1108" s="6" t="s">
        <v>2098</v>
      </c>
      <c r="S1108" s="6" t="s">
        <v>42</v>
      </c>
    </row>
    <row r="1109" spans="1:19">
      <c r="A1109" s="9">
        <v>1102</v>
      </c>
      <c r="B1109" s="9" t="s">
        <v>1411</v>
      </c>
      <c r="C1109" s="9" t="s">
        <v>1366</v>
      </c>
      <c r="D1109" s="9" t="s">
        <v>652</v>
      </c>
      <c r="E1109" s="9" t="s">
        <v>33</v>
      </c>
      <c r="F1109" s="7" t="s">
        <v>39</v>
      </c>
      <c r="G1109" s="11">
        <v>1</v>
      </c>
      <c r="H1109" s="11">
        <v>1</v>
      </c>
      <c r="I1109" s="14">
        <v>17000.0</v>
      </c>
      <c r="J1109" s="14"/>
      <c r="K1109" s="16">
        <f>IF(I1109&gt;0, J1109/I1109, 0)</f>
        <v>0</v>
      </c>
      <c r="L1109" s="14">
        <v>17000.0</v>
      </c>
      <c r="M1109" s="14"/>
      <c r="N1109" s="14">
        <f>L1109-M1109</f>
        <v>17000</v>
      </c>
      <c r="O1109" s="9" t="s">
        <v>40</v>
      </c>
      <c r="P1109" s="9" t="s">
        <v>41</v>
      </c>
      <c r="Q1109" s="9" t="s">
        <v>42</v>
      </c>
      <c r="R1109" s="7" t="s">
        <v>2093</v>
      </c>
      <c r="S1109" s="7" t="s">
        <v>42</v>
      </c>
    </row>
    <row r="1110" spans="1:19">
      <c r="A1110" s="8">
        <v>1103</v>
      </c>
      <c r="B1110" s="8" t="s">
        <v>1412</v>
      </c>
      <c r="C1110" s="8" t="s">
        <v>1366</v>
      </c>
      <c r="D1110" s="8" t="s">
        <v>652</v>
      </c>
      <c r="E1110" s="8" t="s">
        <v>33</v>
      </c>
      <c r="F1110" s="6" t="s">
        <v>39</v>
      </c>
      <c r="G1110" s="10">
        <v>1</v>
      </c>
      <c r="H1110" s="10">
        <v>1</v>
      </c>
      <c r="I1110" s="13">
        <v>8000.0</v>
      </c>
      <c r="J1110" s="13"/>
      <c r="K1110" s="15">
        <f>IF(I1110&gt;0, J1110/I1110, 0)</f>
        <v>0</v>
      </c>
      <c r="L1110" s="13">
        <v>8000.0</v>
      </c>
      <c r="M1110" s="13"/>
      <c r="N1110" s="13">
        <f>L1110-M1110</f>
        <v>8000</v>
      </c>
      <c r="O1110" s="8" t="s">
        <v>40</v>
      </c>
      <c r="P1110" s="8" t="s">
        <v>41</v>
      </c>
      <c r="Q1110" s="8" t="s">
        <v>42</v>
      </c>
      <c r="R1110" s="6" t="s">
        <v>2099</v>
      </c>
      <c r="S1110" s="6" t="s">
        <v>42</v>
      </c>
    </row>
    <row r="1111" spans="1:19">
      <c r="A1111" s="9">
        <v>1104</v>
      </c>
      <c r="B1111" s="9" t="s">
        <v>1413</v>
      </c>
      <c r="C1111" s="9" t="s">
        <v>1366</v>
      </c>
      <c r="D1111" s="9" t="s">
        <v>652</v>
      </c>
      <c r="E1111" s="9" t="s">
        <v>33</v>
      </c>
      <c r="F1111" s="7" t="s">
        <v>39</v>
      </c>
      <c r="G1111" s="11">
        <v>1</v>
      </c>
      <c r="H1111" s="11">
        <v>1</v>
      </c>
      <c r="I1111" s="14">
        <v>7000.0</v>
      </c>
      <c r="J1111" s="14"/>
      <c r="K1111" s="16">
        <f>IF(I1111&gt;0, J1111/I1111, 0)</f>
        <v>0</v>
      </c>
      <c r="L1111" s="14">
        <v>7000.0</v>
      </c>
      <c r="M1111" s="14"/>
      <c r="N1111" s="14">
        <f>L1111-M1111</f>
        <v>7000</v>
      </c>
      <c r="O1111" s="9" t="s">
        <v>40</v>
      </c>
      <c r="P1111" s="9" t="s">
        <v>41</v>
      </c>
      <c r="Q1111" s="9" t="s">
        <v>42</v>
      </c>
      <c r="R1111" s="7" t="s">
        <v>2154</v>
      </c>
      <c r="S1111" s="7" t="s">
        <v>42</v>
      </c>
    </row>
    <row r="1112" spans="1:19">
      <c r="A1112" s="8">
        <v>1105</v>
      </c>
      <c r="B1112" s="8" t="s">
        <v>1414</v>
      </c>
      <c r="C1112" s="8" t="s">
        <v>1366</v>
      </c>
      <c r="D1112" s="8" t="s">
        <v>652</v>
      </c>
      <c r="E1112" s="8" t="s">
        <v>33</v>
      </c>
      <c r="F1112" s="6" t="s">
        <v>39</v>
      </c>
      <c r="G1112" s="10">
        <v>1</v>
      </c>
      <c r="H1112" s="10">
        <v>1</v>
      </c>
      <c r="I1112" s="13">
        <v>7000.0</v>
      </c>
      <c r="J1112" s="13"/>
      <c r="K1112" s="15">
        <f>IF(I1112&gt;0, J1112/I1112, 0)</f>
        <v>0</v>
      </c>
      <c r="L1112" s="13">
        <v>7000.0</v>
      </c>
      <c r="M1112" s="13"/>
      <c r="N1112" s="13">
        <f>L1112-M1112</f>
        <v>7000</v>
      </c>
      <c r="O1112" s="8" t="s">
        <v>40</v>
      </c>
      <c r="P1112" s="8" t="s">
        <v>41</v>
      </c>
      <c r="Q1112" s="8" t="s">
        <v>42</v>
      </c>
      <c r="R1112" s="6" t="s">
        <v>2074</v>
      </c>
      <c r="S1112" s="6" t="s">
        <v>42</v>
      </c>
    </row>
    <row r="1113" spans="1:19">
      <c r="A1113" s="9">
        <v>1106</v>
      </c>
      <c r="B1113" s="9" t="s">
        <v>1415</v>
      </c>
      <c r="C1113" s="9" t="s">
        <v>1366</v>
      </c>
      <c r="D1113" s="9" t="s">
        <v>652</v>
      </c>
      <c r="E1113" s="9" t="s">
        <v>33</v>
      </c>
      <c r="F1113" s="7" t="s">
        <v>39</v>
      </c>
      <c r="G1113" s="11">
        <v>1</v>
      </c>
      <c r="H1113" s="11">
        <v>1</v>
      </c>
      <c r="I1113" s="14">
        <v>9000.0</v>
      </c>
      <c r="J1113" s="14"/>
      <c r="K1113" s="16">
        <f>IF(I1113&gt;0, J1113/I1113, 0)</f>
        <v>0</v>
      </c>
      <c r="L1113" s="14">
        <v>9000.0</v>
      </c>
      <c r="M1113" s="14"/>
      <c r="N1113" s="14">
        <f>L1113-M1113</f>
        <v>9000</v>
      </c>
      <c r="O1113" s="9" t="s">
        <v>40</v>
      </c>
      <c r="P1113" s="9" t="s">
        <v>41</v>
      </c>
      <c r="Q1113" s="9" t="s">
        <v>42</v>
      </c>
      <c r="R1113" s="7" t="s">
        <v>2100</v>
      </c>
      <c r="S1113" s="7" t="s">
        <v>42</v>
      </c>
    </row>
    <row r="1114" spans="1:19">
      <c r="A1114" s="8">
        <v>1107</v>
      </c>
      <c r="B1114" s="8" t="s">
        <v>1416</v>
      </c>
      <c r="C1114" s="8" t="s">
        <v>1366</v>
      </c>
      <c r="D1114" s="8" t="s">
        <v>652</v>
      </c>
      <c r="E1114" s="8" t="s">
        <v>33</v>
      </c>
      <c r="F1114" s="6" t="s">
        <v>39</v>
      </c>
      <c r="G1114" s="10">
        <v>1</v>
      </c>
      <c r="H1114" s="10">
        <v>1</v>
      </c>
      <c r="I1114" s="13">
        <v>7000.0</v>
      </c>
      <c r="J1114" s="13"/>
      <c r="K1114" s="15">
        <f>IF(I1114&gt;0, J1114/I1114, 0)</f>
        <v>0</v>
      </c>
      <c r="L1114" s="13">
        <v>7000.0</v>
      </c>
      <c r="M1114" s="13"/>
      <c r="N1114" s="13">
        <f>L1114-M1114</f>
        <v>7000</v>
      </c>
      <c r="O1114" s="8" t="s">
        <v>40</v>
      </c>
      <c r="P1114" s="8" t="s">
        <v>41</v>
      </c>
      <c r="Q1114" s="8" t="s">
        <v>42</v>
      </c>
      <c r="R1114" s="6" t="s">
        <v>2074</v>
      </c>
      <c r="S1114" s="6" t="s">
        <v>42</v>
      </c>
    </row>
    <row r="1115" spans="1:19">
      <c r="A1115" s="9">
        <v>1108</v>
      </c>
      <c r="B1115" s="9" t="s">
        <v>1417</v>
      </c>
      <c r="C1115" s="9" t="s">
        <v>1366</v>
      </c>
      <c r="D1115" s="9" t="s">
        <v>652</v>
      </c>
      <c r="E1115" s="9" t="s">
        <v>33</v>
      </c>
      <c r="F1115" s="7" t="s">
        <v>39</v>
      </c>
      <c r="G1115" s="11">
        <v>1</v>
      </c>
      <c r="H1115" s="11">
        <v>1</v>
      </c>
      <c r="I1115" s="14">
        <v>9000.0</v>
      </c>
      <c r="J1115" s="14"/>
      <c r="K1115" s="16">
        <f>IF(I1115&gt;0, J1115/I1115, 0)</f>
        <v>0</v>
      </c>
      <c r="L1115" s="14">
        <v>9000.0</v>
      </c>
      <c r="M1115" s="14"/>
      <c r="N1115" s="14">
        <f>L1115-M1115</f>
        <v>9000</v>
      </c>
      <c r="O1115" s="9" t="s">
        <v>40</v>
      </c>
      <c r="P1115" s="9" t="s">
        <v>41</v>
      </c>
      <c r="Q1115" s="9" t="s">
        <v>42</v>
      </c>
      <c r="R1115" s="7" t="s">
        <v>2140</v>
      </c>
      <c r="S1115" s="7" t="s">
        <v>42</v>
      </c>
    </row>
    <row r="1116" spans="1:19">
      <c r="A1116" s="8">
        <v>1109</v>
      </c>
      <c r="B1116" s="8" t="s">
        <v>1418</v>
      </c>
      <c r="C1116" s="8" t="s">
        <v>1366</v>
      </c>
      <c r="D1116" s="8" t="s">
        <v>652</v>
      </c>
      <c r="E1116" s="8" t="s">
        <v>33</v>
      </c>
      <c r="F1116" s="6" t="s">
        <v>39</v>
      </c>
      <c r="G1116" s="10">
        <v>1</v>
      </c>
      <c r="H1116" s="10">
        <v>1</v>
      </c>
      <c r="I1116" s="13">
        <v>16000.0</v>
      </c>
      <c r="J1116" s="13"/>
      <c r="K1116" s="15">
        <f>IF(I1116&gt;0, J1116/I1116, 0)</f>
        <v>0</v>
      </c>
      <c r="L1116" s="13">
        <v>16000.0</v>
      </c>
      <c r="M1116" s="13"/>
      <c r="N1116" s="13">
        <f>L1116-M1116</f>
        <v>16000</v>
      </c>
      <c r="O1116" s="8" t="s">
        <v>40</v>
      </c>
      <c r="P1116" s="8" t="s">
        <v>41</v>
      </c>
      <c r="Q1116" s="8" t="s">
        <v>42</v>
      </c>
      <c r="R1116" s="6" t="s">
        <v>2132</v>
      </c>
      <c r="S1116" s="6" t="s">
        <v>42</v>
      </c>
    </row>
    <row r="1117" spans="1:19">
      <c r="A1117" s="9">
        <v>1110</v>
      </c>
      <c r="B1117" s="9" t="s">
        <v>1419</v>
      </c>
      <c r="C1117" s="9" t="s">
        <v>1366</v>
      </c>
      <c r="D1117" s="9" t="s">
        <v>652</v>
      </c>
      <c r="E1117" s="9" t="s">
        <v>33</v>
      </c>
      <c r="F1117" s="7" t="s">
        <v>39</v>
      </c>
      <c r="G1117" s="11">
        <v>1</v>
      </c>
      <c r="H1117" s="11">
        <v>1</v>
      </c>
      <c r="I1117" s="14">
        <v>7000.0</v>
      </c>
      <c r="J1117" s="14"/>
      <c r="K1117" s="16">
        <f>IF(I1117&gt;0, J1117/I1117, 0)</f>
        <v>0</v>
      </c>
      <c r="L1117" s="14">
        <v>7000.0</v>
      </c>
      <c r="M1117" s="14"/>
      <c r="N1117" s="14">
        <f>L1117-M1117</f>
        <v>7000</v>
      </c>
      <c r="O1117" s="9" t="s">
        <v>40</v>
      </c>
      <c r="P1117" s="9" t="s">
        <v>41</v>
      </c>
      <c r="Q1117" s="9" t="s">
        <v>42</v>
      </c>
      <c r="R1117" s="7" t="s">
        <v>2155</v>
      </c>
      <c r="S1117" s="7" t="s">
        <v>42</v>
      </c>
    </row>
    <row r="1118" spans="1:19">
      <c r="A1118" s="8">
        <v>1111</v>
      </c>
      <c r="B1118" s="8" t="s">
        <v>1420</v>
      </c>
      <c r="C1118" s="8" t="s">
        <v>1366</v>
      </c>
      <c r="D1118" s="8" t="s">
        <v>652</v>
      </c>
      <c r="E1118" s="8" t="s">
        <v>33</v>
      </c>
      <c r="F1118" s="6" t="s">
        <v>39</v>
      </c>
      <c r="G1118" s="10">
        <v>1</v>
      </c>
      <c r="H1118" s="10">
        <v>1</v>
      </c>
      <c r="I1118" s="13">
        <v>8000.0</v>
      </c>
      <c r="J1118" s="13"/>
      <c r="K1118" s="15">
        <f>IF(I1118&gt;0, J1118/I1118, 0)</f>
        <v>0</v>
      </c>
      <c r="L1118" s="13">
        <v>8000.0</v>
      </c>
      <c r="M1118" s="13"/>
      <c r="N1118" s="13">
        <f>L1118-M1118</f>
        <v>8000</v>
      </c>
      <c r="O1118" s="8" t="s">
        <v>40</v>
      </c>
      <c r="P1118" s="8" t="s">
        <v>41</v>
      </c>
      <c r="Q1118" s="8" t="s">
        <v>42</v>
      </c>
      <c r="R1118" s="6" t="s">
        <v>2116</v>
      </c>
      <c r="S1118" s="6" t="s">
        <v>42</v>
      </c>
    </row>
    <row r="1119" spans="1:19">
      <c r="A1119" s="9">
        <v>1112</v>
      </c>
      <c r="B1119" s="9" t="s">
        <v>1421</v>
      </c>
      <c r="C1119" s="9" t="s">
        <v>1366</v>
      </c>
      <c r="D1119" s="9" t="s">
        <v>652</v>
      </c>
      <c r="E1119" s="9" t="s">
        <v>33</v>
      </c>
      <c r="F1119" s="7" t="s">
        <v>39</v>
      </c>
      <c r="G1119" s="11">
        <v>1</v>
      </c>
      <c r="H1119" s="11">
        <v>1</v>
      </c>
      <c r="I1119" s="14">
        <v>7000.0</v>
      </c>
      <c r="J1119" s="14"/>
      <c r="K1119" s="16">
        <f>IF(I1119&gt;0, J1119/I1119, 0)</f>
        <v>0</v>
      </c>
      <c r="L1119" s="14">
        <v>7000.0</v>
      </c>
      <c r="M1119" s="14"/>
      <c r="N1119" s="14">
        <f>L1119-M1119</f>
        <v>7000</v>
      </c>
      <c r="O1119" s="9" t="s">
        <v>40</v>
      </c>
      <c r="P1119" s="9" t="s">
        <v>41</v>
      </c>
      <c r="Q1119" s="9" t="s">
        <v>42</v>
      </c>
      <c r="R1119" s="7" t="s">
        <v>2109</v>
      </c>
      <c r="S1119" s="7" t="s">
        <v>42</v>
      </c>
    </row>
    <row r="1120" spans="1:19">
      <c r="A1120" s="8">
        <v>1113</v>
      </c>
      <c r="B1120" s="8" t="s">
        <v>1422</v>
      </c>
      <c r="C1120" s="8" t="s">
        <v>1366</v>
      </c>
      <c r="D1120" s="8" t="s">
        <v>652</v>
      </c>
      <c r="E1120" s="8" t="s">
        <v>33</v>
      </c>
      <c r="F1120" s="6" t="s">
        <v>39</v>
      </c>
      <c r="G1120" s="10">
        <v>1</v>
      </c>
      <c r="H1120" s="10">
        <v>1</v>
      </c>
      <c r="I1120" s="13">
        <v>9000.0</v>
      </c>
      <c r="J1120" s="13"/>
      <c r="K1120" s="15">
        <f>IF(I1120&gt;0, J1120/I1120, 0)</f>
        <v>0</v>
      </c>
      <c r="L1120" s="13">
        <v>9000.0</v>
      </c>
      <c r="M1120" s="13"/>
      <c r="N1120" s="13">
        <f>L1120-M1120</f>
        <v>9000</v>
      </c>
      <c r="O1120" s="8" t="s">
        <v>40</v>
      </c>
      <c r="P1120" s="8" t="s">
        <v>41</v>
      </c>
      <c r="Q1120" s="8" t="s">
        <v>42</v>
      </c>
      <c r="R1120" s="6" t="s">
        <v>2137</v>
      </c>
      <c r="S1120" s="6" t="s">
        <v>42</v>
      </c>
    </row>
    <row r="1121" spans="1:19">
      <c r="A1121" s="9">
        <v>1114</v>
      </c>
      <c r="B1121" s="9" t="s">
        <v>1423</v>
      </c>
      <c r="C1121" s="9" t="s">
        <v>1366</v>
      </c>
      <c r="D1121" s="9" t="s">
        <v>652</v>
      </c>
      <c r="E1121" s="9" t="s">
        <v>33</v>
      </c>
      <c r="F1121" s="7" t="s">
        <v>39</v>
      </c>
      <c r="G1121" s="11">
        <v>1</v>
      </c>
      <c r="H1121" s="11">
        <v>1</v>
      </c>
      <c r="I1121" s="14">
        <v>16500.0</v>
      </c>
      <c r="J1121" s="14"/>
      <c r="K1121" s="16">
        <f>IF(I1121&gt;0, J1121/I1121, 0)</f>
        <v>0</v>
      </c>
      <c r="L1121" s="14">
        <v>16500.0</v>
      </c>
      <c r="M1121" s="14"/>
      <c r="N1121" s="14">
        <f>L1121-M1121</f>
        <v>16500</v>
      </c>
      <c r="O1121" s="9" t="s">
        <v>40</v>
      </c>
      <c r="P1121" s="9" t="s">
        <v>41</v>
      </c>
      <c r="Q1121" s="9" t="s">
        <v>42</v>
      </c>
      <c r="R1121" s="7" t="s">
        <v>2094</v>
      </c>
      <c r="S1121" s="7" t="s">
        <v>42</v>
      </c>
    </row>
    <row r="1122" spans="1:19">
      <c r="A1122" s="8">
        <v>1115</v>
      </c>
      <c r="B1122" s="8" t="s">
        <v>1424</v>
      </c>
      <c r="C1122" s="8" t="s">
        <v>1366</v>
      </c>
      <c r="D1122" s="8" t="s">
        <v>652</v>
      </c>
      <c r="E1122" s="8" t="s">
        <v>33</v>
      </c>
      <c r="F1122" s="6" t="s">
        <v>39</v>
      </c>
      <c r="G1122" s="10">
        <v>1</v>
      </c>
      <c r="H1122" s="10">
        <v>1</v>
      </c>
      <c r="I1122" s="13">
        <v>8000.0</v>
      </c>
      <c r="J1122" s="13"/>
      <c r="K1122" s="15">
        <f>IF(I1122&gt;0, J1122/I1122, 0)</f>
        <v>0</v>
      </c>
      <c r="L1122" s="13">
        <v>8000.0</v>
      </c>
      <c r="M1122" s="13"/>
      <c r="N1122" s="13">
        <f>L1122-M1122</f>
        <v>8000</v>
      </c>
      <c r="O1122" s="8" t="s">
        <v>40</v>
      </c>
      <c r="P1122" s="8" t="s">
        <v>41</v>
      </c>
      <c r="Q1122" s="8" t="s">
        <v>42</v>
      </c>
      <c r="R1122" s="6" t="s">
        <v>2167</v>
      </c>
      <c r="S1122" s="6" t="s">
        <v>42</v>
      </c>
    </row>
    <row r="1123" spans="1:19">
      <c r="A1123" s="9">
        <v>1116</v>
      </c>
      <c r="B1123" s="9" t="s">
        <v>1425</v>
      </c>
      <c r="C1123" s="9" t="s">
        <v>1366</v>
      </c>
      <c r="D1123" s="9" t="s">
        <v>652</v>
      </c>
      <c r="E1123" s="9" t="s">
        <v>33</v>
      </c>
      <c r="F1123" s="7" t="s">
        <v>39</v>
      </c>
      <c r="G1123" s="11">
        <v>1</v>
      </c>
      <c r="H1123" s="11">
        <v>1</v>
      </c>
      <c r="I1123" s="14">
        <v>7500.0</v>
      </c>
      <c r="J1123" s="14"/>
      <c r="K1123" s="16">
        <f>IF(I1123&gt;0, J1123/I1123, 0)</f>
        <v>0</v>
      </c>
      <c r="L1123" s="14">
        <v>7500.0</v>
      </c>
      <c r="M1123" s="14"/>
      <c r="N1123" s="14">
        <f>L1123-M1123</f>
        <v>7500</v>
      </c>
      <c r="O1123" s="9" t="s">
        <v>40</v>
      </c>
      <c r="P1123" s="9" t="s">
        <v>41</v>
      </c>
      <c r="Q1123" s="9" t="s">
        <v>42</v>
      </c>
      <c r="R1123" s="7" t="s">
        <v>2128</v>
      </c>
      <c r="S1123" s="7" t="s">
        <v>42</v>
      </c>
    </row>
    <row r="1124" spans="1:19">
      <c r="A1124" s="8">
        <v>1117</v>
      </c>
      <c r="B1124" s="8" t="s">
        <v>1426</v>
      </c>
      <c r="C1124" s="8" t="s">
        <v>1366</v>
      </c>
      <c r="D1124" s="8" t="s">
        <v>652</v>
      </c>
      <c r="E1124" s="8" t="s">
        <v>33</v>
      </c>
      <c r="F1124" s="6" t="s">
        <v>39</v>
      </c>
      <c r="G1124" s="10">
        <v>1</v>
      </c>
      <c r="H1124" s="10">
        <v>1</v>
      </c>
      <c r="I1124" s="13">
        <v>9000.0</v>
      </c>
      <c r="J1124" s="13"/>
      <c r="K1124" s="15">
        <f>IF(I1124&gt;0, J1124/I1124, 0)</f>
        <v>0</v>
      </c>
      <c r="L1124" s="13">
        <v>9000.0</v>
      </c>
      <c r="M1124" s="13"/>
      <c r="N1124" s="13">
        <f>L1124-M1124</f>
        <v>9000</v>
      </c>
      <c r="O1124" s="8" t="s">
        <v>40</v>
      </c>
      <c r="P1124" s="8" t="s">
        <v>41</v>
      </c>
      <c r="Q1124" s="8" t="s">
        <v>42</v>
      </c>
      <c r="R1124" s="6" t="s">
        <v>2252</v>
      </c>
      <c r="S1124" s="6" t="s">
        <v>42</v>
      </c>
    </row>
    <row r="1125" spans="1:19">
      <c r="A1125" s="9">
        <v>1118</v>
      </c>
      <c r="B1125" s="9" t="s">
        <v>1427</v>
      </c>
      <c r="C1125" s="9" t="s">
        <v>1366</v>
      </c>
      <c r="D1125" s="9" t="s">
        <v>652</v>
      </c>
      <c r="E1125" s="9" t="s">
        <v>33</v>
      </c>
      <c r="F1125" s="7" t="s">
        <v>39</v>
      </c>
      <c r="G1125" s="11">
        <v>1</v>
      </c>
      <c r="H1125" s="11">
        <v>1</v>
      </c>
      <c r="I1125" s="14">
        <v>8500.0</v>
      </c>
      <c r="J1125" s="14"/>
      <c r="K1125" s="16">
        <f>IF(I1125&gt;0, J1125/I1125, 0)</f>
        <v>0</v>
      </c>
      <c r="L1125" s="14">
        <v>8500.0</v>
      </c>
      <c r="M1125" s="14"/>
      <c r="N1125" s="14">
        <f>L1125-M1125</f>
        <v>8500</v>
      </c>
      <c r="O1125" s="9" t="s">
        <v>40</v>
      </c>
      <c r="P1125" s="9" t="s">
        <v>41</v>
      </c>
      <c r="Q1125" s="9" t="s">
        <v>42</v>
      </c>
      <c r="R1125" s="7" t="s">
        <v>2259</v>
      </c>
      <c r="S1125" s="7" t="s">
        <v>42</v>
      </c>
    </row>
    <row r="1126" spans="1:19">
      <c r="A1126" s="8">
        <v>1119</v>
      </c>
      <c r="B1126" s="8" t="s">
        <v>1428</v>
      </c>
      <c r="C1126" s="8" t="s">
        <v>1366</v>
      </c>
      <c r="D1126" s="8" t="s">
        <v>652</v>
      </c>
      <c r="E1126" s="8" t="s">
        <v>33</v>
      </c>
      <c r="F1126" s="6" t="s">
        <v>39</v>
      </c>
      <c r="G1126" s="10">
        <v>1</v>
      </c>
      <c r="H1126" s="10">
        <v>1</v>
      </c>
      <c r="I1126" s="13">
        <v>8000.0</v>
      </c>
      <c r="J1126" s="13"/>
      <c r="K1126" s="15">
        <f>IF(I1126&gt;0, J1126/I1126, 0)</f>
        <v>0</v>
      </c>
      <c r="L1126" s="13">
        <v>8000.0</v>
      </c>
      <c r="M1126" s="13"/>
      <c r="N1126" s="13">
        <f>L1126-M1126</f>
        <v>8000</v>
      </c>
      <c r="O1126" s="8" t="s">
        <v>40</v>
      </c>
      <c r="P1126" s="8" t="s">
        <v>41</v>
      </c>
      <c r="Q1126" s="8" t="s">
        <v>42</v>
      </c>
      <c r="R1126" s="6" t="s">
        <v>2239</v>
      </c>
      <c r="S1126" s="6" t="s">
        <v>42</v>
      </c>
    </row>
    <row r="1127" spans="1:19">
      <c r="A1127" s="9">
        <v>1120</v>
      </c>
      <c r="B1127" s="9" t="s">
        <v>1429</v>
      </c>
      <c r="C1127" s="9" t="s">
        <v>1366</v>
      </c>
      <c r="D1127" s="9" t="s">
        <v>652</v>
      </c>
      <c r="E1127" s="9" t="s">
        <v>33</v>
      </c>
      <c r="F1127" s="7" t="s">
        <v>39</v>
      </c>
      <c r="G1127" s="11">
        <v>1</v>
      </c>
      <c r="H1127" s="11">
        <v>1</v>
      </c>
      <c r="I1127" s="14">
        <v>16500.0</v>
      </c>
      <c r="J1127" s="14"/>
      <c r="K1127" s="16">
        <f>IF(I1127&gt;0, J1127/I1127, 0)</f>
        <v>0</v>
      </c>
      <c r="L1127" s="14">
        <v>16500.0</v>
      </c>
      <c r="M1127" s="14"/>
      <c r="N1127" s="14">
        <f>L1127-M1127</f>
        <v>16500</v>
      </c>
      <c r="O1127" s="9" t="s">
        <v>40</v>
      </c>
      <c r="P1127" s="9" t="s">
        <v>41</v>
      </c>
      <c r="Q1127" s="9" t="s">
        <v>42</v>
      </c>
      <c r="R1127" s="7" t="s">
        <v>2240</v>
      </c>
      <c r="S1127" s="7" t="s">
        <v>42</v>
      </c>
    </row>
    <row r="1128" spans="1:19">
      <c r="A1128" s="8">
        <v>1121</v>
      </c>
      <c r="B1128" s="8" t="s">
        <v>1430</v>
      </c>
      <c r="C1128" s="8" t="s">
        <v>1366</v>
      </c>
      <c r="D1128" s="8" t="s">
        <v>652</v>
      </c>
      <c r="E1128" s="8" t="s">
        <v>68</v>
      </c>
      <c r="F1128" s="6" t="s">
        <v>39</v>
      </c>
      <c r="G1128" s="10">
        <v>1</v>
      </c>
      <c r="H1128" s="10">
        <v>1</v>
      </c>
      <c r="I1128" s="13">
        <v>8000.0</v>
      </c>
      <c r="J1128" s="13"/>
      <c r="K1128" s="15">
        <f>IF(I1128&gt;0, J1128/I1128, 0)</f>
        <v>0</v>
      </c>
      <c r="L1128" s="13">
        <v>8000.0</v>
      </c>
      <c r="M1128" s="13"/>
      <c r="N1128" s="13">
        <f>L1128-M1128</f>
        <v>8000</v>
      </c>
      <c r="O1128" s="8" t="s">
        <v>40</v>
      </c>
      <c r="P1128" s="8" t="s">
        <v>71</v>
      </c>
      <c r="Q1128" s="8" t="s">
        <v>42</v>
      </c>
      <c r="R1128" s="6" t="s">
        <v>2260</v>
      </c>
      <c r="S1128" s="6" t="s">
        <v>42</v>
      </c>
    </row>
    <row r="1129" spans="1:19">
      <c r="A1129" s="9">
        <v>1122</v>
      </c>
      <c r="B1129" s="9" t="s">
        <v>1433</v>
      </c>
      <c r="C1129" s="9" t="s">
        <v>1366</v>
      </c>
      <c r="D1129" s="9" t="s">
        <v>652</v>
      </c>
      <c r="E1129" s="9" t="s">
        <v>33</v>
      </c>
      <c r="F1129" s="7" t="s">
        <v>39</v>
      </c>
      <c r="G1129" s="11">
        <v>1</v>
      </c>
      <c r="H1129" s="11">
        <v>1</v>
      </c>
      <c r="I1129" s="14">
        <v>16000.0</v>
      </c>
      <c r="J1129" s="14"/>
      <c r="K1129" s="16">
        <f>IF(I1129&gt;0, J1129/I1129, 0)</f>
        <v>0</v>
      </c>
      <c r="L1129" s="14">
        <v>16000.0</v>
      </c>
      <c r="M1129" s="14"/>
      <c r="N1129" s="14">
        <f>L1129-M1129</f>
        <v>16000</v>
      </c>
      <c r="O1129" s="9" t="s">
        <v>40</v>
      </c>
      <c r="P1129" s="9" t="s">
        <v>41</v>
      </c>
      <c r="Q1129" s="9" t="s">
        <v>42</v>
      </c>
      <c r="R1129" s="7" t="s">
        <v>2127</v>
      </c>
      <c r="S1129" s="7" t="s">
        <v>42</v>
      </c>
    </row>
    <row r="1130" spans="1:19">
      <c r="A1130" s="8">
        <v>1123</v>
      </c>
      <c r="B1130" s="8" t="s">
        <v>1434</v>
      </c>
      <c r="C1130" s="8" t="s">
        <v>1366</v>
      </c>
      <c r="D1130" s="8" t="s">
        <v>652</v>
      </c>
      <c r="E1130" s="8" t="s">
        <v>33</v>
      </c>
      <c r="F1130" s="6" t="s">
        <v>39</v>
      </c>
      <c r="G1130" s="10">
        <v>1</v>
      </c>
      <c r="H1130" s="10">
        <v>1</v>
      </c>
      <c r="I1130" s="13">
        <v>8000.0</v>
      </c>
      <c r="J1130" s="13"/>
      <c r="K1130" s="15">
        <f>IF(I1130&gt;0, J1130/I1130, 0)</f>
        <v>0</v>
      </c>
      <c r="L1130" s="13">
        <v>8000.0</v>
      </c>
      <c r="M1130" s="13"/>
      <c r="N1130" s="13">
        <f>L1130-M1130</f>
        <v>8000</v>
      </c>
      <c r="O1130" s="8" t="s">
        <v>40</v>
      </c>
      <c r="P1130" s="8" t="s">
        <v>41</v>
      </c>
      <c r="Q1130" s="8" t="s">
        <v>42</v>
      </c>
      <c r="R1130" s="6" t="s">
        <v>2116</v>
      </c>
      <c r="S1130" s="6" t="s">
        <v>42</v>
      </c>
    </row>
    <row r="1131" spans="1:19">
      <c r="A1131" s="9">
        <v>1124</v>
      </c>
      <c r="B1131" s="9" t="s">
        <v>1435</v>
      </c>
      <c r="C1131" s="9" t="s">
        <v>1366</v>
      </c>
      <c r="D1131" s="9" t="s">
        <v>652</v>
      </c>
      <c r="E1131" s="9" t="s">
        <v>33</v>
      </c>
      <c r="F1131" s="7" t="s">
        <v>39</v>
      </c>
      <c r="G1131" s="11">
        <v>1</v>
      </c>
      <c r="H1131" s="11">
        <v>1</v>
      </c>
      <c r="I1131" s="14">
        <v>8000.0</v>
      </c>
      <c r="J1131" s="14"/>
      <c r="K1131" s="16">
        <f>IF(I1131&gt;0, J1131/I1131, 0)</f>
        <v>0</v>
      </c>
      <c r="L1131" s="14">
        <v>8000.0</v>
      </c>
      <c r="M1131" s="14"/>
      <c r="N1131" s="14">
        <f>L1131-M1131</f>
        <v>8000</v>
      </c>
      <c r="O1131" s="9" t="s">
        <v>40</v>
      </c>
      <c r="P1131" s="9" t="s">
        <v>41</v>
      </c>
      <c r="Q1131" s="9" t="s">
        <v>42</v>
      </c>
      <c r="R1131" s="7" t="s">
        <v>2121</v>
      </c>
      <c r="S1131" s="7" t="s">
        <v>42</v>
      </c>
    </row>
    <row r="1132" spans="1:19">
      <c r="A1132" s="8">
        <v>1125</v>
      </c>
      <c r="B1132" s="8" t="s">
        <v>1436</v>
      </c>
      <c r="C1132" s="8" t="s">
        <v>1366</v>
      </c>
      <c r="D1132" s="8" t="s">
        <v>652</v>
      </c>
      <c r="E1132" s="8" t="s">
        <v>33</v>
      </c>
      <c r="F1132" s="6" t="s">
        <v>39</v>
      </c>
      <c r="G1132" s="10">
        <v>1</v>
      </c>
      <c r="H1132" s="10">
        <v>2</v>
      </c>
      <c r="I1132" s="13">
        <v>14000.0</v>
      </c>
      <c r="J1132" s="13"/>
      <c r="K1132" s="15">
        <f>IF(I1132&gt;0, J1132/I1132, 0)</f>
        <v>0</v>
      </c>
      <c r="L1132" s="13">
        <v>14000.0</v>
      </c>
      <c r="M1132" s="13"/>
      <c r="N1132" s="13">
        <f>L1132-M1132</f>
        <v>14000</v>
      </c>
      <c r="O1132" s="8" t="s">
        <v>40</v>
      </c>
      <c r="P1132" s="8" t="s">
        <v>41</v>
      </c>
      <c r="Q1132" s="8" t="s">
        <v>42</v>
      </c>
      <c r="R1132" s="6" t="s">
        <v>2117</v>
      </c>
      <c r="S1132" s="6" t="s">
        <v>42</v>
      </c>
    </row>
    <row r="1133" spans="1:19">
      <c r="A1133" s="9">
        <v>1126</v>
      </c>
      <c r="B1133" s="9" t="s">
        <v>1437</v>
      </c>
      <c r="C1133" s="9" t="s">
        <v>1366</v>
      </c>
      <c r="D1133" s="9" t="s">
        <v>652</v>
      </c>
      <c r="E1133" s="9" t="s">
        <v>33</v>
      </c>
      <c r="F1133" s="7" t="s">
        <v>39</v>
      </c>
      <c r="G1133" s="11">
        <v>1</v>
      </c>
      <c r="H1133" s="11">
        <v>1</v>
      </c>
      <c r="I1133" s="14">
        <v>18000.0</v>
      </c>
      <c r="J1133" s="14"/>
      <c r="K1133" s="16">
        <f>IF(I1133&gt;0, J1133/I1133, 0)</f>
        <v>0</v>
      </c>
      <c r="L1133" s="14">
        <v>18000.0</v>
      </c>
      <c r="M1133" s="14"/>
      <c r="N1133" s="14">
        <f>L1133-M1133</f>
        <v>18000</v>
      </c>
      <c r="O1133" s="9" t="s">
        <v>40</v>
      </c>
      <c r="P1133" s="9" t="s">
        <v>41</v>
      </c>
      <c r="Q1133" s="9" t="s">
        <v>42</v>
      </c>
      <c r="R1133" s="7" t="s">
        <v>2174</v>
      </c>
      <c r="S1133" s="7" t="s">
        <v>42</v>
      </c>
    </row>
    <row r="1134" spans="1:19">
      <c r="A1134" s="8">
        <v>1127</v>
      </c>
      <c r="B1134" s="8" t="s">
        <v>1438</v>
      </c>
      <c r="C1134" s="8" t="s">
        <v>1366</v>
      </c>
      <c r="D1134" s="8" t="s">
        <v>652</v>
      </c>
      <c r="E1134" s="8" t="s">
        <v>33</v>
      </c>
      <c r="F1134" s="6" t="s">
        <v>39</v>
      </c>
      <c r="G1134" s="10">
        <v>1</v>
      </c>
      <c r="H1134" s="10">
        <v>1</v>
      </c>
      <c r="I1134" s="13">
        <v>9500.0</v>
      </c>
      <c r="J1134" s="13"/>
      <c r="K1134" s="15">
        <f>IF(I1134&gt;0, J1134/I1134, 0)</f>
        <v>0</v>
      </c>
      <c r="L1134" s="13">
        <v>9500.0</v>
      </c>
      <c r="M1134" s="13"/>
      <c r="N1134" s="13">
        <f>L1134-M1134</f>
        <v>9500</v>
      </c>
      <c r="O1134" s="8" t="s">
        <v>40</v>
      </c>
      <c r="P1134" s="8" t="s">
        <v>41</v>
      </c>
      <c r="Q1134" s="8" t="s">
        <v>42</v>
      </c>
      <c r="R1134" s="6" t="s">
        <v>2135</v>
      </c>
      <c r="S1134" s="6" t="s">
        <v>42</v>
      </c>
    </row>
    <row r="1135" spans="1:19">
      <c r="A1135" s="9">
        <v>1128</v>
      </c>
      <c r="B1135" s="9" t="s">
        <v>1439</v>
      </c>
      <c r="C1135" s="9" t="s">
        <v>1366</v>
      </c>
      <c r="D1135" s="9" t="s">
        <v>652</v>
      </c>
      <c r="E1135" s="9" t="s">
        <v>33</v>
      </c>
      <c r="F1135" s="7" t="s">
        <v>39</v>
      </c>
      <c r="G1135" s="11">
        <v>1</v>
      </c>
      <c r="H1135" s="11">
        <v>1</v>
      </c>
      <c r="I1135" s="14">
        <v>7500.0</v>
      </c>
      <c r="J1135" s="14"/>
      <c r="K1135" s="16">
        <f>IF(I1135&gt;0, J1135/I1135, 0)</f>
        <v>0</v>
      </c>
      <c r="L1135" s="14">
        <v>7500.0</v>
      </c>
      <c r="M1135" s="14"/>
      <c r="N1135" s="14">
        <f>L1135-M1135</f>
        <v>7500</v>
      </c>
      <c r="O1135" s="9" t="s">
        <v>40</v>
      </c>
      <c r="P1135" s="9" t="s">
        <v>41</v>
      </c>
      <c r="Q1135" s="9" t="s">
        <v>42</v>
      </c>
      <c r="R1135" s="7" t="s">
        <v>2077</v>
      </c>
      <c r="S1135" s="7" t="s">
        <v>42</v>
      </c>
    </row>
    <row r="1136" spans="1:19">
      <c r="A1136" s="8">
        <v>1129</v>
      </c>
      <c r="B1136" s="8" t="s">
        <v>1440</v>
      </c>
      <c r="C1136" s="8" t="s">
        <v>1366</v>
      </c>
      <c r="D1136" s="8" t="s">
        <v>652</v>
      </c>
      <c r="E1136" s="8" t="s">
        <v>33</v>
      </c>
      <c r="F1136" s="6" t="s">
        <v>39</v>
      </c>
      <c r="G1136" s="10">
        <v>1</v>
      </c>
      <c r="H1136" s="10">
        <v>1</v>
      </c>
      <c r="I1136" s="13">
        <v>8500.0</v>
      </c>
      <c r="J1136" s="13"/>
      <c r="K1136" s="15">
        <f>IF(I1136&gt;0, J1136/I1136, 0)</f>
        <v>0</v>
      </c>
      <c r="L1136" s="13">
        <v>8500.0</v>
      </c>
      <c r="M1136" s="13"/>
      <c r="N1136" s="13">
        <f>L1136-M1136</f>
        <v>8500</v>
      </c>
      <c r="O1136" s="8" t="s">
        <v>40</v>
      </c>
      <c r="P1136" s="8" t="s">
        <v>41</v>
      </c>
      <c r="Q1136" s="8" t="s">
        <v>42</v>
      </c>
      <c r="R1136" s="6" t="s">
        <v>2076</v>
      </c>
      <c r="S1136" s="6" t="s">
        <v>42</v>
      </c>
    </row>
    <row r="1137" spans="1:19">
      <c r="A1137" s="9">
        <v>1130</v>
      </c>
      <c r="B1137" s="9" t="s">
        <v>1441</v>
      </c>
      <c r="C1137" s="9" t="s">
        <v>1366</v>
      </c>
      <c r="D1137" s="9" t="s">
        <v>652</v>
      </c>
      <c r="E1137" s="9" t="s">
        <v>33</v>
      </c>
      <c r="F1137" s="7" t="s">
        <v>39</v>
      </c>
      <c r="G1137" s="11">
        <v>1</v>
      </c>
      <c r="H1137" s="11">
        <v>1</v>
      </c>
      <c r="I1137" s="14">
        <v>8000.0</v>
      </c>
      <c r="J1137" s="14"/>
      <c r="K1137" s="16">
        <f>IF(I1137&gt;0, J1137/I1137, 0)</f>
        <v>0</v>
      </c>
      <c r="L1137" s="14">
        <v>8000.0</v>
      </c>
      <c r="M1137" s="14"/>
      <c r="N1137" s="14">
        <f>L1137-M1137</f>
        <v>8000</v>
      </c>
      <c r="O1137" s="9" t="s">
        <v>40</v>
      </c>
      <c r="P1137" s="9" t="s">
        <v>41</v>
      </c>
      <c r="Q1137" s="9" t="s">
        <v>42</v>
      </c>
      <c r="R1137" s="7" t="s">
        <v>2122</v>
      </c>
      <c r="S1137" s="7" t="s">
        <v>42</v>
      </c>
    </row>
    <row r="1138" spans="1:19">
      <c r="A1138" s="8">
        <v>1131</v>
      </c>
      <c r="B1138" s="8" t="s">
        <v>1442</v>
      </c>
      <c r="C1138" s="8" t="s">
        <v>1366</v>
      </c>
      <c r="D1138" s="8" t="s">
        <v>652</v>
      </c>
      <c r="E1138" s="8" t="s">
        <v>33</v>
      </c>
      <c r="F1138" s="6" t="s">
        <v>39</v>
      </c>
      <c r="G1138" s="10">
        <v>1</v>
      </c>
      <c r="H1138" s="10">
        <v>1</v>
      </c>
      <c r="I1138" s="13">
        <v>8000.0</v>
      </c>
      <c r="J1138" s="13"/>
      <c r="K1138" s="15">
        <f>IF(I1138&gt;0, J1138/I1138, 0)</f>
        <v>0</v>
      </c>
      <c r="L1138" s="13">
        <v>8000.0</v>
      </c>
      <c r="M1138" s="13"/>
      <c r="N1138" s="13">
        <f>L1138-M1138</f>
        <v>8000</v>
      </c>
      <c r="O1138" s="8" t="s">
        <v>40</v>
      </c>
      <c r="P1138" s="8" t="s">
        <v>41</v>
      </c>
      <c r="Q1138" s="8" t="s">
        <v>42</v>
      </c>
      <c r="R1138" s="6" t="s">
        <v>2189</v>
      </c>
      <c r="S1138" s="6" t="s">
        <v>42</v>
      </c>
    </row>
    <row r="1139" spans="1:19">
      <c r="A1139" s="9">
        <v>1132</v>
      </c>
      <c r="B1139" s="9" t="s">
        <v>1443</v>
      </c>
      <c r="C1139" s="9" t="s">
        <v>1366</v>
      </c>
      <c r="D1139" s="9" t="s">
        <v>652</v>
      </c>
      <c r="E1139" s="9" t="s">
        <v>33</v>
      </c>
      <c r="F1139" s="7" t="s">
        <v>39</v>
      </c>
      <c r="G1139" s="11">
        <v>1</v>
      </c>
      <c r="H1139" s="11">
        <v>2</v>
      </c>
      <c r="I1139" s="14">
        <v>14000.0</v>
      </c>
      <c r="J1139" s="14"/>
      <c r="K1139" s="16">
        <f>IF(I1139&gt;0, J1139/I1139, 0)</f>
        <v>0</v>
      </c>
      <c r="L1139" s="14">
        <v>14000.0</v>
      </c>
      <c r="M1139" s="14"/>
      <c r="N1139" s="14">
        <f>L1139-M1139</f>
        <v>14000</v>
      </c>
      <c r="O1139" s="9" t="s">
        <v>40</v>
      </c>
      <c r="P1139" s="9" t="s">
        <v>41</v>
      </c>
      <c r="Q1139" s="9" t="s">
        <v>42</v>
      </c>
      <c r="R1139" s="7" t="s">
        <v>2198</v>
      </c>
      <c r="S1139" s="7" t="s">
        <v>42</v>
      </c>
    </row>
    <row r="1140" spans="1:19">
      <c r="A1140" s="8">
        <v>1133</v>
      </c>
      <c r="B1140" s="8" t="s">
        <v>1444</v>
      </c>
      <c r="C1140" s="8" t="s">
        <v>1366</v>
      </c>
      <c r="D1140" s="8" t="s">
        <v>652</v>
      </c>
      <c r="E1140" s="8" t="s">
        <v>33</v>
      </c>
      <c r="F1140" s="6" t="s">
        <v>39</v>
      </c>
      <c r="G1140" s="10">
        <v>1</v>
      </c>
      <c r="H1140" s="10">
        <v>2</v>
      </c>
      <c r="I1140" s="13">
        <v>34000.0</v>
      </c>
      <c r="J1140" s="13"/>
      <c r="K1140" s="15">
        <f>IF(I1140&gt;0, J1140/I1140, 0)</f>
        <v>0</v>
      </c>
      <c r="L1140" s="13">
        <v>34000.0</v>
      </c>
      <c r="M1140" s="13"/>
      <c r="N1140" s="13">
        <f>L1140-M1140</f>
        <v>34000</v>
      </c>
      <c r="O1140" s="8" t="s">
        <v>40</v>
      </c>
      <c r="P1140" s="8" t="s">
        <v>41</v>
      </c>
      <c r="Q1140" s="8" t="s">
        <v>42</v>
      </c>
      <c r="R1140" s="6" t="s">
        <v>2229</v>
      </c>
      <c r="S1140" s="6" t="s">
        <v>42</v>
      </c>
    </row>
    <row r="1141" spans="1:19">
      <c r="A1141" s="9">
        <v>1134</v>
      </c>
      <c r="B1141" s="9" t="s">
        <v>1445</v>
      </c>
      <c r="C1141" s="9" t="s">
        <v>1366</v>
      </c>
      <c r="D1141" s="9" t="s">
        <v>652</v>
      </c>
      <c r="E1141" s="9" t="s">
        <v>33</v>
      </c>
      <c r="F1141" s="7" t="s">
        <v>39</v>
      </c>
      <c r="G1141" s="11">
        <v>1</v>
      </c>
      <c r="H1141" s="11">
        <v>2</v>
      </c>
      <c r="I1141" s="14">
        <v>16000.0</v>
      </c>
      <c r="J1141" s="14"/>
      <c r="K1141" s="16">
        <f>IF(I1141&gt;0, J1141/I1141, 0)</f>
        <v>0</v>
      </c>
      <c r="L1141" s="14">
        <v>16000.0</v>
      </c>
      <c r="M1141" s="14"/>
      <c r="N1141" s="14">
        <f>L1141-M1141</f>
        <v>16000</v>
      </c>
      <c r="O1141" s="9" t="s">
        <v>40</v>
      </c>
      <c r="P1141" s="9" t="s">
        <v>41</v>
      </c>
      <c r="Q1141" s="9" t="s">
        <v>42</v>
      </c>
      <c r="R1141" s="7" t="s">
        <v>2199</v>
      </c>
      <c r="S1141" s="7" t="s">
        <v>42</v>
      </c>
    </row>
    <row r="1142" spans="1:19">
      <c r="A1142" s="8">
        <v>1135</v>
      </c>
      <c r="B1142" s="8" t="s">
        <v>1446</v>
      </c>
      <c r="C1142" s="8" t="s">
        <v>1366</v>
      </c>
      <c r="D1142" s="8" t="s">
        <v>652</v>
      </c>
      <c r="E1142" s="8" t="s">
        <v>33</v>
      </c>
      <c r="F1142" s="6" t="s">
        <v>39</v>
      </c>
      <c r="G1142" s="10">
        <v>1</v>
      </c>
      <c r="H1142" s="10">
        <v>2</v>
      </c>
      <c r="I1142" s="13">
        <v>14000.0</v>
      </c>
      <c r="J1142" s="13"/>
      <c r="K1142" s="15">
        <f>IF(I1142&gt;0, J1142/I1142, 0)</f>
        <v>0</v>
      </c>
      <c r="L1142" s="13">
        <v>14000.0</v>
      </c>
      <c r="M1142" s="13"/>
      <c r="N1142" s="13">
        <f>L1142-M1142</f>
        <v>14000</v>
      </c>
      <c r="O1142" s="8" t="s">
        <v>40</v>
      </c>
      <c r="P1142" s="8" t="s">
        <v>41</v>
      </c>
      <c r="Q1142" s="8" t="s">
        <v>42</v>
      </c>
      <c r="R1142" s="6" t="s">
        <v>2168</v>
      </c>
      <c r="S1142" s="6" t="s">
        <v>42</v>
      </c>
    </row>
    <row r="1143" spans="1:19">
      <c r="A1143" s="9">
        <v>1136</v>
      </c>
      <c r="B1143" s="9" t="s">
        <v>1447</v>
      </c>
      <c r="C1143" s="9" t="s">
        <v>1366</v>
      </c>
      <c r="D1143" s="9" t="s">
        <v>652</v>
      </c>
      <c r="E1143" s="9" t="s">
        <v>33</v>
      </c>
      <c r="F1143" s="7" t="s">
        <v>39</v>
      </c>
      <c r="G1143" s="11">
        <v>1</v>
      </c>
      <c r="H1143" s="11">
        <v>2</v>
      </c>
      <c r="I1143" s="14">
        <v>14000.0</v>
      </c>
      <c r="J1143" s="14"/>
      <c r="K1143" s="16">
        <f>IF(I1143&gt;0, J1143/I1143, 0)</f>
        <v>0</v>
      </c>
      <c r="L1143" s="14">
        <v>14000.0</v>
      </c>
      <c r="M1143" s="14"/>
      <c r="N1143" s="14">
        <f>L1143-M1143</f>
        <v>14000</v>
      </c>
      <c r="O1143" s="9" t="s">
        <v>40</v>
      </c>
      <c r="P1143" s="9" t="s">
        <v>41</v>
      </c>
      <c r="Q1143" s="9" t="s">
        <v>42</v>
      </c>
      <c r="R1143" s="7" t="s">
        <v>2198</v>
      </c>
      <c r="S1143" s="7" t="s">
        <v>42</v>
      </c>
    </row>
    <row r="1144" spans="1:19">
      <c r="A1144" s="8">
        <v>1137</v>
      </c>
      <c r="B1144" s="8" t="s">
        <v>1448</v>
      </c>
      <c r="C1144" s="8" t="s">
        <v>1366</v>
      </c>
      <c r="D1144" s="8" t="s">
        <v>652</v>
      </c>
      <c r="E1144" s="8" t="s">
        <v>33</v>
      </c>
      <c r="F1144" s="6" t="s">
        <v>39</v>
      </c>
      <c r="G1144" s="10">
        <v>1</v>
      </c>
      <c r="H1144" s="10">
        <v>1</v>
      </c>
      <c r="I1144" s="13">
        <v>7000.0</v>
      </c>
      <c r="J1144" s="13"/>
      <c r="K1144" s="15">
        <f>IF(I1144&gt;0, J1144/I1144, 0)</f>
        <v>0</v>
      </c>
      <c r="L1144" s="13">
        <v>7000.0</v>
      </c>
      <c r="M1144" s="13"/>
      <c r="N1144" s="13">
        <f>L1144-M1144</f>
        <v>7000</v>
      </c>
      <c r="O1144" s="8" t="s">
        <v>40</v>
      </c>
      <c r="P1144" s="8" t="s">
        <v>41</v>
      </c>
      <c r="Q1144" s="8" t="s">
        <v>42</v>
      </c>
      <c r="R1144" s="6" t="s">
        <v>2194</v>
      </c>
      <c r="S1144" s="6" t="s">
        <v>42</v>
      </c>
    </row>
    <row r="1145" spans="1:19">
      <c r="A1145" s="9">
        <v>1138</v>
      </c>
      <c r="B1145" s="9" t="s">
        <v>1449</v>
      </c>
      <c r="C1145" s="9" t="s">
        <v>1450</v>
      </c>
      <c r="D1145" s="9" t="s">
        <v>652</v>
      </c>
      <c r="E1145" s="9" t="s">
        <v>33</v>
      </c>
      <c r="F1145" s="7" t="s">
        <v>39</v>
      </c>
      <c r="G1145" s="11">
        <v>1</v>
      </c>
      <c r="H1145" s="11">
        <v>2</v>
      </c>
      <c r="I1145" s="14">
        <v>14000.0</v>
      </c>
      <c r="J1145" s="14"/>
      <c r="K1145" s="16">
        <f>IF(I1145&gt;0, J1145/I1145, 0)</f>
        <v>0</v>
      </c>
      <c r="L1145" s="14">
        <v>14000.0</v>
      </c>
      <c r="M1145" s="14"/>
      <c r="N1145" s="14">
        <f>L1145-M1145</f>
        <v>14000</v>
      </c>
      <c r="O1145" s="9" t="s">
        <v>40</v>
      </c>
      <c r="P1145" s="9" t="s">
        <v>41</v>
      </c>
      <c r="Q1145" s="9" t="s">
        <v>42</v>
      </c>
      <c r="R1145" s="7" t="s">
        <v>2098</v>
      </c>
      <c r="S1145" s="7" t="s">
        <v>42</v>
      </c>
    </row>
    <row r="1146" spans="1:19">
      <c r="A1146" s="8">
        <v>1139</v>
      </c>
      <c r="B1146" s="8" t="s">
        <v>1451</v>
      </c>
      <c r="C1146" s="8" t="s">
        <v>1450</v>
      </c>
      <c r="D1146" s="8" t="s">
        <v>652</v>
      </c>
      <c r="E1146" s="8" t="s">
        <v>33</v>
      </c>
      <c r="F1146" s="6" t="s">
        <v>39</v>
      </c>
      <c r="G1146" s="10">
        <v>1</v>
      </c>
      <c r="H1146" s="10">
        <v>1</v>
      </c>
      <c r="I1146" s="13">
        <v>8000.0</v>
      </c>
      <c r="J1146" s="13"/>
      <c r="K1146" s="15">
        <f>IF(I1146&gt;0, J1146/I1146, 0)</f>
        <v>0</v>
      </c>
      <c r="L1146" s="13">
        <v>8000.0</v>
      </c>
      <c r="M1146" s="13"/>
      <c r="N1146" s="13">
        <f>L1146-M1146</f>
        <v>8000</v>
      </c>
      <c r="O1146" s="8" t="s">
        <v>40</v>
      </c>
      <c r="P1146" s="8" t="s">
        <v>41</v>
      </c>
      <c r="Q1146" s="8" t="s">
        <v>42</v>
      </c>
      <c r="R1146" s="6" t="s">
        <v>2074</v>
      </c>
      <c r="S1146" s="6" t="s">
        <v>42</v>
      </c>
    </row>
    <row r="1147" spans="1:19">
      <c r="A1147" s="9">
        <v>1140</v>
      </c>
      <c r="B1147" s="9" t="s">
        <v>1452</v>
      </c>
      <c r="C1147" s="9" t="s">
        <v>1450</v>
      </c>
      <c r="D1147" s="9" t="s">
        <v>652</v>
      </c>
      <c r="E1147" s="9" t="s">
        <v>33</v>
      </c>
      <c r="F1147" s="7" t="s">
        <v>39</v>
      </c>
      <c r="G1147" s="11">
        <v>1</v>
      </c>
      <c r="H1147" s="11">
        <v>2</v>
      </c>
      <c r="I1147" s="14">
        <v>14000.0</v>
      </c>
      <c r="J1147" s="14"/>
      <c r="K1147" s="16">
        <f>IF(I1147&gt;0, J1147/I1147, 0)</f>
        <v>0</v>
      </c>
      <c r="L1147" s="14">
        <v>14000.0</v>
      </c>
      <c r="M1147" s="14"/>
      <c r="N1147" s="14">
        <f>L1147-M1147</f>
        <v>14000</v>
      </c>
      <c r="O1147" s="9" t="s">
        <v>40</v>
      </c>
      <c r="P1147" s="9" t="s">
        <v>41</v>
      </c>
      <c r="Q1147" s="9" t="s">
        <v>42</v>
      </c>
      <c r="R1147" s="7" t="s">
        <v>2192</v>
      </c>
      <c r="S1147" s="7" t="s">
        <v>42</v>
      </c>
    </row>
    <row r="1148" spans="1:19">
      <c r="A1148" s="8">
        <v>1141</v>
      </c>
      <c r="B1148" s="8" t="s">
        <v>1453</v>
      </c>
      <c r="C1148" s="8" t="s">
        <v>1450</v>
      </c>
      <c r="D1148" s="8" t="s">
        <v>652</v>
      </c>
      <c r="E1148" s="8" t="s">
        <v>33</v>
      </c>
      <c r="F1148" s="6" t="s">
        <v>39</v>
      </c>
      <c r="G1148" s="10">
        <v>1</v>
      </c>
      <c r="H1148" s="10">
        <v>1</v>
      </c>
      <c r="I1148" s="13">
        <v>7000.0</v>
      </c>
      <c r="J1148" s="13"/>
      <c r="K1148" s="15">
        <f>IF(I1148&gt;0, J1148/I1148, 0)</f>
        <v>0</v>
      </c>
      <c r="L1148" s="13">
        <v>7000.0</v>
      </c>
      <c r="M1148" s="13"/>
      <c r="N1148" s="13">
        <f>L1148-M1148</f>
        <v>7000</v>
      </c>
      <c r="O1148" s="8" t="s">
        <v>40</v>
      </c>
      <c r="P1148" s="8" t="s">
        <v>41</v>
      </c>
      <c r="Q1148" s="8" t="s">
        <v>42</v>
      </c>
      <c r="R1148" s="6" t="s">
        <v>2261</v>
      </c>
      <c r="S1148" s="6" t="s">
        <v>42</v>
      </c>
    </row>
    <row r="1149" spans="1:19">
      <c r="A1149" s="9">
        <v>1142</v>
      </c>
      <c r="B1149" s="9" t="s">
        <v>1455</v>
      </c>
      <c r="C1149" s="9" t="s">
        <v>1450</v>
      </c>
      <c r="D1149" s="9" t="s">
        <v>652</v>
      </c>
      <c r="E1149" s="9" t="s">
        <v>33</v>
      </c>
      <c r="F1149" s="7" t="s">
        <v>39</v>
      </c>
      <c r="G1149" s="11">
        <v>1</v>
      </c>
      <c r="H1149" s="11">
        <v>1</v>
      </c>
      <c r="I1149" s="14">
        <v>16000.0</v>
      </c>
      <c r="J1149" s="14"/>
      <c r="K1149" s="16">
        <f>IF(I1149&gt;0, J1149/I1149, 0)</f>
        <v>0</v>
      </c>
      <c r="L1149" s="14">
        <v>16000.0</v>
      </c>
      <c r="M1149" s="14"/>
      <c r="N1149" s="14">
        <f>L1149-M1149</f>
        <v>16000</v>
      </c>
      <c r="O1149" s="9" t="s">
        <v>40</v>
      </c>
      <c r="P1149" s="9" t="s">
        <v>41</v>
      </c>
      <c r="Q1149" s="9" t="s">
        <v>42</v>
      </c>
      <c r="R1149" s="7" t="s">
        <v>2086</v>
      </c>
      <c r="S1149" s="7" t="s">
        <v>42</v>
      </c>
    </row>
    <row r="1150" spans="1:19">
      <c r="A1150" s="8">
        <v>1143</v>
      </c>
      <c r="B1150" s="8" t="s">
        <v>1456</v>
      </c>
      <c r="C1150" s="8" t="s">
        <v>1450</v>
      </c>
      <c r="D1150" s="8" t="s">
        <v>652</v>
      </c>
      <c r="E1150" s="8" t="s">
        <v>33</v>
      </c>
      <c r="F1150" s="6" t="s">
        <v>39</v>
      </c>
      <c r="G1150" s="10">
        <v>1</v>
      </c>
      <c r="H1150" s="10">
        <v>1</v>
      </c>
      <c r="I1150" s="13">
        <v>7000.0</v>
      </c>
      <c r="J1150" s="13"/>
      <c r="K1150" s="15">
        <f>IF(I1150&gt;0, J1150/I1150, 0)</f>
        <v>0</v>
      </c>
      <c r="L1150" s="13">
        <v>7000.0</v>
      </c>
      <c r="M1150" s="13"/>
      <c r="N1150" s="13">
        <f>L1150-M1150</f>
        <v>7000</v>
      </c>
      <c r="O1150" s="8" t="s">
        <v>40</v>
      </c>
      <c r="P1150" s="8" t="s">
        <v>41</v>
      </c>
      <c r="Q1150" s="8" t="s">
        <v>42</v>
      </c>
      <c r="R1150" s="6" t="s">
        <v>2088</v>
      </c>
      <c r="S1150" s="6" t="s">
        <v>42</v>
      </c>
    </row>
    <row r="1151" spans="1:19">
      <c r="A1151" s="9">
        <v>1144</v>
      </c>
      <c r="B1151" s="9" t="s">
        <v>1457</v>
      </c>
      <c r="C1151" s="9" t="s">
        <v>1450</v>
      </c>
      <c r="D1151" s="9" t="s">
        <v>652</v>
      </c>
      <c r="E1151" s="9" t="s">
        <v>33</v>
      </c>
      <c r="F1151" s="7" t="s">
        <v>39</v>
      </c>
      <c r="G1151" s="11">
        <v>1</v>
      </c>
      <c r="H1151" s="11">
        <v>2</v>
      </c>
      <c r="I1151" s="14">
        <v>17000.0</v>
      </c>
      <c r="J1151" s="14"/>
      <c r="K1151" s="16">
        <f>IF(I1151&gt;0, J1151/I1151, 0)</f>
        <v>0</v>
      </c>
      <c r="L1151" s="14">
        <v>17000.0</v>
      </c>
      <c r="M1151" s="14"/>
      <c r="N1151" s="14">
        <f>L1151-M1151</f>
        <v>17000</v>
      </c>
      <c r="O1151" s="9" t="s">
        <v>40</v>
      </c>
      <c r="P1151" s="9" t="s">
        <v>41</v>
      </c>
      <c r="Q1151" s="9" t="s">
        <v>42</v>
      </c>
      <c r="R1151" s="7" t="s">
        <v>2207</v>
      </c>
      <c r="S1151" s="7" t="s">
        <v>42</v>
      </c>
    </row>
    <row r="1152" spans="1:19">
      <c r="A1152" s="8">
        <v>1145</v>
      </c>
      <c r="B1152" s="8" t="s">
        <v>1458</v>
      </c>
      <c r="C1152" s="8" t="s">
        <v>1450</v>
      </c>
      <c r="D1152" s="8" t="s">
        <v>652</v>
      </c>
      <c r="E1152" s="8" t="s">
        <v>33</v>
      </c>
      <c r="F1152" s="6" t="s">
        <v>39</v>
      </c>
      <c r="G1152" s="10">
        <v>1</v>
      </c>
      <c r="H1152" s="10">
        <v>2</v>
      </c>
      <c r="I1152" s="13">
        <v>33000.0</v>
      </c>
      <c r="J1152" s="13"/>
      <c r="K1152" s="15">
        <f>IF(I1152&gt;0, J1152/I1152, 0)</f>
        <v>0</v>
      </c>
      <c r="L1152" s="13">
        <v>33000.0</v>
      </c>
      <c r="M1152" s="13"/>
      <c r="N1152" s="13">
        <f>L1152-M1152</f>
        <v>33000</v>
      </c>
      <c r="O1152" s="8" t="s">
        <v>40</v>
      </c>
      <c r="P1152" s="8" t="s">
        <v>41</v>
      </c>
      <c r="Q1152" s="8" t="s">
        <v>42</v>
      </c>
      <c r="R1152" s="6" t="s">
        <v>2262</v>
      </c>
      <c r="S1152" s="6" t="s">
        <v>42</v>
      </c>
    </row>
    <row r="1153" spans="1:19">
      <c r="A1153" s="9">
        <v>1146</v>
      </c>
      <c r="B1153" s="9" t="s">
        <v>1459</v>
      </c>
      <c r="C1153" s="9" t="s">
        <v>1450</v>
      </c>
      <c r="D1153" s="9" t="s">
        <v>652</v>
      </c>
      <c r="E1153" s="9" t="s">
        <v>33</v>
      </c>
      <c r="F1153" s="7" t="s">
        <v>39</v>
      </c>
      <c r="G1153" s="11">
        <v>1</v>
      </c>
      <c r="H1153" s="11">
        <v>2</v>
      </c>
      <c r="I1153" s="14">
        <v>18000.0</v>
      </c>
      <c r="J1153" s="14"/>
      <c r="K1153" s="16">
        <f>IF(I1153&gt;0, J1153/I1153, 0)</f>
        <v>0</v>
      </c>
      <c r="L1153" s="14">
        <v>18000.0</v>
      </c>
      <c r="M1153" s="14"/>
      <c r="N1153" s="14">
        <f>L1153-M1153</f>
        <v>18000</v>
      </c>
      <c r="O1153" s="9" t="s">
        <v>40</v>
      </c>
      <c r="P1153" s="9" t="s">
        <v>41</v>
      </c>
      <c r="Q1153" s="9" t="s">
        <v>42</v>
      </c>
      <c r="R1153" s="7" t="s">
        <v>2221</v>
      </c>
      <c r="S1153" s="7" t="s">
        <v>42</v>
      </c>
    </row>
    <row r="1154" spans="1:19">
      <c r="A1154" s="8">
        <v>1147</v>
      </c>
      <c r="B1154" s="8" t="s">
        <v>1460</v>
      </c>
      <c r="C1154" s="8" t="s">
        <v>1450</v>
      </c>
      <c r="D1154" s="8" t="s">
        <v>652</v>
      </c>
      <c r="E1154" s="8" t="s">
        <v>33</v>
      </c>
      <c r="F1154" s="6" t="s">
        <v>39</v>
      </c>
      <c r="G1154" s="10">
        <v>1</v>
      </c>
      <c r="H1154" s="10">
        <v>3</v>
      </c>
      <c r="I1154" s="13">
        <v>24000.0</v>
      </c>
      <c r="J1154" s="13"/>
      <c r="K1154" s="15">
        <f>IF(I1154&gt;0, J1154/I1154, 0)</f>
        <v>0</v>
      </c>
      <c r="L1154" s="13">
        <v>24000.0</v>
      </c>
      <c r="M1154" s="13"/>
      <c r="N1154" s="13">
        <f>L1154-M1154</f>
        <v>24000</v>
      </c>
      <c r="O1154" s="8" t="s">
        <v>40</v>
      </c>
      <c r="P1154" s="8" t="s">
        <v>41</v>
      </c>
      <c r="Q1154" s="8" t="s">
        <v>42</v>
      </c>
      <c r="R1154" s="6" t="s">
        <v>2263</v>
      </c>
      <c r="S1154" s="6" t="s">
        <v>42</v>
      </c>
    </row>
    <row r="1155" spans="1:19">
      <c r="A1155" s="9">
        <v>1148</v>
      </c>
      <c r="B1155" s="9" t="s">
        <v>1461</v>
      </c>
      <c r="C1155" s="9" t="s">
        <v>1450</v>
      </c>
      <c r="D1155" s="9" t="s">
        <v>652</v>
      </c>
      <c r="E1155" s="9" t="s">
        <v>68</v>
      </c>
      <c r="F1155" s="7" t="s">
        <v>39</v>
      </c>
      <c r="G1155" s="11">
        <v>1</v>
      </c>
      <c r="H1155" s="11">
        <v>1</v>
      </c>
      <c r="I1155" s="14">
        <v>18000.0</v>
      </c>
      <c r="J1155" s="14"/>
      <c r="K1155" s="16">
        <f>IF(I1155&gt;0, J1155/I1155, 0)</f>
        <v>0</v>
      </c>
      <c r="L1155" s="14">
        <v>18000.0</v>
      </c>
      <c r="M1155" s="14"/>
      <c r="N1155" s="14">
        <f>L1155-M1155</f>
        <v>18000</v>
      </c>
      <c r="O1155" s="9" t="s">
        <v>40</v>
      </c>
      <c r="P1155" s="9" t="s">
        <v>71</v>
      </c>
      <c r="Q1155" s="9" t="s">
        <v>42</v>
      </c>
      <c r="R1155" s="7" t="s">
        <v>2106</v>
      </c>
      <c r="S1155" s="7" t="s">
        <v>42</v>
      </c>
    </row>
    <row r="1156" spans="1:19">
      <c r="A1156" s="8">
        <v>1149</v>
      </c>
      <c r="B1156" s="8" t="s">
        <v>1462</v>
      </c>
      <c r="C1156" s="8" t="s">
        <v>1450</v>
      </c>
      <c r="D1156" s="8" t="s">
        <v>652</v>
      </c>
      <c r="E1156" s="8" t="s">
        <v>33</v>
      </c>
      <c r="F1156" s="6" t="s">
        <v>39</v>
      </c>
      <c r="G1156" s="10">
        <v>1</v>
      </c>
      <c r="H1156" s="10">
        <v>1</v>
      </c>
      <c r="I1156" s="13">
        <v>7500.0</v>
      </c>
      <c r="J1156" s="13"/>
      <c r="K1156" s="15">
        <f>IF(I1156&gt;0, J1156/I1156, 0)</f>
        <v>0</v>
      </c>
      <c r="L1156" s="13">
        <v>7500.0</v>
      </c>
      <c r="M1156" s="13"/>
      <c r="N1156" s="13">
        <f>L1156-M1156</f>
        <v>7500</v>
      </c>
      <c r="O1156" s="8" t="s">
        <v>40</v>
      </c>
      <c r="P1156" s="8" t="s">
        <v>41</v>
      </c>
      <c r="Q1156" s="8" t="s">
        <v>42</v>
      </c>
      <c r="R1156" s="6" t="s">
        <v>2128</v>
      </c>
      <c r="S1156" s="6" t="s">
        <v>42</v>
      </c>
    </row>
    <row r="1157" spans="1:19">
      <c r="A1157" s="9">
        <v>1150</v>
      </c>
      <c r="B1157" s="9" t="s">
        <v>1463</v>
      </c>
      <c r="C1157" s="9" t="s">
        <v>1450</v>
      </c>
      <c r="D1157" s="9" t="s">
        <v>652</v>
      </c>
      <c r="E1157" s="9" t="s">
        <v>33</v>
      </c>
      <c r="F1157" s="7" t="s">
        <v>39</v>
      </c>
      <c r="G1157" s="11">
        <v>1</v>
      </c>
      <c r="H1157" s="11">
        <v>1</v>
      </c>
      <c r="I1157" s="14">
        <v>8500.0</v>
      </c>
      <c r="J1157" s="14"/>
      <c r="K1157" s="16">
        <f>IF(I1157&gt;0, J1157/I1157, 0)</f>
        <v>0</v>
      </c>
      <c r="L1157" s="14">
        <v>8500.0</v>
      </c>
      <c r="M1157" s="14"/>
      <c r="N1157" s="14">
        <f>L1157-M1157</f>
        <v>8500</v>
      </c>
      <c r="O1157" s="9" t="s">
        <v>40</v>
      </c>
      <c r="P1157" s="9" t="s">
        <v>41</v>
      </c>
      <c r="Q1157" s="9" t="s">
        <v>42</v>
      </c>
      <c r="R1157" s="7" t="s">
        <v>2076</v>
      </c>
      <c r="S1157" s="7" t="s">
        <v>42</v>
      </c>
    </row>
    <row r="1158" spans="1:19">
      <c r="A1158" s="8">
        <v>1151</v>
      </c>
      <c r="B1158" s="8" t="s">
        <v>1464</v>
      </c>
      <c r="C1158" s="8" t="s">
        <v>1450</v>
      </c>
      <c r="D1158" s="8" t="s">
        <v>652</v>
      </c>
      <c r="E1158" s="8" t="s">
        <v>33</v>
      </c>
      <c r="F1158" s="6" t="s">
        <v>39</v>
      </c>
      <c r="G1158" s="10">
        <v>1</v>
      </c>
      <c r="H1158" s="10">
        <v>2</v>
      </c>
      <c r="I1158" s="13">
        <v>33000.0</v>
      </c>
      <c r="J1158" s="13"/>
      <c r="K1158" s="15">
        <f>IF(I1158&gt;0, J1158/I1158, 0)</f>
        <v>0</v>
      </c>
      <c r="L1158" s="13">
        <v>33000.0</v>
      </c>
      <c r="M1158" s="13"/>
      <c r="N1158" s="13">
        <f>L1158-M1158</f>
        <v>33000</v>
      </c>
      <c r="O1158" s="8" t="s">
        <v>40</v>
      </c>
      <c r="P1158" s="8" t="s">
        <v>41</v>
      </c>
      <c r="Q1158" s="8" t="s">
        <v>42</v>
      </c>
      <c r="R1158" s="6" t="s">
        <v>2262</v>
      </c>
      <c r="S1158" s="6" t="s">
        <v>42</v>
      </c>
    </row>
    <row r="1159" spans="1:19">
      <c r="A1159" s="9">
        <v>1152</v>
      </c>
      <c r="B1159" s="9" t="s">
        <v>1465</v>
      </c>
      <c r="C1159" s="9" t="s">
        <v>1450</v>
      </c>
      <c r="D1159" s="9" t="s">
        <v>652</v>
      </c>
      <c r="E1159" s="9" t="s">
        <v>33</v>
      </c>
      <c r="F1159" s="7" t="s">
        <v>39</v>
      </c>
      <c r="G1159" s="11">
        <v>1</v>
      </c>
      <c r="H1159" s="11">
        <v>1</v>
      </c>
      <c r="I1159" s="14">
        <v>18000.0</v>
      </c>
      <c r="J1159" s="14"/>
      <c r="K1159" s="16">
        <f>IF(I1159&gt;0, J1159/I1159, 0)</f>
        <v>0</v>
      </c>
      <c r="L1159" s="14">
        <v>18000.0</v>
      </c>
      <c r="M1159" s="14"/>
      <c r="N1159" s="14">
        <f>L1159-M1159</f>
        <v>18000</v>
      </c>
      <c r="O1159" s="9" t="s">
        <v>40</v>
      </c>
      <c r="P1159" s="9" t="s">
        <v>41</v>
      </c>
      <c r="Q1159" s="9" t="s">
        <v>42</v>
      </c>
      <c r="R1159" s="7" t="s">
        <v>2119</v>
      </c>
      <c r="S1159" s="7" t="s">
        <v>42</v>
      </c>
    </row>
    <row r="1160" spans="1:19">
      <c r="A1160" s="8">
        <v>1153</v>
      </c>
      <c r="B1160" s="8" t="s">
        <v>1466</v>
      </c>
      <c r="C1160" s="8" t="s">
        <v>1450</v>
      </c>
      <c r="D1160" s="8" t="s">
        <v>652</v>
      </c>
      <c r="E1160" s="8" t="s">
        <v>33</v>
      </c>
      <c r="F1160" s="6" t="s">
        <v>39</v>
      </c>
      <c r="G1160" s="10">
        <v>1</v>
      </c>
      <c r="H1160" s="10">
        <v>2</v>
      </c>
      <c r="I1160" s="13">
        <v>18000.0</v>
      </c>
      <c r="J1160" s="13"/>
      <c r="K1160" s="15">
        <f>IF(I1160&gt;0, J1160/I1160, 0)</f>
        <v>0</v>
      </c>
      <c r="L1160" s="13">
        <v>18000.0</v>
      </c>
      <c r="M1160" s="13"/>
      <c r="N1160" s="13">
        <f>L1160-M1160</f>
        <v>18000</v>
      </c>
      <c r="O1160" s="8" t="s">
        <v>40</v>
      </c>
      <c r="P1160" s="8" t="s">
        <v>41</v>
      </c>
      <c r="Q1160" s="8" t="s">
        <v>42</v>
      </c>
      <c r="R1160" s="6" t="s">
        <v>2210</v>
      </c>
      <c r="S1160" s="6" t="s">
        <v>42</v>
      </c>
    </row>
    <row r="1161" spans="1:19">
      <c r="A1161" s="9">
        <v>1154</v>
      </c>
      <c r="B1161" s="9" t="s">
        <v>1467</v>
      </c>
      <c r="C1161" s="9" t="s">
        <v>1450</v>
      </c>
      <c r="D1161" s="9" t="s">
        <v>652</v>
      </c>
      <c r="E1161" s="9" t="s">
        <v>33</v>
      </c>
      <c r="F1161" s="7" t="s">
        <v>39</v>
      </c>
      <c r="G1161" s="11">
        <v>1</v>
      </c>
      <c r="H1161" s="11">
        <v>3</v>
      </c>
      <c r="I1161" s="14">
        <v>24000.0</v>
      </c>
      <c r="J1161" s="14"/>
      <c r="K1161" s="16">
        <f>IF(I1161&gt;0, J1161/I1161, 0)</f>
        <v>0</v>
      </c>
      <c r="L1161" s="14">
        <v>24000.0</v>
      </c>
      <c r="M1161" s="14"/>
      <c r="N1161" s="14">
        <f>L1161-M1161</f>
        <v>24000</v>
      </c>
      <c r="O1161" s="9" t="s">
        <v>40</v>
      </c>
      <c r="P1161" s="9" t="s">
        <v>41</v>
      </c>
      <c r="Q1161" s="9" t="s">
        <v>42</v>
      </c>
      <c r="R1161" s="7" t="s">
        <v>2256</v>
      </c>
      <c r="S1161" s="7" t="s">
        <v>42</v>
      </c>
    </row>
    <row r="1162" spans="1:19">
      <c r="A1162" s="8">
        <v>1155</v>
      </c>
      <c r="B1162" s="8" t="s">
        <v>1468</v>
      </c>
      <c r="C1162" s="8" t="s">
        <v>1450</v>
      </c>
      <c r="D1162" s="8" t="s">
        <v>652</v>
      </c>
      <c r="E1162" s="8" t="s">
        <v>33</v>
      </c>
      <c r="F1162" s="6" t="s">
        <v>39</v>
      </c>
      <c r="G1162" s="10">
        <v>1</v>
      </c>
      <c r="H1162" s="10">
        <v>1</v>
      </c>
      <c r="I1162" s="13">
        <v>17000.0</v>
      </c>
      <c r="J1162" s="13"/>
      <c r="K1162" s="15">
        <f>IF(I1162&gt;0, J1162/I1162, 0)</f>
        <v>0</v>
      </c>
      <c r="L1162" s="13">
        <v>17000.0</v>
      </c>
      <c r="M1162" s="13"/>
      <c r="N1162" s="13">
        <f>L1162-M1162</f>
        <v>17000</v>
      </c>
      <c r="O1162" s="8" t="s">
        <v>40</v>
      </c>
      <c r="P1162" s="8" t="s">
        <v>41</v>
      </c>
      <c r="Q1162" s="8" t="s">
        <v>42</v>
      </c>
      <c r="R1162" s="6" t="s">
        <v>2126</v>
      </c>
      <c r="S1162" s="6" t="s">
        <v>42</v>
      </c>
    </row>
    <row r="1163" spans="1:19">
      <c r="A1163" s="9">
        <v>1156</v>
      </c>
      <c r="B1163" s="9" t="s">
        <v>1469</v>
      </c>
      <c r="C1163" s="9" t="s">
        <v>1450</v>
      </c>
      <c r="D1163" s="9" t="s">
        <v>652</v>
      </c>
      <c r="E1163" s="9" t="s">
        <v>33</v>
      </c>
      <c r="F1163" s="7" t="s">
        <v>39</v>
      </c>
      <c r="G1163" s="11">
        <v>1</v>
      </c>
      <c r="H1163" s="11">
        <v>2</v>
      </c>
      <c r="I1163" s="14">
        <v>16000.0</v>
      </c>
      <c r="J1163" s="14"/>
      <c r="K1163" s="16">
        <f>IF(I1163&gt;0, J1163/I1163, 0)</f>
        <v>0</v>
      </c>
      <c r="L1163" s="14">
        <v>16000.0</v>
      </c>
      <c r="M1163" s="14"/>
      <c r="N1163" s="14">
        <f>L1163-M1163</f>
        <v>16000</v>
      </c>
      <c r="O1163" s="9" t="s">
        <v>40</v>
      </c>
      <c r="P1163" s="9" t="s">
        <v>41</v>
      </c>
      <c r="Q1163" s="9" t="s">
        <v>42</v>
      </c>
      <c r="R1163" s="7" t="s">
        <v>2264</v>
      </c>
      <c r="S1163" s="7" t="s">
        <v>42</v>
      </c>
    </row>
    <row r="1164" spans="1:19">
      <c r="A1164" s="8">
        <v>1157</v>
      </c>
      <c r="B1164" s="8" t="s">
        <v>1470</v>
      </c>
      <c r="C1164" s="8" t="s">
        <v>1450</v>
      </c>
      <c r="D1164" s="8" t="s">
        <v>652</v>
      </c>
      <c r="E1164" s="8" t="s">
        <v>33</v>
      </c>
      <c r="F1164" s="6" t="s">
        <v>39</v>
      </c>
      <c r="G1164" s="10">
        <v>1</v>
      </c>
      <c r="H1164" s="10">
        <v>1</v>
      </c>
      <c r="I1164" s="13">
        <v>18000.0</v>
      </c>
      <c r="J1164" s="13"/>
      <c r="K1164" s="15">
        <f>IF(I1164&gt;0, J1164/I1164, 0)</f>
        <v>0</v>
      </c>
      <c r="L1164" s="13">
        <v>18000.0</v>
      </c>
      <c r="M1164" s="13"/>
      <c r="N1164" s="13">
        <f>L1164-M1164</f>
        <v>18000</v>
      </c>
      <c r="O1164" s="8" t="s">
        <v>40</v>
      </c>
      <c r="P1164" s="8" t="s">
        <v>41</v>
      </c>
      <c r="Q1164" s="8" t="s">
        <v>42</v>
      </c>
      <c r="R1164" s="6" t="s">
        <v>2075</v>
      </c>
      <c r="S1164" s="6" t="s">
        <v>42</v>
      </c>
    </row>
    <row r="1165" spans="1:19">
      <c r="A1165" s="9">
        <v>1158</v>
      </c>
      <c r="B1165" s="9" t="s">
        <v>1471</v>
      </c>
      <c r="C1165" s="9" t="s">
        <v>1450</v>
      </c>
      <c r="D1165" s="9" t="s">
        <v>652</v>
      </c>
      <c r="E1165" s="9" t="s">
        <v>33</v>
      </c>
      <c r="F1165" s="7" t="s">
        <v>39</v>
      </c>
      <c r="G1165" s="11">
        <v>1</v>
      </c>
      <c r="H1165" s="11">
        <v>2</v>
      </c>
      <c r="I1165" s="14">
        <v>14000.0</v>
      </c>
      <c r="J1165" s="14"/>
      <c r="K1165" s="16">
        <f>IF(I1165&gt;0, J1165/I1165, 0)</f>
        <v>0</v>
      </c>
      <c r="L1165" s="14">
        <v>14000.0</v>
      </c>
      <c r="M1165" s="14"/>
      <c r="N1165" s="14">
        <f>L1165-M1165</f>
        <v>14000</v>
      </c>
      <c r="O1165" s="9" t="s">
        <v>40</v>
      </c>
      <c r="P1165" s="9" t="s">
        <v>41</v>
      </c>
      <c r="Q1165" s="9" t="s">
        <v>42</v>
      </c>
      <c r="R1165" s="7" t="s">
        <v>2265</v>
      </c>
      <c r="S1165" s="7" t="s">
        <v>42</v>
      </c>
    </row>
    <row r="1166" spans="1:19">
      <c r="A1166" s="8">
        <v>1159</v>
      </c>
      <c r="B1166" s="8" t="s">
        <v>1472</v>
      </c>
      <c r="C1166" s="8" t="s">
        <v>1450</v>
      </c>
      <c r="D1166" s="8" t="s">
        <v>652</v>
      </c>
      <c r="E1166" s="8" t="s">
        <v>33</v>
      </c>
      <c r="F1166" s="6" t="s">
        <v>39</v>
      </c>
      <c r="G1166" s="10">
        <v>1</v>
      </c>
      <c r="H1166" s="10">
        <v>1</v>
      </c>
      <c r="I1166" s="13">
        <v>8000.0</v>
      </c>
      <c r="J1166" s="13"/>
      <c r="K1166" s="15">
        <f>IF(I1166&gt;0, J1166/I1166, 0)</f>
        <v>0</v>
      </c>
      <c r="L1166" s="13">
        <v>8000.0</v>
      </c>
      <c r="M1166" s="13"/>
      <c r="N1166" s="13">
        <f>L1166-M1166</f>
        <v>8000</v>
      </c>
      <c r="O1166" s="8" t="s">
        <v>40</v>
      </c>
      <c r="P1166" s="8" t="s">
        <v>41</v>
      </c>
      <c r="Q1166" s="8" t="s">
        <v>42</v>
      </c>
      <c r="R1166" s="6" t="s">
        <v>2181</v>
      </c>
      <c r="S1166" s="6" t="s">
        <v>42</v>
      </c>
    </row>
    <row r="1167" spans="1:19">
      <c r="A1167" s="9">
        <v>1160</v>
      </c>
      <c r="B1167" s="9" t="s">
        <v>1473</v>
      </c>
      <c r="C1167" s="9" t="s">
        <v>1450</v>
      </c>
      <c r="D1167" s="9" t="s">
        <v>652</v>
      </c>
      <c r="E1167" s="9" t="s">
        <v>33</v>
      </c>
      <c r="F1167" s="7" t="s">
        <v>39</v>
      </c>
      <c r="G1167" s="11">
        <v>1</v>
      </c>
      <c r="H1167" s="11">
        <v>3</v>
      </c>
      <c r="I1167" s="14">
        <v>21000.0</v>
      </c>
      <c r="J1167" s="14"/>
      <c r="K1167" s="16">
        <f>IF(I1167&gt;0, J1167/I1167, 0)</f>
        <v>0</v>
      </c>
      <c r="L1167" s="14">
        <v>21000.0</v>
      </c>
      <c r="M1167" s="14"/>
      <c r="N1167" s="14">
        <f>L1167-M1167</f>
        <v>21000</v>
      </c>
      <c r="O1167" s="9" t="s">
        <v>40</v>
      </c>
      <c r="P1167" s="9" t="s">
        <v>41</v>
      </c>
      <c r="Q1167" s="9" t="s">
        <v>42</v>
      </c>
      <c r="R1167" s="7" t="s">
        <v>2215</v>
      </c>
      <c r="S1167" s="7" t="s">
        <v>42</v>
      </c>
    </row>
    <row r="1168" spans="1:19">
      <c r="A1168" s="8">
        <v>1161</v>
      </c>
      <c r="B1168" s="8" t="s">
        <v>1474</v>
      </c>
      <c r="C1168" s="8" t="s">
        <v>1450</v>
      </c>
      <c r="D1168" s="8" t="s">
        <v>652</v>
      </c>
      <c r="E1168" s="8" t="s">
        <v>33</v>
      </c>
      <c r="F1168" s="6" t="s">
        <v>39</v>
      </c>
      <c r="G1168" s="10">
        <v>1</v>
      </c>
      <c r="H1168" s="10">
        <v>1</v>
      </c>
      <c r="I1168" s="13">
        <v>17000.0</v>
      </c>
      <c r="J1168" s="13"/>
      <c r="K1168" s="15">
        <f>IF(I1168&gt;0, J1168/I1168, 0)</f>
        <v>0</v>
      </c>
      <c r="L1168" s="13">
        <v>17000.0</v>
      </c>
      <c r="M1168" s="13"/>
      <c r="N1168" s="13">
        <f>L1168-M1168</f>
        <v>17000</v>
      </c>
      <c r="O1168" s="8" t="s">
        <v>40</v>
      </c>
      <c r="P1168" s="8" t="s">
        <v>41</v>
      </c>
      <c r="Q1168" s="8" t="s">
        <v>42</v>
      </c>
      <c r="R1168" s="6" t="s">
        <v>2144</v>
      </c>
      <c r="S1168" s="6" t="s">
        <v>42</v>
      </c>
    </row>
    <row r="1169" spans="1:19">
      <c r="A1169" s="9">
        <v>1162</v>
      </c>
      <c r="B1169" s="9" t="s">
        <v>1475</v>
      </c>
      <c r="C1169" s="9" t="s">
        <v>1450</v>
      </c>
      <c r="D1169" s="9" t="s">
        <v>652</v>
      </c>
      <c r="E1169" s="9" t="s">
        <v>33</v>
      </c>
      <c r="F1169" s="7" t="s">
        <v>39</v>
      </c>
      <c r="G1169" s="11">
        <v>1</v>
      </c>
      <c r="H1169" s="11">
        <v>1</v>
      </c>
      <c r="I1169" s="14">
        <v>8000.0</v>
      </c>
      <c r="J1169" s="14"/>
      <c r="K1169" s="16">
        <f>IF(I1169&gt;0, J1169/I1169, 0)</f>
        <v>0</v>
      </c>
      <c r="L1169" s="14">
        <v>8000.0</v>
      </c>
      <c r="M1169" s="14"/>
      <c r="N1169" s="14">
        <f>L1169-M1169</f>
        <v>8000</v>
      </c>
      <c r="O1169" s="9" t="s">
        <v>40</v>
      </c>
      <c r="P1169" s="9" t="s">
        <v>41</v>
      </c>
      <c r="Q1169" s="9" t="s">
        <v>42</v>
      </c>
      <c r="R1169" s="7" t="s">
        <v>2141</v>
      </c>
      <c r="S1169" s="7" t="s">
        <v>42</v>
      </c>
    </row>
    <row r="1170" spans="1:19">
      <c r="A1170" s="8">
        <v>1163</v>
      </c>
      <c r="B1170" s="8" t="s">
        <v>1476</v>
      </c>
      <c r="C1170" s="8" t="s">
        <v>1450</v>
      </c>
      <c r="D1170" s="8" t="s">
        <v>652</v>
      </c>
      <c r="E1170" s="8" t="s">
        <v>33</v>
      </c>
      <c r="F1170" s="6" t="s">
        <v>39</v>
      </c>
      <c r="G1170" s="10">
        <v>1</v>
      </c>
      <c r="H1170" s="10">
        <v>1</v>
      </c>
      <c r="I1170" s="13">
        <v>7000.0</v>
      </c>
      <c r="J1170" s="13"/>
      <c r="K1170" s="15">
        <f>IF(I1170&gt;0, J1170/I1170, 0)</f>
        <v>0</v>
      </c>
      <c r="L1170" s="13">
        <v>7000.0</v>
      </c>
      <c r="M1170" s="13"/>
      <c r="N1170" s="13">
        <f>L1170-M1170</f>
        <v>7000</v>
      </c>
      <c r="O1170" s="8" t="s">
        <v>40</v>
      </c>
      <c r="P1170" s="8" t="s">
        <v>41</v>
      </c>
      <c r="Q1170" s="8" t="s">
        <v>42</v>
      </c>
      <c r="R1170" s="6" t="s">
        <v>2194</v>
      </c>
      <c r="S1170" s="6" t="s">
        <v>42</v>
      </c>
    </row>
    <row r="1171" spans="1:19">
      <c r="A1171" s="9">
        <v>1164</v>
      </c>
      <c r="B1171" s="9" t="s">
        <v>1477</v>
      </c>
      <c r="C1171" s="9" t="s">
        <v>1450</v>
      </c>
      <c r="D1171" s="9" t="s">
        <v>652</v>
      </c>
      <c r="E1171" s="9" t="s">
        <v>33</v>
      </c>
      <c r="F1171" s="7" t="s">
        <v>39</v>
      </c>
      <c r="G1171" s="11">
        <v>1</v>
      </c>
      <c r="H1171" s="11">
        <v>1</v>
      </c>
      <c r="I1171" s="14">
        <v>9000.0</v>
      </c>
      <c r="J1171" s="14"/>
      <c r="K1171" s="16">
        <f>IF(I1171&gt;0, J1171/I1171, 0)</f>
        <v>0</v>
      </c>
      <c r="L1171" s="14">
        <v>9000.0</v>
      </c>
      <c r="M1171" s="14"/>
      <c r="N1171" s="14">
        <f>L1171-M1171</f>
        <v>9000</v>
      </c>
      <c r="O1171" s="9" t="s">
        <v>40</v>
      </c>
      <c r="P1171" s="9" t="s">
        <v>41</v>
      </c>
      <c r="Q1171" s="9" t="s">
        <v>42</v>
      </c>
      <c r="R1171" s="7" t="s">
        <v>2159</v>
      </c>
      <c r="S1171" s="7" t="s">
        <v>42</v>
      </c>
    </row>
    <row r="1172" spans="1:19">
      <c r="A1172" s="8">
        <v>1165</v>
      </c>
      <c r="B1172" s="8" t="s">
        <v>1478</v>
      </c>
      <c r="C1172" s="8" t="s">
        <v>1450</v>
      </c>
      <c r="D1172" s="8" t="s">
        <v>652</v>
      </c>
      <c r="E1172" s="8" t="s">
        <v>33</v>
      </c>
      <c r="F1172" s="6" t="s">
        <v>39</v>
      </c>
      <c r="G1172" s="10">
        <v>1</v>
      </c>
      <c r="H1172" s="10">
        <v>2</v>
      </c>
      <c r="I1172" s="13">
        <v>16000.0</v>
      </c>
      <c r="J1172" s="13"/>
      <c r="K1172" s="15">
        <f>IF(I1172&gt;0, J1172/I1172, 0)</f>
        <v>0</v>
      </c>
      <c r="L1172" s="13">
        <v>16000.0</v>
      </c>
      <c r="M1172" s="13"/>
      <c r="N1172" s="13">
        <f>L1172-M1172</f>
        <v>16000</v>
      </c>
      <c r="O1172" s="8" t="s">
        <v>40</v>
      </c>
      <c r="P1172" s="8" t="s">
        <v>41</v>
      </c>
      <c r="Q1172" s="8" t="s">
        <v>42</v>
      </c>
      <c r="R1172" s="6" t="s">
        <v>2198</v>
      </c>
      <c r="S1172" s="6" t="s">
        <v>42</v>
      </c>
    </row>
    <row r="1173" spans="1:19">
      <c r="A1173" s="9">
        <v>1166</v>
      </c>
      <c r="B1173" s="9" t="s">
        <v>1479</v>
      </c>
      <c r="C1173" s="9" t="s">
        <v>1450</v>
      </c>
      <c r="D1173" s="9" t="s">
        <v>652</v>
      </c>
      <c r="E1173" s="9" t="s">
        <v>33</v>
      </c>
      <c r="F1173" s="7" t="s">
        <v>39</v>
      </c>
      <c r="G1173" s="11">
        <v>1</v>
      </c>
      <c r="H1173" s="11">
        <v>1</v>
      </c>
      <c r="I1173" s="14">
        <v>16000.0</v>
      </c>
      <c r="J1173" s="14"/>
      <c r="K1173" s="16">
        <f>IF(I1173&gt;0, J1173/I1173, 0)</f>
        <v>0</v>
      </c>
      <c r="L1173" s="14">
        <v>16000.0</v>
      </c>
      <c r="M1173" s="14"/>
      <c r="N1173" s="14">
        <f>L1173-M1173</f>
        <v>16000</v>
      </c>
      <c r="O1173" s="9" t="s">
        <v>40</v>
      </c>
      <c r="P1173" s="9" t="s">
        <v>41</v>
      </c>
      <c r="Q1173" s="9" t="s">
        <v>42</v>
      </c>
      <c r="R1173" s="7" t="s">
        <v>2126</v>
      </c>
      <c r="S1173" s="7" t="s">
        <v>42</v>
      </c>
    </row>
    <row r="1174" spans="1:19">
      <c r="A1174" s="8">
        <v>1167</v>
      </c>
      <c r="B1174" s="8" t="s">
        <v>1480</v>
      </c>
      <c r="C1174" s="8" t="s">
        <v>1450</v>
      </c>
      <c r="D1174" s="8" t="s">
        <v>652</v>
      </c>
      <c r="E1174" s="8" t="s">
        <v>33</v>
      </c>
      <c r="F1174" s="6" t="s">
        <v>39</v>
      </c>
      <c r="G1174" s="10">
        <v>1</v>
      </c>
      <c r="H1174" s="10">
        <v>1</v>
      </c>
      <c r="I1174" s="13">
        <v>9000.0</v>
      </c>
      <c r="J1174" s="13"/>
      <c r="K1174" s="15">
        <f>IF(I1174&gt;0, J1174/I1174, 0)</f>
        <v>0</v>
      </c>
      <c r="L1174" s="13">
        <v>9000.0</v>
      </c>
      <c r="M1174" s="13"/>
      <c r="N1174" s="13">
        <f>L1174-M1174</f>
        <v>9000</v>
      </c>
      <c r="O1174" s="8" t="s">
        <v>40</v>
      </c>
      <c r="P1174" s="8" t="s">
        <v>41</v>
      </c>
      <c r="Q1174" s="8" t="s">
        <v>42</v>
      </c>
      <c r="R1174" s="6" t="s">
        <v>2125</v>
      </c>
      <c r="S1174" s="6" t="s">
        <v>42</v>
      </c>
    </row>
    <row r="1175" spans="1:19">
      <c r="A1175" s="9">
        <v>1168</v>
      </c>
      <c r="B1175" s="9" t="s">
        <v>1481</v>
      </c>
      <c r="C1175" s="9" t="s">
        <v>1450</v>
      </c>
      <c r="D1175" s="9" t="s">
        <v>652</v>
      </c>
      <c r="E1175" s="9" t="s">
        <v>33</v>
      </c>
      <c r="F1175" s="7" t="s">
        <v>39</v>
      </c>
      <c r="G1175" s="11">
        <v>1</v>
      </c>
      <c r="H1175" s="11">
        <v>1</v>
      </c>
      <c r="I1175" s="14">
        <v>7000.0</v>
      </c>
      <c r="J1175" s="14"/>
      <c r="K1175" s="16">
        <f>IF(I1175&gt;0, J1175/I1175, 0)</f>
        <v>0</v>
      </c>
      <c r="L1175" s="14">
        <v>7000.0</v>
      </c>
      <c r="M1175" s="14"/>
      <c r="N1175" s="14">
        <f>L1175-M1175</f>
        <v>7000</v>
      </c>
      <c r="O1175" s="9" t="s">
        <v>40</v>
      </c>
      <c r="P1175" s="9" t="s">
        <v>41</v>
      </c>
      <c r="Q1175" s="9" t="s">
        <v>42</v>
      </c>
      <c r="R1175" s="7" t="s">
        <v>2154</v>
      </c>
      <c r="S1175" s="7" t="s">
        <v>42</v>
      </c>
    </row>
    <row r="1176" spans="1:19">
      <c r="A1176" s="8">
        <v>1169</v>
      </c>
      <c r="B1176" s="8" t="s">
        <v>1482</v>
      </c>
      <c r="C1176" s="8" t="s">
        <v>1450</v>
      </c>
      <c r="D1176" s="8" t="s">
        <v>652</v>
      </c>
      <c r="E1176" s="8" t="s">
        <v>33</v>
      </c>
      <c r="F1176" s="6" t="s">
        <v>39</v>
      </c>
      <c r="G1176" s="10">
        <v>1</v>
      </c>
      <c r="H1176" s="10">
        <v>1</v>
      </c>
      <c r="I1176" s="13">
        <v>8000.0</v>
      </c>
      <c r="J1176" s="13"/>
      <c r="K1176" s="15">
        <f>IF(I1176&gt;0, J1176/I1176, 0)</f>
        <v>0</v>
      </c>
      <c r="L1176" s="13">
        <v>8000.0</v>
      </c>
      <c r="M1176" s="13"/>
      <c r="N1176" s="13">
        <f>L1176-M1176</f>
        <v>8000</v>
      </c>
      <c r="O1176" s="8" t="s">
        <v>40</v>
      </c>
      <c r="P1176" s="8" t="s">
        <v>41</v>
      </c>
      <c r="Q1176" s="8" t="s">
        <v>42</v>
      </c>
      <c r="R1176" s="6" t="s">
        <v>2152</v>
      </c>
      <c r="S1176" s="6" t="s">
        <v>42</v>
      </c>
    </row>
    <row r="1177" spans="1:19">
      <c r="A1177" s="9">
        <v>1170</v>
      </c>
      <c r="B1177" s="9" t="s">
        <v>1483</v>
      </c>
      <c r="C1177" s="9" t="s">
        <v>1450</v>
      </c>
      <c r="D1177" s="9" t="s">
        <v>652</v>
      </c>
      <c r="E1177" s="9" t="s">
        <v>33</v>
      </c>
      <c r="F1177" s="7" t="s">
        <v>39</v>
      </c>
      <c r="G1177" s="11">
        <v>1</v>
      </c>
      <c r="H1177" s="11">
        <v>1</v>
      </c>
      <c r="I1177" s="14">
        <v>8000.0</v>
      </c>
      <c r="J1177" s="14"/>
      <c r="K1177" s="16">
        <f>IF(I1177&gt;0, J1177/I1177, 0)</f>
        <v>0</v>
      </c>
      <c r="L1177" s="14">
        <v>8000.0</v>
      </c>
      <c r="M1177" s="14"/>
      <c r="N1177" s="14">
        <f>L1177-M1177</f>
        <v>8000</v>
      </c>
      <c r="O1177" s="9" t="s">
        <v>40</v>
      </c>
      <c r="P1177" s="9" t="s">
        <v>41</v>
      </c>
      <c r="Q1177" s="9" t="s">
        <v>42</v>
      </c>
      <c r="R1177" s="7" t="s">
        <v>2196</v>
      </c>
      <c r="S1177" s="7" t="s">
        <v>42</v>
      </c>
    </row>
    <row r="1178" spans="1:19">
      <c r="A1178" s="8">
        <v>1171</v>
      </c>
      <c r="B1178" s="8" t="s">
        <v>1484</v>
      </c>
      <c r="C1178" s="8" t="s">
        <v>1450</v>
      </c>
      <c r="D1178" s="8" t="s">
        <v>652</v>
      </c>
      <c r="E1178" s="8" t="s">
        <v>33</v>
      </c>
      <c r="F1178" s="6" t="s">
        <v>39</v>
      </c>
      <c r="G1178" s="10">
        <v>1</v>
      </c>
      <c r="H1178" s="10">
        <v>2</v>
      </c>
      <c r="I1178" s="13">
        <v>14000.0</v>
      </c>
      <c r="J1178" s="13"/>
      <c r="K1178" s="15">
        <f>IF(I1178&gt;0, J1178/I1178, 0)</f>
        <v>0</v>
      </c>
      <c r="L1178" s="13">
        <v>14000.0</v>
      </c>
      <c r="M1178" s="13"/>
      <c r="N1178" s="13">
        <f>L1178-M1178</f>
        <v>14000</v>
      </c>
      <c r="O1178" s="8" t="s">
        <v>40</v>
      </c>
      <c r="P1178" s="8" t="s">
        <v>41</v>
      </c>
      <c r="Q1178" s="8" t="s">
        <v>42</v>
      </c>
      <c r="R1178" s="6" t="s">
        <v>2168</v>
      </c>
      <c r="S1178" s="6" t="s">
        <v>42</v>
      </c>
    </row>
    <row r="1179" spans="1:19">
      <c r="A1179" s="9">
        <v>1172</v>
      </c>
      <c r="B1179" s="9" t="s">
        <v>1485</v>
      </c>
      <c r="C1179" s="9" t="s">
        <v>1450</v>
      </c>
      <c r="D1179" s="9" t="s">
        <v>652</v>
      </c>
      <c r="E1179" s="9" t="s">
        <v>33</v>
      </c>
      <c r="F1179" s="7" t="s">
        <v>39</v>
      </c>
      <c r="G1179" s="11">
        <v>1</v>
      </c>
      <c r="H1179" s="11">
        <v>1</v>
      </c>
      <c r="I1179" s="14">
        <v>7500.0</v>
      </c>
      <c r="J1179" s="14"/>
      <c r="K1179" s="16">
        <f>IF(I1179&gt;0, J1179/I1179, 0)</f>
        <v>0</v>
      </c>
      <c r="L1179" s="14">
        <v>7500.0</v>
      </c>
      <c r="M1179" s="14"/>
      <c r="N1179" s="14">
        <f>L1179-M1179</f>
        <v>7500</v>
      </c>
      <c r="O1179" s="9" t="s">
        <v>40</v>
      </c>
      <c r="P1179" s="9" t="s">
        <v>41</v>
      </c>
      <c r="Q1179" s="9" t="s">
        <v>42</v>
      </c>
      <c r="R1179" s="7" t="s">
        <v>2194</v>
      </c>
      <c r="S1179" s="7" t="s">
        <v>42</v>
      </c>
    </row>
    <row r="1180" spans="1:19">
      <c r="A1180" s="8">
        <v>1173</v>
      </c>
      <c r="B1180" s="8" t="s">
        <v>1487</v>
      </c>
      <c r="C1180" s="8" t="s">
        <v>1450</v>
      </c>
      <c r="D1180" s="8" t="s">
        <v>652</v>
      </c>
      <c r="E1180" s="8" t="s">
        <v>33</v>
      </c>
      <c r="F1180" s="6" t="s">
        <v>39</v>
      </c>
      <c r="G1180" s="10">
        <v>1</v>
      </c>
      <c r="H1180" s="10">
        <v>1</v>
      </c>
      <c r="I1180" s="13">
        <v>8500.0</v>
      </c>
      <c r="J1180" s="13"/>
      <c r="K1180" s="15">
        <f>IF(I1180&gt;0, J1180/I1180, 0)</f>
        <v>0</v>
      </c>
      <c r="L1180" s="13">
        <v>8500.0</v>
      </c>
      <c r="M1180" s="13"/>
      <c r="N1180" s="13">
        <f>L1180-M1180</f>
        <v>8500</v>
      </c>
      <c r="O1180" s="8" t="s">
        <v>40</v>
      </c>
      <c r="P1180" s="8" t="s">
        <v>41</v>
      </c>
      <c r="Q1180" s="8" t="s">
        <v>42</v>
      </c>
      <c r="R1180" s="6" t="s">
        <v>2266</v>
      </c>
      <c r="S1180" s="6" t="s">
        <v>42</v>
      </c>
    </row>
    <row r="1181" spans="1:19">
      <c r="A1181" s="9">
        <v>1174</v>
      </c>
      <c r="B1181" s="9" t="s">
        <v>1490</v>
      </c>
      <c r="C1181" s="9" t="s">
        <v>1450</v>
      </c>
      <c r="D1181" s="9" t="s">
        <v>652</v>
      </c>
      <c r="E1181" s="9" t="s">
        <v>33</v>
      </c>
      <c r="F1181" s="7" t="s">
        <v>39</v>
      </c>
      <c r="G1181" s="11">
        <v>1</v>
      </c>
      <c r="H1181" s="11">
        <v>2</v>
      </c>
      <c r="I1181" s="14">
        <v>14000.0</v>
      </c>
      <c r="J1181" s="14"/>
      <c r="K1181" s="16">
        <f>IF(I1181&gt;0, J1181/I1181, 0)</f>
        <v>0</v>
      </c>
      <c r="L1181" s="14">
        <v>14000.0</v>
      </c>
      <c r="M1181" s="14"/>
      <c r="N1181" s="14">
        <f>L1181-M1181</f>
        <v>14000</v>
      </c>
      <c r="O1181" s="9" t="s">
        <v>40</v>
      </c>
      <c r="P1181" s="9" t="s">
        <v>41</v>
      </c>
      <c r="Q1181" s="9" t="s">
        <v>42</v>
      </c>
      <c r="R1181" s="7" t="s">
        <v>2198</v>
      </c>
      <c r="S1181" s="7" t="s">
        <v>42</v>
      </c>
    </row>
    <row r="1182" spans="1:19">
      <c r="A1182" s="8">
        <v>1175</v>
      </c>
      <c r="B1182" s="8" t="s">
        <v>1491</v>
      </c>
      <c r="C1182" s="8" t="s">
        <v>1450</v>
      </c>
      <c r="D1182" s="8" t="s">
        <v>652</v>
      </c>
      <c r="E1182" s="8" t="s">
        <v>33</v>
      </c>
      <c r="F1182" s="6" t="s">
        <v>39</v>
      </c>
      <c r="G1182" s="10">
        <v>1</v>
      </c>
      <c r="H1182" s="10">
        <v>1</v>
      </c>
      <c r="I1182" s="13">
        <v>8000.0</v>
      </c>
      <c r="J1182" s="13"/>
      <c r="K1182" s="15">
        <f>IF(I1182&gt;0, J1182/I1182, 0)</f>
        <v>0</v>
      </c>
      <c r="L1182" s="13">
        <v>8000.0</v>
      </c>
      <c r="M1182" s="13"/>
      <c r="N1182" s="13">
        <f>L1182-M1182</f>
        <v>8000</v>
      </c>
      <c r="O1182" s="8" t="s">
        <v>40</v>
      </c>
      <c r="P1182" s="8" t="s">
        <v>41</v>
      </c>
      <c r="Q1182" s="8" t="s">
        <v>42</v>
      </c>
      <c r="R1182" s="6" t="s">
        <v>2167</v>
      </c>
      <c r="S1182" s="6" t="s">
        <v>42</v>
      </c>
    </row>
    <row r="1183" spans="1:19">
      <c r="A1183" s="9">
        <v>1176</v>
      </c>
      <c r="B1183" s="9" t="s">
        <v>1492</v>
      </c>
      <c r="C1183" s="9" t="s">
        <v>1450</v>
      </c>
      <c r="D1183" s="9" t="s">
        <v>652</v>
      </c>
      <c r="E1183" s="9" t="s">
        <v>33</v>
      </c>
      <c r="F1183" s="7" t="s">
        <v>39</v>
      </c>
      <c r="G1183" s="11">
        <v>1</v>
      </c>
      <c r="H1183" s="11">
        <v>1</v>
      </c>
      <c r="I1183" s="14">
        <v>7000.0</v>
      </c>
      <c r="J1183" s="14"/>
      <c r="K1183" s="16">
        <f>IF(I1183&gt;0, J1183/I1183, 0)</f>
        <v>0</v>
      </c>
      <c r="L1183" s="14">
        <v>7000.0</v>
      </c>
      <c r="M1183" s="14"/>
      <c r="N1183" s="14">
        <f>L1183-M1183</f>
        <v>7000</v>
      </c>
      <c r="O1183" s="9" t="s">
        <v>40</v>
      </c>
      <c r="P1183" s="9" t="s">
        <v>41</v>
      </c>
      <c r="Q1183" s="9" t="s">
        <v>42</v>
      </c>
      <c r="R1183" s="7" t="s">
        <v>2231</v>
      </c>
      <c r="S1183" s="7" t="s">
        <v>42</v>
      </c>
    </row>
    <row r="1184" spans="1:19">
      <c r="A1184" s="8">
        <v>1177</v>
      </c>
      <c r="B1184" s="8" t="s">
        <v>1493</v>
      </c>
      <c r="C1184" s="8" t="s">
        <v>1450</v>
      </c>
      <c r="D1184" s="8" t="s">
        <v>652</v>
      </c>
      <c r="E1184" s="8" t="s">
        <v>33</v>
      </c>
      <c r="F1184" s="6" t="s">
        <v>39</v>
      </c>
      <c r="G1184" s="10">
        <v>1</v>
      </c>
      <c r="H1184" s="10">
        <v>1</v>
      </c>
      <c r="I1184" s="13">
        <v>7000.0</v>
      </c>
      <c r="J1184" s="13"/>
      <c r="K1184" s="15">
        <f>IF(I1184&gt;0, J1184/I1184, 0)</f>
        <v>0</v>
      </c>
      <c r="L1184" s="13">
        <v>7000.0</v>
      </c>
      <c r="M1184" s="13"/>
      <c r="N1184" s="13">
        <f>L1184-M1184</f>
        <v>7000</v>
      </c>
      <c r="O1184" s="8" t="s">
        <v>40</v>
      </c>
      <c r="P1184" s="8" t="s">
        <v>41</v>
      </c>
      <c r="Q1184" s="8" t="s">
        <v>42</v>
      </c>
      <c r="R1184" s="6" t="s">
        <v>2155</v>
      </c>
      <c r="S1184" s="6" t="s">
        <v>42</v>
      </c>
    </row>
    <row r="1185" spans="1:19">
      <c r="A1185" s="9">
        <v>1178</v>
      </c>
      <c r="B1185" s="9" t="s">
        <v>1494</v>
      </c>
      <c r="C1185" s="9" t="s">
        <v>1450</v>
      </c>
      <c r="D1185" s="9" t="s">
        <v>652</v>
      </c>
      <c r="E1185" s="9" t="s">
        <v>33</v>
      </c>
      <c r="F1185" s="7" t="s">
        <v>39</v>
      </c>
      <c r="G1185" s="11">
        <v>1</v>
      </c>
      <c r="H1185" s="11">
        <v>1</v>
      </c>
      <c r="I1185" s="14">
        <v>7000.0</v>
      </c>
      <c r="J1185" s="14"/>
      <c r="K1185" s="16">
        <f>IF(I1185&gt;0, J1185/I1185, 0)</f>
        <v>0</v>
      </c>
      <c r="L1185" s="14">
        <v>7000.0</v>
      </c>
      <c r="M1185" s="14"/>
      <c r="N1185" s="14">
        <f>L1185-M1185</f>
        <v>7000</v>
      </c>
      <c r="O1185" s="9" t="s">
        <v>40</v>
      </c>
      <c r="P1185" s="9" t="s">
        <v>41</v>
      </c>
      <c r="Q1185" s="9" t="s">
        <v>42</v>
      </c>
      <c r="R1185" s="7" t="s">
        <v>2109</v>
      </c>
      <c r="S1185" s="7" t="s">
        <v>42</v>
      </c>
    </row>
    <row r="1186" spans="1:19">
      <c r="A1186" s="8">
        <v>1179</v>
      </c>
      <c r="B1186" s="8" t="s">
        <v>1495</v>
      </c>
      <c r="C1186" s="8" t="s">
        <v>1450</v>
      </c>
      <c r="D1186" s="8" t="s">
        <v>652</v>
      </c>
      <c r="E1186" s="8" t="s">
        <v>33</v>
      </c>
      <c r="F1186" s="6" t="s">
        <v>39</v>
      </c>
      <c r="G1186" s="10">
        <v>1</v>
      </c>
      <c r="H1186" s="10">
        <v>1</v>
      </c>
      <c r="I1186" s="13">
        <v>7500.0</v>
      </c>
      <c r="J1186" s="13"/>
      <c r="K1186" s="15">
        <f>IF(I1186&gt;0, J1186/I1186, 0)</f>
        <v>0</v>
      </c>
      <c r="L1186" s="13">
        <v>7500.0</v>
      </c>
      <c r="M1186" s="13"/>
      <c r="N1186" s="13">
        <f>L1186-M1186</f>
        <v>7500</v>
      </c>
      <c r="O1186" s="8" t="s">
        <v>40</v>
      </c>
      <c r="P1186" s="8" t="s">
        <v>41</v>
      </c>
      <c r="Q1186" s="8" t="s">
        <v>42</v>
      </c>
      <c r="R1186" s="6" t="s">
        <v>2100</v>
      </c>
      <c r="S1186" s="6" t="s">
        <v>42</v>
      </c>
    </row>
    <row r="1187" spans="1:19">
      <c r="A1187" s="9">
        <v>1180</v>
      </c>
      <c r="B1187" s="9" t="s">
        <v>1496</v>
      </c>
      <c r="C1187" s="9" t="s">
        <v>1450</v>
      </c>
      <c r="D1187" s="9" t="s">
        <v>652</v>
      </c>
      <c r="E1187" s="9" t="s">
        <v>33</v>
      </c>
      <c r="F1187" s="7" t="s">
        <v>39</v>
      </c>
      <c r="G1187" s="11">
        <v>1</v>
      </c>
      <c r="H1187" s="11">
        <v>1</v>
      </c>
      <c r="I1187" s="14">
        <v>8000.0</v>
      </c>
      <c r="J1187" s="14"/>
      <c r="K1187" s="16">
        <f>IF(I1187&gt;0, J1187/I1187, 0)</f>
        <v>0</v>
      </c>
      <c r="L1187" s="14">
        <v>8000.0</v>
      </c>
      <c r="M1187" s="14"/>
      <c r="N1187" s="14">
        <f>L1187-M1187</f>
        <v>8000</v>
      </c>
      <c r="O1187" s="9" t="s">
        <v>40</v>
      </c>
      <c r="P1187" s="9" t="s">
        <v>41</v>
      </c>
      <c r="Q1187" s="9" t="s">
        <v>42</v>
      </c>
      <c r="R1187" s="7" t="s">
        <v>2074</v>
      </c>
      <c r="S1187" s="7" t="s">
        <v>42</v>
      </c>
    </row>
    <row r="1188" spans="1:19">
      <c r="A1188" s="8">
        <v>1181</v>
      </c>
      <c r="B1188" s="8" t="s">
        <v>1497</v>
      </c>
      <c r="C1188" s="8" t="s">
        <v>1450</v>
      </c>
      <c r="D1188" s="8" t="s">
        <v>652</v>
      </c>
      <c r="E1188" s="8" t="s">
        <v>33</v>
      </c>
      <c r="F1188" s="6" t="s">
        <v>39</v>
      </c>
      <c r="G1188" s="10">
        <v>1</v>
      </c>
      <c r="H1188" s="10">
        <v>1</v>
      </c>
      <c r="I1188" s="13">
        <v>7000.0</v>
      </c>
      <c r="J1188" s="13"/>
      <c r="K1188" s="15">
        <f>IF(I1188&gt;0, J1188/I1188, 0)</f>
        <v>0</v>
      </c>
      <c r="L1188" s="13">
        <v>7000.0</v>
      </c>
      <c r="M1188" s="13"/>
      <c r="N1188" s="13">
        <f>L1188-M1188</f>
        <v>7000</v>
      </c>
      <c r="O1188" s="8" t="s">
        <v>40</v>
      </c>
      <c r="P1188" s="8" t="s">
        <v>41</v>
      </c>
      <c r="Q1188" s="8" t="s">
        <v>42</v>
      </c>
      <c r="R1188" s="6" t="s">
        <v>2088</v>
      </c>
      <c r="S1188" s="6" t="s">
        <v>42</v>
      </c>
    </row>
    <row r="1189" spans="1:19">
      <c r="A1189" s="9">
        <v>1182</v>
      </c>
      <c r="B1189" s="9" t="s">
        <v>1498</v>
      </c>
      <c r="C1189" s="9" t="s">
        <v>1450</v>
      </c>
      <c r="D1189" s="9" t="s">
        <v>652</v>
      </c>
      <c r="E1189" s="9" t="s">
        <v>33</v>
      </c>
      <c r="F1189" s="7" t="s">
        <v>39</v>
      </c>
      <c r="G1189" s="11">
        <v>1</v>
      </c>
      <c r="H1189" s="11">
        <v>1</v>
      </c>
      <c r="I1189" s="14">
        <v>8000.0</v>
      </c>
      <c r="J1189" s="14"/>
      <c r="K1189" s="16">
        <f>IF(I1189&gt;0, J1189/I1189, 0)</f>
        <v>0</v>
      </c>
      <c r="L1189" s="14">
        <v>8000.0</v>
      </c>
      <c r="M1189" s="14"/>
      <c r="N1189" s="14">
        <f>L1189-M1189</f>
        <v>8000</v>
      </c>
      <c r="O1189" s="9" t="s">
        <v>40</v>
      </c>
      <c r="P1189" s="9" t="s">
        <v>41</v>
      </c>
      <c r="Q1189" s="9" t="s">
        <v>42</v>
      </c>
      <c r="R1189" s="7" t="s">
        <v>2189</v>
      </c>
      <c r="S1189" s="7" t="s">
        <v>42</v>
      </c>
    </row>
    <row r="1190" spans="1:19">
      <c r="A1190" s="8">
        <v>1183</v>
      </c>
      <c r="B1190" s="8" t="s">
        <v>1499</v>
      </c>
      <c r="C1190" s="8" t="s">
        <v>1450</v>
      </c>
      <c r="D1190" s="8" t="s">
        <v>652</v>
      </c>
      <c r="E1190" s="8" t="s">
        <v>33</v>
      </c>
      <c r="F1190" s="6" t="s">
        <v>39</v>
      </c>
      <c r="G1190" s="10">
        <v>1</v>
      </c>
      <c r="H1190" s="10">
        <v>1</v>
      </c>
      <c r="I1190" s="13">
        <v>8000.0</v>
      </c>
      <c r="J1190" s="13"/>
      <c r="K1190" s="15">
        <f>IF(I1190&gt;0, J1190/I1190, 0)</f>
        <v>0</v>
      </c>
      <c r="L1190" s="13">
        <v>8000.0</v>
      </c>
      <c r="M1190" s="13"/>
      <c r="N1190" s="13">
        <f>L1190-M1190</f>
        <v>8000</v>
      </c>
      <c r="O1190" s="8" t="s">
        <v>40</v>
      </c>
      <c r="P1190" s="8" t="s">
        <v>41</v>
      </c>
      <c r="Q1190" s="8" t="s">
        <v>42</v>
      </c>
      <c r="R1190" s="6" t="s">
        <v>2105</v>
      </c>
      <c r="S1190" s="6" t="s">
        <v>42</v>
      </c>
    </row>
    <row r="1191" spans="1:19">
      <c r="A1191" s="9">
        <v>1184</v>
      </c>
      <c r="B1191" s="9" t="s">
        <v>1500</v>
      </c>
      <c r="C1191" s="9" t="s">
        <v>1450</v>
      </c>
      <c r="D1191" s="9" t="s">
        <v>652</v>
      </c>
      <c r="E1191" s="9" t="s">
        <v>33</v>
      </c>
      <c r="F1191" s="7" t="s">
        <v>39</v>
      </c>
      <c r="G1191" s="11">
        <v>1</v>
      </c>
      <c r="H1191" s="11">
        <v>1</v>
      </c>
      <c r="I1191" s="14">
        <v>7000.0</v>
      </c>
      <c r="J1191" s="14"/>
      <c r="K1191" s="16">
        <f>IF(I1191&gt;0, J1191/I1191, 0)</f>
        <v>0</v>
      </c>
      <c r="L1191" s="14">
        <v>7000.0</v>
      </c>
      <c r="M1191" s="14"/>
      <c r="N1191" s="14">
        <f>L1191-M1191</f>
        <v>7000</v>
      </c>
      <c r="O1191" s="9" t="s">
        <v>40</v>
      </c>
      <c r="P1191" s="9" t="s">
        <v>41</v>
      </c>
      <c r="Q1191" s="9" t="s">
        <v>42</v>
      </c>
      <c r="R1191" s="7" t="s">
        <v>2155</v>
      </c>
      <c r="S1191" s="7" t="s">
        <v>42</v>
      </c>
    </row>
    <row r="1192" spans="1:19">
      <c r="A1192" s="8">
        <v>1185</v>
      </c>
      <c r="B1192" s="8" t="s">
        <v>1501</v>
      </c>
      <c r="C1192" s="8" t="s">
        <v>1450</v>
      </c>
      <c r="D1192" s="8" t="s">
        <v>652</v>
      </c>
      <c r="E1192" s="8" t="s">
        <v>33</v>
      </c>
      <c r="F1192" s="6" t="s">
        <v>39</v>
      </c>
      <c r="G1192" s="10">
        <v>1</v>
      </c>
      <c r="H1192" s="10">
        <v>1</v>
      </c>
      <c r="I1192" s="13">
        <v>8000.0</v>
      </c>
      <c r="J1192" s="13"/>
      <c r="K1192" s="15">
        <f>IF(I1192&gt;0, J1192/I1192, 0)</f>
        <v>0</v>
      </c>
      <c r="L1192" s="13">
        <v>8000.0</v>
      </c>
      <c r="M1192" s="13"/>
      <c r="N1192" s="13">
        <f>L1192-M1192</f>
        <v>8000</v>
      </c>
      <c r="O1192" s="8" t="s">
        <v>40</v>
      </c>
      <c r="P1192" s="8" t="s">
        <v>41</v>
      </c>
      <c r="Q1192" s="8" t="s">
        <v>42</v>
      </c>
      <c r="R1192" s="6" t="s">
        <v>2116</v>
      </c>
      <c r="S1192" s="6" t="s">
        <v>42</v>
      </c>
    </row>
    <row r="1193" spans="1:19">
      <c r="A1193" s="9">
        <v>1186</v>
      </c>
      <c r="B1193" s="9" t="s">
        <v>1502</v>
      </c>
      <c r="C1193" s="9" t="s">
        <v>1450</v>
      </c>
      <c r="D1193" s="9" t="s">
        <v>652</v>
      </c>
      <c r="E1193" s="9" t="s">
        <v>33</v>
      </c>
      <c r="F1193" s="7" t="s">
        <v>39</v>
      </c>
      <c r="G1193" s="11">
        <v>1</v>
      </c>
      <c r="H1193" s="11">
        <v>1</v>
      </c>
      <c r="I1193" s="14">
        <v>16500.0</v>
      </c>
      <c r="J1193" s="14"/>
      <c r="K1193" s="16">
        <f>IF(I1193&gt;0, J1193/I1193, 0)</f>
        <v>0</v>
      </c>
      <c r="L1193" s="14">
        <v>16500.0</v>
      </c>
      <c r="M1193" s="14"/>
      <c r="N1193" s="14">
        <f>L1193-M1193</f>
        <v>16500</v>
      </c>
      <c r="O1193" s="9" t="s">
        <v>40</v>
      </c>
      <c r="P1193" s="9" t="s">
        <v>41</v>
      </c>
      <c r="Q1193" s="9" t="s">
        <v>42</v>
      </c>
      <c r="R1193" s="7" t="s">
        <v>2173</v>
      </c>
      <c r="S1193" s="7" t="s">
        <v>42</v>
      </c>
    </row>
    <row r="1194" spans="1:19">
      <c r="A1194" s="8">
        <v>1187</v>
      </c>
      <c r="B1194" s="8" t="s">
        <v>1503</v>
      </c>
      <c r="C1194" s="8" t="s">
        <v>1450</v>
      </c>
      <c r="D1194" s="8" t="s">
        <v>652</v>
      </c>
      <c r="E1194" s="8" t="s">
        <v>33</v>
      </c>
      <c r="F1194" s="6" t="s">
        <v>39</v>
      </c>
      <c r="G1194" s="10">
        <v>1</v>
      </c>
      <c r="H1194" s="10">
        <v>1</v>
      </c>
      <c r="I1194" s="13">
        <v>8000.0</v>
      </c>
      <c r="J1194" s="13"/>
      <c r="K1194" s="15">
        <f>IF(I1194&gt;0, J1194/I1194, 0)</f>
        <v>0</v>
      </c>
      <c r="L1194" s="13">
        <v>8000.0</v>
      </c>
      <c r="M1194" s="13"/>
      <c r="N1194" s="13">
        <f>L1194-M1194</f>
        <v>8000</v>
      </c>
      <c r="O1194" s="8" t="s">
        <v>40</v>
      </c>
      <c r="P1194" s="8" t="s">
        <v>41</v>
      </c>
      <c r="Q1194" s="8" t="s">
        <v>42</v>
      </c>
      <c r="R1194" s="6" t="s">
        <v>2164</v>
      </c>
      <c r="S1194" s="6" t="s">
        <v>42</v>
      </c>
    </row>
    <row r="1195" spans="1:19">
      <c r="A1195" s="9">
        <v>1188</v>
      </c>
      <c r="B1195" s="9" t="s">
        <v>1504</v>
      </c>
      <c r="C1195" s="9" t="s">
        <v>1450</v>
      </c>
      <c r="D1195" s="9" t="s">
        <v>652</v>
      </c>
      <c r="E1195" s="9" t="s">
        <v>33</v>
      </c>
      <c r="F1195" s="7" t="s">
        <v>39</v>
      </c>
      <c r="G1195" s="11">
        <v>1</v>
      </c>
      <c r="H1195" s="11">
        <v>1</v>
      </c>
      <c r="I1195" s="14">
        <v>18000.0</v>
      </c>
      <c r="J1195" s="14"/>
      <c r="K1195" s="16">
        <f>IF(I1195&gt;0, J1195/I1195, 0)</f>
        <v>0</v>
      </c>
      <c r="L1195" s="14">
        <v>18000.0</v>
      </c>
      <c r="M1195" s="14"/>
      <c r="N1195" s="14">
        <f>L1195-M1195</f>
        <v>18000</v>
      </c>
      <c r="O1195" s="9" t="s">
        <v>40</v>
      </c>
      <c r="P1195" s="9" t="s">
        <v>41</v>
      </c>
      <c r="Q1195" s="9" t="s">
        <v>42</v>
      </c>
      <c r="R1195" s="7" t="s">
        <v>2075</v>
      </c>
      <c r="S1195" s="7" t="s">
        <v>42</v>
      </c>
    </row>
    <row r="1196" spans="1:19">
      <c r="A1196" s="8">
        <v>1189</v>
      </c>
      <c r="B1196" s="8" t="s">
        <v>1505</v>
      </c>
      <c r="C1196" s="8" t="s">
        <v>1450</v>
      </c>
      <c r="D1196" s="8" t="s">
        <v>652</v>
      </c>
      <c r="E1196" s="8" t="s">
        <v>33</v>
      </c>
      <c r="F1196" s="6" t="s">
        <v>39</v>
      </c>
      <c r="G1196" s="10">
        <v>1</v>
      </c>
      <c r="H1196" s="10">
        <v>1</v>
      </c>
      <c r="I1196" s="13">
        <v>8000.0</v>
      </c>
      <c r="J1196" s="13"/>
      <c r="K1196" s="15">
        <f>IF(I1196&gt;0, J1196/I1196, 0)</f>
        <v>0</v>
      </c>
      <c r="L1196" s="13">
        <v>8000.0</v>
      </c>
      <c r="M1196" s="13"/>
      <c r="N1196" s="13">
        <f>L1196-M1196</f>
        <v>8000</v>
      </c>
      <c r="O1196" s="8" t="s">
        <v>40</v>
      </c>
      <c r="P1196" s="8" t="s">
        <v>41</v>
      </c>
      <c r="Q1196" s="8" t="s">
        <v>42</v>
      </c>
      <c r="R1196" s="6" t="s">
        <v>2152</v>
      </c>
      <c r="S1196" s="6" t="s">
        <v>42</v>
      </c>
    </row>
    <row r="1197" spans="1:19">
      <c r="A1197" s="9">
        <v>1190</v>
      </c>
      <c r="B1197" s="9" t="s">
        <v>1506</v>
      </c>
      <c r="C1197" s="9" t="s">
        <v>1450</v>
      </c>
      <c r="D1197" s="9" t="s">
        <v>652</v>
      </c>
      <c r="E1197" s="9" t="s">
        <v>33</v>
      </c>
      <c r="F1197" s="7" t="s">
        <v>39</v>
      </c>
      <c r="G1197" s="11">
        <v>1</v>
      </c>
      <c r="H1197" s="11">
        <v>1</v>
      </c>
      <c r="I1197" s="14">
        <v>7000.0</v>
      </c>
      <c r="J1197" s="14"/>
      <c r="K1197" s="16">
        <f>IF(I1197&gt;0, J1197/I1197, 0)</f>
        <v>0</v>
      </c>
      <c r="L1197" s="14">
        <v>7000.0</v>
      </c>
      <c r="M1197" s="14"/>
      <c r="N1197" s="14">
        <f>L1197-M1197</f>
        <v>7000</v>
      </c>
      <c r="O1197" s="9" t="s">
        <v>40</v>
      </c>
      <c r="P1197" s="9" t="s">
        <v>41</v>
      </c>
      <c r="Q1197" s="9" t="s">
        <v>42</v>
      </c>
      <c r="R1197" s="7" t="s">
        <v>2107</v>
      </c>
      <c r="S1197" s="7" t="s">
        <v>42</v>
      </c>
    </row>
    <row r="1198" spans="1:19">
      <c r="A1198" s="8">
        <v>1191</v>
      </c>
      <c r="B1198" s="8" t="s">
        <v>1507</v>
      </c>
      <c r="C1198" s="8" t="s">
        <v>1450</v>
      </c>
      <c r="D1198" s="8" t="s">
        <v>652</v>
      </c>
      <c r="E1198" s="8" t="s">
        <v>33</v>
      </c>
      <c r="F1198" s="6" t="s">
        <v>39</v>
      </c>
      <c r="G1198" s="10">
        <v>1</v>
      </c>
      <c r="H1198" s="10">
        <v>1</v>
      </c>
      <c r="I1198" s="13">
        <v>7000.0</v>
      </c>
      <c r="J1198" s="13"/>
      <c r="K1198" s="15">
        <f>IF(I1198&gt;0, J1198/I1198, 0)</f>
        <v>0</v>
      </c>
      <c r="L1198" s="13">
        <v>7000.0</v>
      </c>
      <c r="M1198" s="13"/>
      <c r="N1198" s="13">
        <f>L1198-M1198</f>
        <v>7000</v>
      </c>
      <c r="O1198" s="8" t="s">
        <v>40</v>
      </c>
      <c r="P1198" s="8" t="s">
        <v>41</v>
      </c>
      <c r="Q1198" s="8" t="s">
        <v>42</v>
      </c>
      <c r="R1198" s="6" t="s">
        <v>2154</v>
      </c>
      <c r="S1198" s="6" t="s">
        <v>42</v>
      </c>
    </row>
    <row r="1199" spans="1:19">
      <c r="A1199" s="9">
        <v>1192</v>
      </c>
      <c r="B1199" s="9" t="s">
        <v>1508</v>
      </c>
      <c r="C1199" s="9" t="s">
        <v>1450</v>
      </c>
      <c r="D1199" s="9" t="s">
        <v>652</v>
      </c>
      <c r="E1199" s="9" t="s">
        <v>33</v>
      </c>
      <c r="F1199" s="7" t="s">
        <v>39</v>
      </c>
      <c r="G1199" s="11">
        <v>1</v>
      </c>
      <c r="H1199" s="11">
        <v>1</v>
      </c>
      <c r="I1199" s="14">
        <v>8000.0</v>
      </c>
      <c r="J1199" s="14"/>
      <c r="K1199" s="16">
        <f>IF(I1199&gt;0, J1199/I1199, 0)</f>
        <v>0</v>
      </c>
      <c r="L1199" s="14">
        <v>8000.0</v>
      </c>
      <c r="M1199" s="14"/>
      <c r="N1199" s="14">
        <f>L1199-M1199</f>
        <v>8000</v>
      </c>
      <c r="O1199" s="9" t="s">
        <v>40</v>
      </c>
      <c r="P1199" s="9" t="s">
        <v>41</v>
      </c>
      <c r="Q1199" s="9" t="s">
        <v>42</v>
      </c>
      <c r="R1199" s="7" t="s">
        <v>2074</v>
      </c>
      <c r="S1199" s="7" t="s">
        <v>42</v>
      </c>
    </row>
    <row r="1200" spans="1:19">
      <c r="A1200" s="8">
        <v>1193</v>
      </c>
      <c r="B1200" s="8" t="s">
        <v>1509</v>
      </c>
      <c r="C1200" s="8" t="s">
        <v>1450</v>
      </c>
      <c r="D1200" s="8" t="s">
        <v>652</v>
      </c>
      <c r="E1200" s="8" t="s">
        <v>33</v>
      </c>
      <c r="F1200" s="6" t="s">
        <v>39</v>
      </c>
      <c r="G1200" s="10">
        <v>1</v>
      </c>
      <c r="H1200" s="10">
        <v>1</v>
      </c>
      <c r="I1200" s="13">
        <v>7000.0</v>
      </c>
      <c r="J1200" s="13"/>
      <c r="K1200" s="15">
        <f>IF(I1200&gt;0, J1200/I1200, 0)</f>
        <v>0</v>
      </c>
      <c r="L1200" s="13">
        <v>7000.0</v>
      </c>
      <c r="M1200" s="13"/>
      <c r="N1200" s="13">
        <f>L1200-M1200</f>
        <v>7000</v>
      </c>
      <c r="O1200" s="8" t="s">
        <v>40</v>
      </c>
      <c r="P1200" s="8" t="s">
        <v>41</v>
      </c>
      <c r="Q1200" s="8" t="s">
        <v>42</v>
      </c>
      <c r="R1200" s="6" t="s">
        <v>2142</v>
      </c>
      <c r="S1200" s="6" t="s">
        <v>42</v>
      </c>
    </row>
    <row r="1201" spans="1:19">
      <c r="A1201" s="9">
        <v>1194</v>
      </c>
      <c r="B1201" s="9" t="s">
        <v>1510</v>
      </c>
      <c r="C1201" s="9" t="s">
        <v>1450</v>
      </c>
      <c r="D1201" s="9" t="s">
        <v>652</v>
      </c>
      <c r="E1201" s="9" t="s">
        <v>33</v>
      </c>
      <c r="F1201" s="7" t="s">
        <v>39</v>
      </c>
      <c r="G1201" s="11">
        <v>1</v>
      </c>
      <c r="H1201" s="11">
        <v>1</v>
      </c>
      <c r="I1201" s="14">
        <v>8500.0</v>
      </c>
      <c r="J1201" s="14"/>
      <c r="K1201" s="16">
        <f>IF(I1201&gt;0, J1201/I1201, 0)</f>
        <v>0</v>
      </c>
      <c r="L1201" s="14">
        <v>8500.0</v>
      </c>
      <c r="M1201" s="14"/>
      <c r="N1201" s="14">
        <f>L1201-M1201</f>
        <v>8500</v>
      </c>
      <c r="O1201" s="9" t="s">
        <v>40</v>
      </c>
      <c r="P1201" s="9" t="s">
        <v>41</v>
      </c>
      <c r="Q1201" s="9" t="s">
        <v>42</v>
      </c>
      <c r="R1201" s="7" t="s">
        <v>2078</v>
      </c>
      <c r="S1201" s="7" t="s">
        <v>42</v>
      </c>
    </row>
    <row r="1202" spans="1:19">
      <c r="A1202" s="8">
        <v>1195</v>
      </c>
      <c r="B1202" s="8" t="s">
        <v>1511</v>
      </c>
      <c r="C1202" s="8" t="s">
        <v>1450</v>
      </c>
      <c r="D1202" s="8" t="s">
        <v>652</v>
      </c>
      <c r="E1202" s="8" t="s">
        <v>33</v>
      </c>
      <c r="F1202" s="6" t="s">
        <v>39</v>
      </c>
      <c r="G1202" s="10">
        <v>1</v>
      </c>
      <c r="H1202" s="10">
        <v>1</v>
      </c>
      <c r="I1202" s="13">
        <v>8000.0</v>
      </c>
      <c r="J1202" s="13"/>
      <c r="K1202" s="15">
        <f>IF(I1202&gt;0, J1202/I1202, 0)</f>
        <v>0</v>
      </c>
      <c r="L1202" s="13">
        <v>8000.0</v>
      </c>
      <c r="M1202" s="13"/>
      <c r="N1202" s="13">
        <f>L1202-M1202</f>
        <v>8000</v>
      </c>
      <c r="O1202" s="8" t="s">
        <v>40</v>
      </c>
      <c r="P1202" s="8" t="s">
        <v>41</v>
      </c>
      <c r="Q1202" s="8" t="s">
        <v>42</v>
      </c>
      <c r="R1202" s="6" t="s">
        <v>2163</v>
      </c>
      <c r="S1202" s="6" t="s">
        <v>42</v>
      </c>
    </row>
    <row r="1203" spans="1:19">
      <c r="A1203" s="9">
        <v>1196</v>
      </c>
      <c r="B1203" s="9" t="s">
        <v>1512</v>
      </c>
      <c r="C1203" s="9" t="s">
        <v>1450</v>
      </c>
      <c r="D1203" s="9" t="s">
        <v>652</v>
      </c>
      <c r="E1203" s="9" t="s">
        <v>33</v>
      </c>
      <c r="F1203" s="7" t="s">
        <v>39</v>
      </c>
      <c r="G1203" s="11">
        <v>1</v>
      </c>
      <c r="H1203" s="11">
        <v>2</v>
      </c>
      <c r="I1203" s="14">
        <v>16000.0</v>
      </c>
      <c r="J1203" s="14"/>
      <c r="K1203" s="16">
        <f>IF(I1203&gt;0, J1203/I1203, 0)</f>
        <v>0</v>
      </c>
      <c r="L1203" s="14">
        <v>16000.0</v>
      </c>
      <c r="M1203" s="14"/>
      <c r="N1203" s="14">
        <f>L1203-M1203</f>
        <v>16000</v>
      </c>
      <c r="O1203" s="9" t="s">
        <v>40</v>
      </c>
      <c r="P1203" s="9" t="s">
        <v>41</v>
      </c>
      <c r="Q1203" s="9" t="s">
        <v>42</v>
      </c>
      <c r="R1203" s="7" t="s">
        <v>2145</v>
      </c>
      <c r="S1203" s="7" t="s">
        <v>42</v>
      </c>
    </row>
    <row r="1204" spans="1:19">
      <c r="A1204" s="8">
        <v>1197</v>
      </c>
      <c r="B1204" s="8" t="s">
        <v>1513</v>
      </c>
      <c r="C1204" s="8" t="s">
        <v>1450</v>
      </c>
      <c r="D1204" s="8" t="s">
        <v>652</v>
      </c>
      <c r="E1204" s="8" t="s">
        <v>33</v>
      </c>
      <c r="F1204" s="6" t="s">
        <v>39</v>
      </c>
      <c r="G1204" s="10">
        <v>1</v>
      </c>
      <c r="H1204" s="10">
        <v>1</v>
      </c>
      <c r="I1204" s="13">
        <v>7000.0</v>
      </c>
      <c r="J1204" s="13"/>
      <c r="K1204" s="15">
        <f>IF(I1204&gt;0, J1204/I1204, 0)</f>
        <v>0</v>
      </c>
      <c r="L1204" s="13">
        <v>7000.0</v>
      </c>
      <c r="M1204" s="13"/>
      <c r="N1204" s="13">
        <f>L1204-M1204</f>
        <v>7000</v>
      </c>
      <c r="O1204" s="8" t="s">
        <v>40</v>
      </c>
      <c r="P1204" s="8" t="s">
        <v>41</v>
      </c>
      <c r="Q1204" s="8" t="s">
        <v>42</v>
      </c>
      <c r="R1204" s="6" t="s">
        <v>2107</v>
      </c>
      <c r="S1204" s="6" t="s">
        <v>42</v>
      </c>
    </row>
    <row r="1205" spans="1:19">
      <c r="A1205" s="9">
        <v>1198</v>
      </c>
      <c r="B1205" s="9" t="s">
        <v>1514</v>
      </c>
      <c r="C1205" s="9" t="s">
        <v>1450</v>
      </c>
      <c r="D1205" s="9" t="s">
        <v>652</v>
      </c>
      <c r="E1205" s="9" t="s">
        <v>33</v>
      </c>
      <c r="F1205" s="7" t="s">
        <v>39</v>
      </c>
      <c r="G1205" s="11">
        <v>1</v>
      </c>
      <c r="H1205" s="11">
        <v>1</v>
      </c>
      <c r="I1205" s="14">
        <v>7000.0</v>
      </c>
      <c r="J1205" s="14"/>
      <c r="K1205" s="16">
        <f>IF(I1205&gt;0, J1205/I1205, 0)</f>
        <v>0</v>
      </c>
      <c r="L1205" s="14">
        <v>7000.0</v>
      </c>
      <c r="M1205" s="14"/>
      <c r="N1205" s="14">
        <f>L1205-M1205</f>
        <v>7000</v>
      </c>
      <c r="O1205" s="9" t="s">
        <v>40</v>
      </c>
      <c r="P1205" s="9" t="s">
        <v>41</v>
      </c>
      <c r="Q1205" s="9" t="s">
        <v>42</v>
      </c>
      <c r="R1205" s="7" t="s">
        <v>2142</v>
      </c>
      <c r="S1205" s="7" t="s">
        <v>42</v>
      </c>
    </row>
    <row r="1206" spans="1:19">
      <c r="A1206" s="8">
        <v>1199</v>
      </c>
      <c r="B1206" s="8" t="s">
        <v>1515</v>
      </c>
      <c r="C1206" s="8" t="s">
        <v>1516</v>
      </c>
      <c r="D1206" s="8" t="s">
        <v>652</v>
      </c>
      <c r="E1206" s="8" t="s">
        <v>33</v>
      </c>
      <c r="F1206" s="6" t="s">
        <v>39</v>
      </c>
      <c r="G1206" s="10">
        <v>1</v>
      </c>
      <c r="H1206" s="10">
        <v>1</v>
      </c>
      <c r="I1206" s="13">
        <v>18000.0</v>
      </c>
      <c r="J1206" s="13"/>
      <c r="K1206" s="15">
        <f>IF(I1206&gt;0, J1206/I1206, 0)</f>
        <v>0</v>
      </c>
      <c r="L1206" s="13">
        <v>18000.0</v>
      </c>
      <c r="M1206" s="13"/>
      <c r="N1206" s="13">
        <f>L1206-M1206</f>
        <v>18000</v>
      </c>
      <c r="O1206" s="8" t="s">
        <v>40</v>
      </c>
      <c r="P1206" s="8" t="s">
        <v>41</v>
      </c>
      <c r="Q1206" s="8" t="s">
        <v>42</v>
      </c>
      <c r="R1206" s="6" t="s">
        <v>2080</v>
      </c>
      <c r="S1206" s="6" t="s">
        <v>42</v>
      </c>
    </row>
    <row r="1207" spans="1:19">
      <c r="A1207" s="9">
        <v>1200</v>
      </c>
      <c r="B1207" s="9" t="s">
        <v>1517</v>
      </c>
      <c r="C1207" s="9" t="s">
        <v>1516</v>
      </c>
      <c r="D1207" s="9" t="s">
        <v>652</v>
      </c>
      <c r="E1207" s="9" t="s">
        <v>68</v>
      </c>
      <c r="F1207" s="7" t="s">
        <v>39</v>
      </c>
      <c r="G1207" s="11">
        <v>1</v>
      </c>
      <c r="H1207" s="11">
        <v>1</v>
      </c>
      <c r="I1207" s="14">
        <v>11000.0</v>
      </c>
      <c r="J1207" s="14"/>
      <c r="K1207" s="16">
        <f>IF(I1207&gt;0, J1207/I1207, 0)</f>
        <v>0</v>
      </c>
      <c r="L1207" s="14">
        <v>11000.0</v>
      </c>
      <c r="M1207" s="14"/>
      <c r="N1207" s="14">
        <f>L1207-M1207</f>
        <v>11000</v>
      </c>
      <c r="O1207" s="9" t="s">
        <v>40</v>
      </c>
      <c r="P1207" s="9" t="s">
        <v>71</v>
      </c>
      <c r="Q1207" s="9" t="s">
        <v>42</v>
      </c>
      <c r="R1207" s="7" t="s">
        <v>2106</v>
      </c>
      <c r="S1207" s="7" t="s">
        <v>42</v>
      </c>
    </row>
    <row r="1208" spans="1:19">
      <c r="A1208" s="8">
        <v>1201</v>
      </c>
      <c r="B1208" s="8" t="s">
        <v>1518</v>
      </c>
      <c r="C1208" s="8" t="s">
        <v>1516</v>
      </c>
      <c r="D1208" s="8" t="s">
        <v>652</v>
      </c>
      <c r="E1208" s="8" t="s">
        <v>33</v>
      </c>
      <c r="F1208" s="6" t="s">
        <v>39</v>
      </c>
      <c r="G1208" s="10">
        <v>1</v>
      </c>
      <c r="H1208" s="10">
        <v>1</v>
      </c>
      <c r="I1208" s="13">
        <v>8500.0</v>
      </c>
      <c r="J1208" s="13"/>
      <c r="K1208" s="15">
        <f>IF(I1208&gt;0, J1208/I1208, 0)</f>
        <v>0</v>
      </c>
      <c r="L1208" s="13">
        <v>8500.0</v>
      </c>
      <c r="M1208" s="13"/>
      <c r="N1208" s="13">
        <f>L1208-M1208</f>
        <v>8500</v>
      </c>
      <c r="O1208" s="8" t="s">
        <v>40</v>
      </c>
      <c r="P1208" s="8" t="s">
        <v>41</v>
      </c>
      <c r="Q1208" s="8" t="s">
        <v>42</v>
      </c>
      <c r="R1208" s="6" t="s">
        <v>2078</v>
      </c>
      <c r="S1208" s="6" t="s">
        <v>42</v>
      </c>
    </row>
    <row r="1209" spans="1:19">
      <c r="A1209" s="9">
        <v>1202</v>
      </c>
      <c r="B1209" s="9" t="s">
        <v>1519</v>
      </c>
      <c r="C1209" s="9" t="s">
        <v>1516</v>
      </c>
      <c r="D1209" s="9" t="s">
        <v>652</v>
      </c>
      <c r="E1209" s="9" t="s">
        <v>33</v>
      </c>
      <c r="F1209" s="7" t="s">
        <v>39</v>
      </c>
      <c r="G1209" s="11">
        <v>1</v>
      </c>
      <c r="H1209" s="11">
        <v>1</v>
      </c>
      <c r="I1209" s="14">
        <v>7500.0</v>
      </c>
      <c r="J1209" s="14"/>
      <c r="K1209" s="16">
        <f>IF(I1209&gt;0, J1209/I1209, 0)</f>
        <v>0</v>
      </c>
      <c r="L1209" s="14">
        <v>7500.0</v>
      </c>
      <c r="M1209" s="14"/>
      <c r="N1209" s="14">
        <f>L1209-M1209</f>
        <v>7500</v>
      </c>
      <c r="O1209" s="9" t="s">
        <v>40</v>
      </c>
      <c r="P1209" s="9" t="s">
        <v>41</v>
      </c>
      <c r="Q1209" s="9" t="s">
        <v>42</v>
      </c>
      <c r="R1209" s="7" t="s">
        <v>2077</v>
      </c>
      <c r="S1209" s="7" t="s">
        <v>42</v>
      </c>
    </row>
    <row r="1210" spans="1:19">
      <c r="A1210" s="8">
        <v>1203</v>
      </c>
      <c r="B1210" s="8" t="s">
        <v>1520</v>
      </c>
      <c r="C1210" s="8" t="s">
        <v>1516</v>
      </c>
      <c r="D1210" s="8" t="s">
        <v>652</v>
      </c>
      <c r="E1210" s="8" t="s">
        <v>33</v>
      </c>
      <c r="F1210" s="6" t="s">
        <v>39</v>
      </c>
      <c r="G1210" s="10">
        <v>1</v>
      </c>
      <c r="H1210" s="10">
        <v>2</v>
      </c>
      <c r="I1210" s="13">
        <v>16000.0</v>
      </c>
      <c r="J1210" s="13"/>
      <c r="K1210" s="15">
        <f>IF(I1210&gt;0, J1210/I1210, 0)</f>
        <v>0</v>
      </c>
      <c r="L1210" s="13">
        <v>16000.0</v>
      </c>
      <c r="M1210" s="13"/>
      <c r="N1210" s="13">
        <f>L1210-M1210</f>
        <v>16000</v>
      </c>
      <c r="O1210" s="8" t="s">
        <v>40</v>
      </c>
      <c r="P1210" s="8" t="s">
        <v>41</v>
      </c>
      <c r="Q1210" s="8" t="s">
        <v>42</v>
      </c>
      <c r="R1210" s="6" t="s">
        <v>2104</v>
      </c>
      <c r="S1210" s="6" t="s">
        <v>42</v>
      </c>
    </row>
    <row r="1211" spans="1:19">
      <c r="A1211" s="9">
        <v>1204</v>
      </c>
      <c r="B1211" s="9" t="s">
        <v>1521</v>
      </c>
      <c r="C1211" s="9" t="s">
        <v>1516</v>
      </c>
      <c r="D1211" s="9" t="s">
        <v>652</v>
      </c>
      <c r="E1211" s="9" t="s">
        <v>33</v>
      </c>
      <c r="F1211" s="7" t="s">
        <v>39</v>
      </c>
      <c r="G1211" s="11">
        <v>1</v>
      </c>
      <c r="H1211" s="11">
        <v>1</v>
      </c>
      <c r="I1211" s="14">
        <v>9000.0</v>
      </c>
      <c r="J1211" s="14"/>
      <c r="K1211" s="16">
        <f>IF(I1211&gt;0, J1211/I1211, 0)</f>
        <v>0</v>
      </c>
      <c r="L1211" s="14">
        <v>9000.0</v>
      </c>
      <c r="M1211" s="14"/>
      <c r="N1211" s="14">
        <f>L1211-M1211</f>
        <v>9000</v>
      </c>
      <c r="O1211" s="9" t="s">
        <v>40</v>
      </c>
      <c r="P1211" s="9" t="s">
        <v>41</v>
      </c>
      <c r="Q1211" s="9" t="s">
        <v>42</v>
      </c>
      <c r="R1211" s="7" t="s">
        <v>2158</v>
      </c>
      <c r="S1211" s="7" t="s">
        <v>42</v>
      </c>
    </row>
    <row r="1212" spans="1:19">
      <c r="A1212" s="8">
        <v>1205</v>
      </c>
      <c r="B1212" s="8" t="s">
        <v>1522</v>
      </c>
      <c r="C1212" s="8" t="s">
        <v>1516</v>
      </c>
      <c r="D1212" s="8" t="s">
        <v>652</v>
      </c>
      <c r="E1212" s="8" t="s">
        <v>33</v>
      </c>
      <c r="F1212" s="6" t="s">
        <v>39</v>
      </c>
      <c r="G1212" s="10">
        <v>1</v>
      </c>
      <c r="H1212" s="10">
        <v>1</v>
      </c>
      <c r="I1212" s="13">
        <v>16500.0</v>
      </c>
      <c r="J1212" s="13"/>
      <c r="K1212" s="15">
        <f>IF(I1212&gt;0, J1212/I1212, 0)</f>
        <v>0</v>
      </c>
      <c r="L1212" s="13">
        <v>16500.0</v>
      </c>
      <c r="M1212" s="13"/>
      <c r="N1212" s="13">
        <f>L1212-M1212</f>
        <v>16500</v>
      </c>
      <c r="O1212" s="8" t="s">
        <v>40</v>
      </c>
      <c r="P1212" s="8" t="s">
        <v>41</v>
      </c>
      <c r="Q1212" s="8" t="s">
        <v>42</v>
      </c>
      <c r="R1212" s="6" t="s">
        <v>2124</v>
      </c>
      <c r="S1212" s="6" t="s">
        <v>42</v>
      </c>
    </row>
    <row r="1213" spans="1:19">
      <c r="A1213" s="9">
        <v>1206</v>
      </c>
      <c r="B1213" s="9" t="s">
        <v>1523</v>
      </c>
      <c r="C1213" s="9" t="s">
        <v>1516</v>
      </c>
      <c r="D1213" s="9" t="s">
        <v>652</v>
      </c>
      <c r="E1213" s="9" t="s">
        <v>33</v>
      </c>
      <c r="F1213" s="7" t="s">
        <v>39</v>
      </c>
      <c r="G1213" s="11">
        <v>1</v>
      </c>
      <c r="H1213" s="11">
        <v>1</v>
      </c>
      <c r="I1213" s="14">
        <v>9000.0</v>
      </c>
      <c r="J1213" s="14"/>
      <c r="K1213" s="16">
        <f>IF(I1213&gt;0, J1213/I1213, 0)</f>
        <v>0</v>
      </c>
      <c r="L1213" s="14">
        <v>9000.0</v>
      </c>
      <c r="M1213" s="14"/>
      <c r="N1213" s="14">
        <f>L1213-M1213</f>
        <v>9000</v>
      </c>
      <c r="O1213" s="9" t="s">
        <v>40</v>
      </c>
      <c r="P1213" s="9" t="s">
        <v>41</v>
      </c>
      <c r="Q1213" s="9" t="s">
        <v>42</v>
      </c>
      <c r="R1213" s="7" t="s">
        <v>2200</v>
      </c>
      <c r="S1213" s="7" t="s">
        <v>42</v>
      </c>
    </row>
    <row r="1214" spans="1:19">
      <c r="A1214" s="8">
        <v>1207</v>
      </c>
      <c r="B1214" s="8" t="s">
        <v>1524</v>
      </c>
      <c r="C1214" s="8" t="s">
        <v>1516</v>
      </c>
      <c r="D1214" s="8" t="s">
        <v>652</v>
      </c>
      <c r="E1214" s="8" t="s">
        <v>33</v>
      </c>
      <c r="F1214" s="6" t="s">
        <v>39</v>
      </c>
      <c r="G1214" s="10">
        <v>1</v>
      </c>
      <c r="H1214" s="10">
        <v>1</v>
      </c>
      <c r="I1214" s="13">
        <v>8000.0</v>
      </c>
      <c r="J1214" s="13"/>
      <c r="K1214" s="15">
        <f>IF(I1214&gt;0, J1214/I1214, 0)</f>
        <v>0</v>
      </c>
      <c r="L1214" s="13">
        <v>8000.0</v>
      </c>
      <c r="M1214" s="13"/>
      <c r="N1214" s="13">
        <f>L1214-M1214</f>
        <v>8000</v>
      </c>
      <c r="O1214" s="8" t="s">
        <v>40</v>
      </c>
      <c r="P1214" s="8" t="s">
        <v>41</v>
      </c>
      <c r="Q1214" s="8" t="s">
        <v>42</v>
      </c>
      <c r="R1214" s="6" t="s">
        <v>2082</v>
      </c>
      <c r="S1214" s="6" t="s">
        <v>42</v>
      </c>
    </row>
    <row r="1215" spans="1:19">
      <c r="A1215" s="9">
        <v>1208</v>
      </c>
      <c r="B1215" s="9" t="s">
        <v>1525</v>
      </c>
      <c r="C1215" s="9" t="s">
        <v>1516</v>
      </c>
      <c r="D1215" s="9" t="s">
        <v>652</v>
      </c>
      <c r="E1215" s="9" t="s">
        <v>33</v>
      </c>
      <c r="F1215" s="7" t="s">
        <v>39</v>
      </c>
      <c r="G1215" s="11">
        <v>1</v>
      </c>
      <c r="H1215" s="11">
        <v>1</v>
      </c>
      <c r="I1215" s="14">
        <v>8000.0</v>
      </c>
      <c r="J1215" s="14"/>
      <c r="K1215" s="16">
        <f>IF(I1215&gt;0, J1215/I1215, 0)</f>
        <v>0</v>
      </c>
      <c r="L1215" s="14">
        <v>8000.0</v>
      </c>
      <c r="M1215" s="14"/>
      <c r="N1215" s="14">
        <f>L1215-M1215</f>
        <v>8000</v>
      </c>
      <c r="O1215" s="9" t="s">
        <v>40</v>
      </c>
      <c r="P1215" s="9" t="s">
        <v>41</v>
      </c>
      <c r="Q1215" s="9" t="s">
        <v>42</v>
      </c>
      <c r="R1215" s="7" t="s">
        <v>2122</v>
      </c>
      <c r="S1215" s="7" t="s">
        <v>42</v>
      </c>
    </row>
    <row r="1216" spans="1:19">
      <c r="A1216" s="8">
        <v>1209</v>
      </c>
      <c r="B1216" s="8" t="s">
        <v>1526</v>
      </c>
      <c r="C1216" s="8" t="s">
        <v>1516</v>
      </c>
      <c r="D1216" s="8" t="s">
        <v>652</v>
      </c>
      <c r="E1216" s="8" t="s">
        <v>68</v>
      </c>
      <c r="F1216" s="6" t="s">
        <v>39</v>
      </c>
      <c r="G1216" s="10">
        <v>1</v>
      </c>
      <c r="H1216" s="10">
        <v>1</v>
      </c>
      <c r="I1216" s="13">
        <v>8000.0</v>
      </c>
      <c r="J1216" s="13"/>
      <c r="K1216" s="15">
        <f>IF(I1216&gt;0, J1216/I1216, 0)</f>
        <v>0</v>
      </c>
      <c r="L1216" s="13">
        <v>8000.0</v>
      </c>
      <c r="M1216" s="13"/>
      <c r="N1216" s="13">
        <f>L1216-M1216</f>
        <v>8000</v>
      </c>
      <c r="O1216" s="8" t="s">
        <v>40</v>
      </c>
      <c r="P1216" s="8" t="s">
        <v>71</v>
      </c>
      <c r="Q1216" s="8" t="s">
        <v>42</v>
      </c>
      <c r="R1216" s="6" t="s">
        <v>2190</v>
      </c>
      <c r="S1216" s="6" t="s">
        <v>42</v>
      </c>
    </row>
    <row r="1217" spans="1:19">
      <c r="A1217" s="9">
        <v>1210</v>
      </c>
      <c r="B1217" s="9" t="s">
        <v>1527</v>
      </c>
      <c r="C1217" s="9" t="s">
        <v>1516</v>
      </c>
      <c r="D1217" s="9" t="s">
        <v>652</v>
      </c>
      <c r="E1217" s="9" t="s">
        <v>33</v>
      </c>
      <c r="F1217" s="7" t="s">
        <v>39</v>
      </c>
      <c r="G1217" s="11">
        <v>1</v>
      </c>
      <c r="H1217" s="11">
        <v>1</v>
      </c>
      <c r="I1217" s="14">
        <v>17000.0</v>
      </c>
      <c r="J1217" s="14"/>
      <c r="K1217" s="16">
        <f>IF(I1217&gt;0, J1217/I1217, 0)</f>
        <v>0</v>
      </c>
      <c r="L1217" s="14">
        <v>17000.0</v>
      </c>
      <c r="M1217" s="14"/>
      <c r="N1217" s="14">
        <f>L1217-M1217</f>
        <v>17000</v>
      </c>
      <c r="O1217" s="9" t="s">
        <v>40</v>
      </c>
      <c r="P1217" s="9" t="s">
        <v>41</v>
      </c>
      <c r="Q1217" s="9" t="s">
        <v>42</v>
      </c>
      <c r="R1217" s="7" t="s">
        <v>2127</v>
      </c>
      <c r="S1217" s="7" t="s">
        <v>42</v>
      </c>
    </row>
    <row r="1218" spans="1:19">
      <c r="A1218" s="8">
        <v>1211</v>
      </c>
      <c r="B1218" s="8" t="s">
        <v>1528</v>
      </c>
      <c r="C1218" s="8" t="s">
        <v>1516</v>
      </c>
      <c r="D1218" s="8" t="s">
        <v>652</v>
      </c>
      <c r="E1218" s="8" t="s">
        <v>68</v>
      </c>
      <c r="F1218" s="6" t="s">
        <v>39</v>
      </c>
      <c r="G1218" s="10">
        <v>1</v>
      </c>
      <c r="H1218" s="10">
        <v>1</v>
      </c>
      <c r="I1218" s="13">
        <v>10000.0</v>
      </c>
      <c r="J1218" s="13"/>
      <c r="K1218" s="15">
        <f>IF(I1218&gt;0, J1218/I1218, 0)</f>
        <v>0</v>
      </c>
      <c r="L1218" s="13">
        <v>10000.0</v>
      </c>
      <c r="M1218" s="13"/>
      <c r="N1218" s="13">
        <f>L1218-M1218</f>
        <v>10000</v>
      </c>
      <c r="O1218" s="8" t="s">
        <v>40</v>
      </c>
      <c r="P1218" s="8" t="s">
        <v>71</v>
      </c>
      <c r="Q1218" s="8" t="s">
        <v>42</v>
      </c>
      <c r="R1218" s="6" t="s">
        <v>2138</v>
      </c>
      <c r="S1218" s="6" t="s">
        <v>42</v>
      </c>
    </row>
    <row r="1219" spans="1:19">
      <c r="A1219" s="9">
        <v>1212</v>
      </c>
      <c r="B1219" s="9" t="s">
        <v>1529</v>
      </c>
      <c r="C1219" s="9" t="s">
        <v>1516</v>
      </c>
      <c r="D1219" s="9" t="s">
        <v>652</v>
      </c>
      <c r="E1219" s="9" t="s">
        <v>33</v>
      </c>
      <c r="F1219" s="7" t="s">
        <v>39</v>
      </c>
      <c r="G1219" s="11">
        <v>1</v>
      </c>
      <c r="H1219" s="11">
        <v>1</v>
      </c>
      <c r="I1219" s="14">
        <v>8000.0</v>
      </c>
      <c r="J1219" s="14"/>
      <c r="K1219" s="16">
        <f>IF(I1219&gt;0, J1219/I1219, 0)</f>
        <v>0</v>
      </c>
      <c r="L1219" s="14">
        <v>8000.0</v>
      </c>
      <c r="M1219" s="14"/>
      <c r="N1219" s="14">
        <f>L1219-M1219</f>
        <v>8000</v>
      </c>
      <c r="O1219" s="9" t="s">
        <v>40</v>
      </c>
      <c r="P1219" s="9" t="s">
        <v>41</v>
      </c>
      <c r="Q1219" s="9" t="s">
        <v>42</v>
      </c>
      <c r="R1219" s="7" t="s">
        <v>2116</v>
      </c>
      <c r="S1219" s="7" t="s">
        <v>42</v>
      </c>
    </row>
    <row r="1220" spans="1:19">
      <c r="A1220" s="8">
        <v>1213</v>
      </c>
      <c r="B1220" s="8" t="s">
        <v>1530</v>
      </c>
      <c r="C1220" s="8" t="s">
        <v>1516</v>
      </c>
      <c r="D1220" s="8" t="s">
        <v>652</v>
      </c>
      <c r="E1220" s="8" t="s">
        <v>33</v>
      </c>
      <c r="F1220" s="6" t="s">
        <v>39</v>
      </c>
      <c r="G1220" s="10">
        <v>1</v>
      </c>
      <c r="H1220" s="10">
        <v>1</v>
      </c>
      <c r="I1220" s="13">
        <v>8000.0</v>
      </c>
      <c r="J1220" s="13"/>
      <c r="K1220" s="15">
        <f>IF(I1220&gt;0, J1220/I1220, 0)</f>
        <v>0</v>
      </c>
      <c r="L1220" s="13">
        <v>8000.0</v>
      </c>
      <c r="M1220" s="13"/>
      <c r="N1220" s="13">
        <f>L1220-M1220</f>
        <v>8000</v>
      </c>
      <c r="O1220" s="8" t="s">
        <v>40</v>
      </c>
      <c r="P1220" s="8" t="s">
        <v>41</v>
      </c>
      <c r="Q1220" s="8" t="s">
        <v>42</v>
      </c>
      <c r="R1220" s="6" t="s">
        <v>2105</v>
      </c>
      <c r="S1220" s="6" t="s">
        <v>42</v>
      </c>
    </row>
    <row r="1221" spans="1:19">
      <c r="A1221" s="9">
        <v>1214</v>
      </c>
      <c r="B1221" s="9" t="s">
        <v>1531</v>
      </c>
      <c r="C1221" s="9" t="s">
        <v>1516</v>
      </c>
      <c r="D1221" s="9" t="s">
        <v>652</v>
      </c>
      <c r="E1221" s="9" t="s">
        <v>33</v>
      </c>
      <c r="F1221" s="7" t="s">
        <v>39</v>
      </c>
      <c r="G1221" s="11">
        <v>1</v>
      </c>
      <c r="H1221" s="11">
        <v>2</v>
      </c>
      <c r="I1221" s="14">
        <v>14000.0</v>
      </c>
      <c r="J1221" s="14"/>
      <c r="K1221" s="16">
        <f>IF(I1221&gt;0, J1221/I1221, 0)</f>
        <v>0</v>
      </c>
      <c r="L1221" s="14">
        <v>14000.0</v>
      </c>
      <c r="M1221" s="14"/>
      <c r="N1221" s="14">
        <f>L1221-M1221</f>
        <v>14000</v>
      </c>
      <c r="O1221" s="9" t="s">
        <v>40</v>
      </c>
      <c r="P1221" s="9" t="s">
        <v>41</v>
      </c>
      <c r="Q1221" s="9" t="s">
        <v>42</v>
      </c>
      <c r="R1221" s="7" t="s">
        <v>2117</v>
      </c>
      <c r="S1221" s="7" t="s">
        <v>42</v>
      </c>
    </row>
    <row r="1222" spans="1:19">
      <c r="A1222" s="8">
        <v>1215</v>
      </c>
      <c r="B1222" s="8" t="s">
        <v>1532</v>
      </c>
      <c r="C1222" s="8" t="s">
        <v>1533</v>
      </c>
      <c r="D1222" s="8" t="s">
        <v>652</v>
      </c>
      <c r="E1222" s="8" t="s">
        <v>33</v>
      </c>
      <c r="F1222" s="6" t="s">
        <v>39</v>
      </c>
      <c r="G1222" s="10">
        <v>1</v>
      </c>
      <c r="H1222" s="10">
        <v>1</v>
      </c>
      <c r="I1222" s="13">
        <v>18000.0</v>
      </c>
      <c r="J1222" s="13"/>
      <c r="K1222" s="15">
        <f>IF(I1222&gt;0, J1222/I1222, 0)</f>
        <v>0</v>
      </c>
      <c r="L1222" s="13">
        <v>18000.0</v>
      </c>
      <c r="M1222" s="13"/>
      <c r="N1222" s="13">
        <f>L1222-M1222</f>
        <v>18000</v>
      </c>
      <c r="O1222" s="8" t="s">
        <v>40</v>
      </c>
      <c r="P1222" s="8" t="s">
        <v>41</v>
      </c>
      <c r="Q1222" s="8" t="s">
        <v>42</v>
      </c>
      <c r="R1222" s="6" t="s">
        <v>2173</v>
      </c>
      <c r="S1222" s="6" t="s">
        <v>42</v>
      </c>
    </row>
    <row r="1223" spans="1:19">
      <c r="A1223" s="9">
        <v>1216</v>
      </c>
      <c r="B1223" s="9" t="s">
        <v>1534</v>
      </c>
      <c r="C1223" s="9" t="s">
        <v>1533</v>
      </c>
      <c r="D1223" s="9" t="s">
        <v>652</v>
      </c>
      <c r="E1223" s="9" t="s">
        <v>33</v>
      </c>
      <c r="F1223" s="7" t="s">
        <v>39</v>
      </c>
      <c r="G1223" s="11">
        <v>1</v>
      </c>
      <c r="H1223" s="11">
        <v>1</v>
      </c>
      <c r="I1223" s="14">
        <v>9500.0</v>
      </c>
      <c r="J1223" s="14"/>
      <c r="K1223" s="16">
        <f>IF(I1223&gt;0, J1223/I1223, 0)</f>
        <v>0</v>
      </c>
      <c r="L1223" s="14">
        <v>9500.0</v>
      </c>
      <c r="M1223" s="14"/>
      <c r="N1223" s="14">
        <f>L1223-M1223</f>
        <v>9500</v>
      </c>
      <c r="O1223" s="9" t="s">
        <v>40</v>
      </c>
      <c r="P1223" s="9" t="s">
        <v>41</v>
      </c>
      <c r="Q1223" s="9" t="s">
        <v>42</v>
      </c>
      <c r="R1223" s="7" t="s">
        <v>2214</v>
      </c>
      <c r="S1223" s="7" t="s">
        <v>42</v>
      </c>
    </row>
    <row r="1224" spans="1:19">
      <c r="A1224" s="8">
        <v>1217</v>
      </c>
      <c r="B1224" s="8" t="s">
        <v>1535</v>
      </c>
      <c r="C1224" s="8" t="s">
        <v>1533</v>
      </c>
      <c r="D1224" s="8" t="s">
        <v>652</v>
      </c>
      <c r="E1224" s="8" t="s">
        <v>33</v>
      </c>
      <c r="F1224" s="6" t="s">
        <v>39</v>
      </c>
      <c r="G1224" s="10">
        <v>1</v>
      </c>
      <c r="H1224" s="10">
        <v>2</v>
      </c>
      <c r="I1224" s="13">
        <v>16000.0</v>
      </c>
      <c r="J1224" s="13"/>
      <c r="K1224" s="15">
        <f>IF(I1224&gt;0, J1224/I1224, 0)</f>
        <v>0</v>
      </c>
      <c r="L1224" s="13">
        <v>16000.0</v>
      </c>
      <c r="M1224" s="13"/>
      <c r="N1224" s="13">
        <f>L1224-M1224</f>
        <v>16000</v>
      </c>
      <c r="O1224" s="8" t="s">
        <v>40</v>
      </c>
      <c r="P1224" s="8" t="s">
        <v>41</v>
      </c>
      <c r="Q1224" s="8" t="s">
        <v>42</v>
      </c>
      <c r="R1224" s="6" t="s">
        <v>2267</v>
      </c>
      <c r="S1224" s="6" t="s">
        <v>42</v>
      </c>
    </row>
    <row r="1225" spans="1:19">
      <c r="A1225" s="9">
        <v>1218</v>
      </c>
      <c r="B1225" s="9" t="s">
        <v>1536</v>
      </c>
      <c r="C1225" s="9" t="s">
        <v>1533</v>
      </c>
      <c r="D1225" s="9" t="s">
        <v>652</v>
      </c>
      <c r="E1225" s="9" t="s">
        <v>33</v>
      </c>
      <c r="F1225" s="7" t="s">
        <v>39</v>
      </c>
      <c r="G1225" s="11">
        <v>1</v>
      </c>
      <c r="H1225" s="11">
        <v>1</v>
      </c>
      <c r="I1225" s="14">
        <v>8000.0</v>
      </c>
      <c r="J1225" s="14"/>
      <c r="K1225" s="16">
        <f>IF(I1225&gt;0, J1225/I1225, 0)</f>
        <v>0</v>
      </c>
      <c r="L1225" s="14">
        <v>8000.0</v>
      </c>
      <c r="M1225" s="14"/>
      <c r="N1225" s="14">
        <f>L1225-M1225</f>
        <v>8000</v>
      </c>
      <c r="O1225" s="9" t="s">
        <v>40</v>
      </c>
      <c r="P1225" s="9" t="s">
        <v>41</v>
      </c>
      <c r="Q1225" s="9" t="s">
        <v>42</v>
      </c>
      <c r="R1225" s="7" t="s">
        <v>2155</v>
      </c>
      <c r="S1225" s="7" t="s">
        <v>42</v>
      </c>
    </row>
    <row r="1226" spans="1:19">
      <c r="A1226" s="8">
        <v>1219</v>
      </c>
      <c r="B1226" s="8" t="s">
        <v>1537</v>
      </c>
      <c r="C1226" s="8" t="s">
        <v>1533</v>
      </c>
      <c r="D1226" s="8" t="s">
        <v>652</v>
      </c>
      <c r="E1226" s="8" t="s">
        <v>68</v>
      </c>
      <c r="F1226" s="6" t="s">
        <v>39</v>
      </c>
      <c r="G1226" s="10">
        <v>1</v>
      </c>
      <c r="H1226" s="10">
        <v>1</v>
      </c>
      <c r="I1226" s="13">
        <v>11000.0</v>
      </c>
      <c r="J1226" s="13"/>
      <c r="K1226" s="15">
        <f>IF(I1226&gt;0, J1226/I1226, 0)</f>
        <v>0</v>
      </c>
      <c r="L1226" s="13">
        <v>11000.0</v>
      </c>
      <c r="M1226" s="13"/>
      <c r="N1226" s="13">
        <f>L1226-M1226</f>
        <v>11000</v>
      </c>
      <c r="O1226" s="8" t="s">
        <v>40</v>
      </c>
      <c r="P1226" s="8" t="s">
        <v>71</v>
      </c>
      <c r="Q1226" s="8" t="s">
        <v>42</v>
      </c>
      <c r="R1226" s="6" t="s">
        <v>2129</v>
      </c>
      <c r="S1226" s="6" t="s">
        <v>42</v>
      </c>
    </row>
    <row r="1227" spans="1:19">
      <c r="A1227" s="9">
        <v>1220</v>
      </c>
      <c r="B1227" s="9" t="s">
        <v>1538</v>
      </c>
      <c r="C1227" s="9" t="s">
        <v>1533</v>
      </c>
      <c r="D1227" s="9" t="s">
        <v>652</v>
      </c>
      <c r="E1227" s="9" t="s">
        <v>33</v>
      </c>
      <c r="F1227" s="7" t="s">
        <v>39</v>
      </c>
      <c r="G1227" s="11">
        <v>1</v>
      </c>
      <c r="H1227" s="11">
        <v>1</v>
      </c>
      <c r="I1227" s="14">
        <v>9000.0</v>
      </c>
      <c r="J1227" s="14"/>
      <c r="K1227" s="16">
        <f>IF(I1227&gt;0, J1227/I1227, 0)</f>
        <v>0</v>
      </c>
      <c r="L1227" s="14">
        <v>9000.0</v>
      </c>
      <c r="M1227" s="14"/>
      <c r="N1227" s="14">
        <f>L1227-M1227</f>
        <v>9000</v>
      </c>
      <c r="O1227" s="9" t="s">
        <v>40</v>
      </c>
      <c r="P1227" s="9" t="s">
        <v>41</v>
      </c>
      <c r="Q1227" s="9" t="s">
        <v>42</v>
      </c>
      <c r="R1227" s="7" t="s">
        <v>2077</v>
      </c>
      <c r="S1227" s="7" t="s">
        <v>42</v>
      </c>
    </row>
    <row r="1228" spans="1:19">
      <c r="A1228" s="8">
        <v>1221</v>
      </c>
      <c r="B1228" s="8" t="s">
        <v>1539</v>
      </c>
      <c r="C1228" s="8" t="s">
        <v>1533</v>
      </c>
      <c r="D1228" s="8" t="s">
        <v>652</v>
      </c>
      <c r="E1228" s="8" t="s">
        <v>33</v>
      </c>
      <c r="F1228" s="6" t="s">
        <v>39</v>
      </c>
      <c r="G1228" s="10">
        <v>1</v>
      </c>
      <c r="H1228" s="10">
        <v>2</v>
      </c>
      <c r="I1228" s="13">
        <v>16000.0</v>
      </c>
      <c r="J1228" s="13"/>
      <c r="K1228" s="15">
        <f>IF(I1228&gt;0, J1228/I1228, 0)</f>
        <v>0</v>
      </c>
      <c r="L1228" s="13">
        <v>16000.0</v>
      </c>
      <c r="M1228" s="13"/>
      <c r="N1228" s="13">
        <f>L1228-M1228</f>
        <v>16000</v>
      </c>
      <c r="O1228" s="8" t="s">
        <v>40</v>
      </c>
      <c r="P1228" s="8" t="s">
        <v>41</v>
      </c>
      <c r="Q1228" s="8" t="s">
        <v>42</v>
      </c>
      <c r="R1228" s="6" t="s">
        <v>2199</v>
      </c>
      <c r="S1228" s="6" t="s">
        <v>42</v>
      </c>
    </row>
    <row r="1229" spans="1:19">
      <c r="A1229" s="9">
        <v>1222</v>
      </c>
      <c r="B1229" s="9" t="s">
        <v>1540</v>
      </c>
      <c r="C1229" s="9" t="s">
        <v>1533</v>
      </c>
      <c r="D1229" s="9" t="s">
        <v>652</v>
      </c>
      <c r="E1229" s="9" t="s">
        <v>33</v>
      </c>
      <c r="F1229" s="7" t="s">
        <v>39</v>
      </c>
      <c r="G1229" s="11">
        <v>1</v>
      </c>
      <c r="H1229" s="11">
        <v>1</v>
      </c>
      <c r="I1229" s="14">
        <v>18000.0</v>
      </c>
      <c r="J1229" s="14"/>
      <c r="K1229" s="16">
        <f>IF(I1229&gt;0, J1229/I1229, 0)</f>
        <v>0</v>
      </c>
      <c r="L1229" s="14">
        <v>18000.0</v>
      </c>
      <c r="M1229" s="14"/>
      <c r="N1229" s="14">
        <f>L1229-M1229</f>
        <v>18000</v>
      </c>
      <c r="O1229" s="9" t="s">
        <v>40</v>
      </c>
      <c r="P1229" s="9" t="s">
        <v>41</v>
      </c>
      <c r="Q1229" s="9" t="s">
        <v>42</v>
      </c>
      <c r="R1229" s="7" t="s">
        <v>2160</v>
      </c>
      <c r="S1229" s="7" t="s">
        <v>42</v>
      </c>
    </row>
    <row r="1230" spans="1:19">
      <c r="A1230" s="8">
        <v>1223</v>
      </c>
      <c r="B1230" s="8" t="s">
        <v>1541</v>
      </c>
      <c r="C1230" s="8" t="s">
        <v>1533</v>
      </c>
      <c r="D1230" s="8" t="s">
        <v>652</v>
      </c>
      <c r="E1230" s="8" t="s">
        <v>33</v>
      </c>
      <c r="F1230" s="6" t="s">
        <v>39</v>
      </c>
      <c r="G1230" s="10">
        <v>1</v>
      </c>
      <c r="H1230" s="10">
        <v>2</v>
      </c>
      <c r="I1230" s="13">
        <v>16000.0</v>
      </c>
      <c r="J1230" s="13"/>
      <c r="K1230" s="15">
        <f>IF(I1230&gt;0, J1230/I1230, 0)</f>
        <v>0</v>
      </c>
      <c r="L1230" s="13">
        <v>16000.0</v>
      </c>
      <c r="M1230" s="13"/>
      <c r="N1230" s="13">
        <f>L1230-M1230</f>
        <v>16000</v>
      </c>
      <c r="O1230" s="8" t="s">
        <v>40</v>
      </c>
      <c r="P1230" s="8" t="s">
        <v>41</v>
      </c>
      <c r="Q1230" s="8" t="s">
        <v>42</v>
      </c>
      <c r="R1230" s="6" t="s">
        <v>2168</v>
      </c>
      <c r="S1230" s="6" t="s">
        <v>42</v>
      </c>
    </row>
    <row r="1231" spans="1:19">
      <c r="A1231" s="9">
        <v>1224</v>
      </c>
      <c r="B1231" s="9" t="s">
        <v>1542</v>
      </c>
      <c r="C1231" s="9" t="s">
        <v>1533</v>
      </c>
      <c r="D1231" s="9" t="s">
        <v>652</v>
      </c>
      <c r="E1231" s="9" t="s">
        <v>33</v>
      </c>
      <c r="F1231" s="7" t="s">
        <v>39</v>
      </c>
      <c r="G1231" s="11">
        <v>1</v>
      </c>
      <c r="H1231" s="11">
        <v>1</v>
      </c>
      <c r="I1231" s="14">
        <v>18000.0</v>
      </c>
      <c r="J1231" s="14"/>
      <c r="K1231" s="16">
        <f>IF(I1231&gt;0, J1231/I1231, 0)</f>
        <v>0</v>
      </c>
      <c r="L1231" s="14">
        <v>18000.0</v>
      </c>
      <c r="M1231" s="14"/>
      <c r="N1231" s="14">
        <f>L1231-M1231</f>
        <v>18000</v>
      </c>
      <c r="O1231" s="9" t="s">
        <v>40</v>
      </c>
      <c r="P1231" s="9" t="s">
        <v>41</v>
      </c>
      <c r="Q1231" s="9" t="s">
        <v>42</v>
      </c>
      <c r="R1231" s="7" t="s">
        <v>2119</v>
      </c>
      <c r="S1231" s="7" t="s">
        <v>42</v>
      </c>
    </row>
    <row r="1232" spans="1:19">
      <c r="A1232" s="8">
        <v>1225</v>
      </c>
      <c r="B1232" s="8" t="s">
        <v>1543</v>
      </c>
      <c r="C1232" s="8" t="s">
        <v>1533</v>
      </c>
      <c r="D1232" s="8" t="s">
        <v>652</v>
      </c>
      <c r="E1232" s="8" t="s">
        <v>33</v>
      </c>
      <c r="F1232" s="6" t="s">
        <v>39</v>
      </c>
      <c r="G1232" s="10">
        <v>1</v>
      </c>
      <c r="H1232" s="10">
        <v>1</v>
      </c>
      <c r="I1232" s="13">
        <v>7000.0</v>
      </c>
      <c r="J1232" s="13"/>
      <c r="K1232" s="15">
        <f>IF(I1232&gt;0, J1232/I1232, 0)</f>
        <v>0</v>
      </c>
      <c r="L1232" s="13">
        <v>7000.0</v>
      </c>
      <c r="M1232" s="13"/>
      <c r="N1232" s="13">
        <f>L1232-M1232</f>
        <v>7000</v>
      </c>
      <c r="O1232" s="8" t="s">
        <v>40</v>
      </c>
      <c r="P1232" s="8" t="s">
        <v>41</v>
      </c>
      <c r="Q1232" s="8" t="s">
        <v>42</v>
      </c>
      <c r="R1232" s="6" t="s">
        <v>2100</v>
      </c>
      <c r="S1232" s="6" t="s">
        <v>42</v>
      </c>
    </row>
    <row r="1233" spans="1:19">
      <c r="A1233" s="9">
        <v>1226</v>
      </c>
      <c r="B1233" s="9" t="s">
        <v>1544</v>
      </c>
      <c r="C1233" s="9" t="s">
        <v>1533</v>
      </c>
      <c r="D1233" s="9" t="s">
        <v>652</v>
      </c>
      <c r="E1233" s="9" t="s">
        <v>33</v>
      </c>
      <c r="F1233" s="7" t="s">
        <v>39</v>
      </c>
      <c r="G1233" s="11">
        <v>1</v>
      </c>
      <c r="H1233" s="11">
        <v>1</v>
      </c>
      <c r="I1233" s="14">
        <v>9000.0</v>
      </c>
      <c r="J1233" s="14"/>
      <c r="K1233" s="16">
        <f>IF(I1233&gt;0, J1233/I1233, 0)</f>
        <v>0</v>
      </c>
      <c r="L1233" s="14">
        <v>9000.0</v>
      </c>
      <c r="M1233" s="14"/>
      <c r="N1233" s="14">
        <f>L1233-M1233</f>
        <v>9000</v>
      </c>
      <c r="O1233" s="9" t="s">
        <v>40</v>
      </c>
      <c r="P1233" s="9" t="s">
        <v>41</v>
      </c>
      <c r="Q1233" s="9" t="s">
        <v>42</v>
      </c>
      <c r="R1233" s="7" t="s">
        <v>2129</v>
      </c>
      <c r="S1233" s="7" t="s">
        <v>42</v>
      </c>
    </row>
    <row r="1234" spans="1:19">
      <c r="A1234" s="8">
        <v>1227</v>
      </c>
      <c r="B1234" s="8" t="s">
        <v>1546</v>
      </c>
      <c r="C1234" s="8" t="s">
        <v>1533</v>
      </c>
      <c r="D1234" s="8" t="s">
        <v>652</v>
      </c>
      <c r="E1234" s="8" t="s">
        <v>33</v>
      </c>
      <c r="F1234" s="6" t="s">
        <v>39</v>
      </c>
      <c r="G1234" s="10">
        <v>1</v>
      </c>
      <c r="H1234" s="10">
        <v>4</v>
      </c>
      <c r="I1234" s="13">
        <v>28000.0</v>
      </c>
      <c r="J1234" s="13"/>
      <c r="K1234" s="15">
        <f>IF(I1234&gt;0, J1234/I1234, 0)</f>
        <v>0</v>
      </c>
      <c r="L1234" s="13">
        <v>28000.0</v>
      </c>
      <c r="M1234" s="13"/>
      <c r="N1234" s="13">
        <f>L1234-M1234</f>
        <v>28000</v>
      </c>
      <c r="O1234" s="8" t="s">
        <v>40</v>
      </c>
      <c r="P1234" s="8" t="s">
        <v>41</v>
      </c>
      <c r="Q1234" s="8" t="s">
        <v>42</v>
      </c>
      <c r="R1234" s="6" t="s">
        <v>2245</v>
      </c>
      <c r="S1234" s="6" t="s">
        <v>42</v>
      </c>
    </row>
    <row r="1235" spans="1:19">
      <c r="A1235" s="9">
        <v>1228</v>
      </c>
      <c r="B1235" s="9" t="s">
        <v>1547</v>
      </c>
      <c r="C1235" s="9" t="s">
        <v>1533</v>
      </c>
      <c r="D1235" s="9" t="s">
        <v>652</v>
      </c>
      <c r="E1235" s="9" t="s">
        <v>68</v>
      </c>
      <c r="F1235" s="7" t="s">
        <v>39</v>
      </c>
      <c r="G1235" s="11">
        <v>1</v>
      </c>
      <c r="H1235" s="11">
        <v>1</v>
      </c>
      <c r="I1235" s="14">
        <v>18000.0</v>
      </c>
      <c r="J1235" s="14"/>
      <c r="K1235" s="16">
        <f>IF(I1235&gt;0, J1235/I1235, 0)</f>
        <v>0</v>
      </c>
      <c r="L1235" s="14">
        <v>18000.0</v>
      </c>
      <c r="M1235" s="14"/>
      <c r="N1235" s="14">
        <f>L1235-M1235</f>
        <v>18000</v>
      </c>
      <c r="O1235" s="9" t="s">
        <v>40</v>
      </c>
      <c r="P1235" s="9" t="s">
        <v>71</v>
      </c>
      <c r="Q1235" s="9" t="s">
        <v>42</v>
      </c>
      <c r="R1235" s="7" t="s">
        <v>2093</v>
      </c>
      <c r="S1235" s="7" t="s">
        <v>42</v>
      </c>
    </row>
    <row r="1236" spans="1:19">
      <c r="A1236" s="8">
        <v>1229</v>
      </c>
      <c r="B1236" s="8" t="s">
        <v>1548</v>
      </c>
      <c r="C1236" s="8" t="s">
        <v>1533</v>
      </c>
      <c r="D1236" s="8" t="s">
        <v>652</v>
      </c>
      <c r="E1236" s="8" t="s">
        <v>33</v>
      </c>
      <c r="F1236" s="6" t="s">
        <v>39</v>
      </c>
      <c r="G1236" s="10">
        <v>1</v>
      </c>
      <c r="H1236" s="10">
        <v>1</v>
      </c>
      <c r="I1236" s="13">
        <v>7000.0</v>
      </c>
      <c r="J1236" s="13"/>
      <c r="K1236" s="15">
        <f>IF(I1236&gt;0, J1236/I1236, 0)</f>
        <v>0</v>
      </c>
      <c r="L1236" s="13">
        <v>7000.0</v>
      </c>
      <c r="M1236" s="13"/>
      <c r="N1236" s="13">
        <f>L1236-M1236</f>
        <v>7000</v>
      </c>
      <c r="O1236" s="8" t="s">
        <v>40</v>
      </c>
      <c r="P1236" s="8" t="s">
        <v>41</v>
      </c>
      <c r="Q1236" s="8" t="s">
        <v>42</v>
      </c>
      <c r="R1236" s="6" t="s">
        <v>2088</v>
      </c>
      <c r="S1236" s="6" t="s">
        <v>42</v>
      </c>
    </row>
    <row r="1237" spans="1:19">
      <c r="A1237" s="9">
        <v>1230</v>
      </c>
      <c r="B1237" s="9" t="s">
        <v>1550</v>
      </c>
      <c r="C1237" s="9" t="s">
        <v>1533</v>
      </c>
      <c r="D1237" s="9" t="s">
        <v>652</v>
      </c>
      <c r="E1237" s="9" t="s">
        <v>33</v>
      </c>
      <c r="F1237" s="7" t="s">
        <v>39</v>
      </c>
      <c r="G1237" s="11">
        <v>1</v>
      </c>
      <c r="H1237" s="11">
        <v>1</v>
      </c>
      <c r="I1237" s="14">
        <v>7000.0</v>
      </c>
      <c r="J1237" s="14"/>
      <c r="K1237" s="16">
        <f>IF(I1237&gt;0, J1237/I1237, 0)</f>
        <v>0</v>
      </c>
      <c r="L1237" s="14">
        <v>7000.0</v>
      </c>
      <c r="M1237" s="14"/>
      <c r="N1237" s="14">
        <f>L1237-M1237</f>
        <v>7000</v>
      </c>
      <c r="O1237" s="9" t="s">
        <v>40</v>
      </c>
      <c r="P1237" s="9" t="s">
        <v>41</v>
      </c>
      <c r="Q1237" s="9" t="s">
        <v>42</v>
      </c>
      <c r="R1237" s="7" t="s">
        <v>2100</v>
      </c>
      <c r="S1237" s="7" t="s">
        <v>42</v>
      </c>
    </row>
    <row r="1238" spans="1:19">
      <c r="A1238" s="8">
        <v>1231</v>
      </c>
      <c r="B1238" s="8" t="s">
        <v>1551</v>
      </c>
      <c r="C1238" s="8" t="s">
        <v>1533</v>
      </c>
      <c r="D1238" s="8" t="s">
        <v>652</v>
      </c>
      <c r="E1238" s="8" t="s">
        <v>33</v>
      </c>
      <c r="F1238" s="6" t="s">
        <v>39</v>
      </c>
      <c r="G1238" s="10">
        <v>1</v>
      </c>
      <c r="H1238" s="10">
        <v>1</v>
      </c>
      <c r="I1238" s="13">
        <v>8000.0</v>
      </c>
      <c r="J1238" s="13"/>
      <c r="K1238" s="15">
        <f>IF(I1238&gt;0, J1238/I1238, 0)</f>
        <v>0</v>
      </c>
      <c r="L1238" s="13">
        <v>8000.0</v>
      </c>
      <c r="M1238" s="13"/>
      <c r="N1238" s="13">
        <f>L1238-M1238</f>
        <v>8000</v>
      </c>
      <c r="O1238" s="8" t="s">
        <v>40</v>
      </c>
      <c r="P1238" s="8" t="s">
        <v>41</v>
      </c>
      <c r="Q1238" s="8" t="s">
        <v>42</v>
      </c>
      <c r="R1238" s="6" t="s">
        <v>2099</v>
      </c>
      <c r="S1238" s="6" t="s">
        <v>42</v>
      </c>
    </row>
    <row r="1239" spans="1:19">
      <c r="A1239" s="9">
        <v>1232</v>
      </c>
      <c r="B1239" s="9" t="s">
        <v>1552</v>
      </c>
      <c r="C1239" s="9" t="s">
        <v>1533</v>
      </c>
      <c r="D1239" s="9" t="s">
        <v>652</v>
      </c>
      <c r="E1239" s="9" t="s">
        <v>33</v>
      </c>
      <c r="F1239" s="7" t="s">
        <v>39</v>
      </c>
      <c r="G1239" s="11">
        <v>1</v>
      </c>
      <c r="H1239" s="11">
        <v>1</v>
      </c>
      <c r="I1239" s="14">
        <v>8000.0</v>
      </c>
      <c r="J1239" s="14"/>
      <c r="K1239" s="16">
        <f>IF(I1239&gt;0, J1239/I1239, 0)</f>
        <v>0</v>
      </c>
      <c r="L1239" s="14">
        <v>8000.0</v>
      </c>
      <c r="M1239" s="14"/>
      <c r="N1239" s="14">
        <f>L1239-M1239</f>
        <v>8000</v>
      </c>
      <c r="O1239" s="9" t="s">
        <v>40</v>
      </c>
      <c r="P1239" s="9" t="s">
        <v>41</v>
      </c>
      <c r="Q1239" s="9" t="s">
        <v>42</v>
      </c>
      <c r="R1239" s="7" t="s">
        <v>2074</v>
      </c>
      <c r="S1239" s="7" t="s">
        <v>42</v>
      </c>
    </row>
    <row r="1240" spans="1:19">
      <c r="A1240" s="8">
        <v>1233</v>
      </c>
      <c r="B1240" s="8" t="s">
        <v>1553</v>
      </c>
      <c r="C1240" s="8" t="s">
        <v>1533</v>
      </c>
      <c r="D1240" s="8" t="s">
        <v>652</v>
      </c>
      <c r="E1240" s="8" t="s">
        <v>33</v>
      </c>
      <c r="F1240" s="6" t="s">
        <v>39</v>
      </c>
      <c r="G1240" s="10">
        <v>1</v>
      </c>
      <c r="H1240" s="10">
        <v>1</v>
      </c>
      <c r="I1240" s="13">
        <v>8000.0</v>
      </c>
      <c r="J1240" s="13"/>
      <c r="K1240" s="15">
        <f>IF(I1240&gt;0, J1240/I1240, 0)</f>
        <v>0</v>
      </c>
      <c r="L1240" s="13">
        <v>8000.0</v>
      </c>
      <c r="M1240" s="13"/>
      <c r="N1240" s="13">
        <f>L1240-M1240</f>
        <v>8000</v>
      </c>
      <c r="O1240" s="8" t="s">
        <v>40</v>
      </c>
      <c r="P1240" s="8" t="s">
        <v>41</v>
      </c>
      <c r="Q1240" s="8" t="s">
        <v>42</v>
      </c>
      <c r="R1240" s="6" t="s">
        <v>2107</v>
      </c>
      <c r="S1240" s="6" t="s">
        <v>42</v>
      </c>
    </row>
    <row r="1241" spans="1:19">
      <c r="A1241" s="9">
        <v>1234</v>
      </c>
      <c r="B1241" s="9" t="s">
        <v>1554</v>
      </c>
      <c r="C1241" s="9" t="s">
        <v>1533</v>
      </c>
      <c r="D1241" s="9" t="s">
        <v>652</v>
      </c>
      <c r="E1241" s="9" t="s">
        <v>33</v>
      </c>
      <c r="F1241" s="7" t="s">
        <v>39</v>
      </c>
      <c r="G1241" s="11">
        <v>1</v>
      </c>
      <c r="H1241" s="11">
        <v>1</v>
      </c>
      <c r="I1241" s="14">
        <v>17000.0</v>
      </c>
      <c r="J1241" s="14"/>
      <c r="K1241" s="16">
        <f>IF(I1241&gt;0, J1241/I1241, 0)</f>
        <v>0</v>
      </c>
      <c r="L1241" s="14">
        <v>17000.0</v>
      </c>
      <c r="M1241" s="14"/>
      <c r="N1241" s="14">
        <f>L1241-M1241</f>
        <v>17000</v>
      </c>
      <c r="O1241" s="9" t="s">
        <v>40</v>
      </c>
      <c r="P1241" s="9" t="s">
        <v>41</v>
      </c>
      <c r="Q1241" s="9" t="s">
        <v>42</v>
      </c>
      <c r="R1241" s="7" t="s">
        <v>2132</v>
      </c>
      <c r="S1241" s="7" t="s">
        <v>42</v>
      </c>
    </row>
    <row r="1242" spans="1:19">
      <c r="A1242" s="8">
        <v>1235</v>
      </c>
      <c r="B1242" s="8" t="s">
        <v>1555</v>
      </c>
      <c r="C1242" s="8" t="s">
        <v>1533</v>
      </c>
      <c r="D1242" s="8" t="s">
        <v>652</v>
      </c>
      <c r="E1242" s="8" t="s">
        <v>68</v>
      </c>
      <c r="F1242" s="6" t="s">
        <v>39</v>
      </c>
      <c r="G1242" s="10">
        <v>1</v>
      </c>
      <c r="H1242" s="10">
        <v>1</v>
      </c>
      <c r="I1242" s="13">
        <v>10000.0</v>
      </c>
      <c r="J1242" s="13"/>
      <c r="K1242" s="15">
        <f>IF(I1242&gt;0, J1242/I1242, 0)</f>
        <v>0</v>
      </c>
      <c r="L1242" s="13">
        <v>10000.0</v>
      </c>
      <c r="M1242" s="13"/>
      <c r="N1242" s="13">
        <f>L1242-M1242</f>
        <v>10000</v>
      </c>
      <c r="O1242" s="8" t="s">
        <v>40</v>
      </c>
      <c r="P1242" s="8" t="s">
        <v>71</v>
      </c>
      <c r="Q1242" s="8" t="s">
        <v>42</v>
      </c>
      <c r="R1242" s="6" t="s">
        <v>2130</v>
      </c>
      <c r="S1242" s="6" t="s">
        <v>42</v>
      </c>
    </row>
    <row r="1243" spans="1:19">
      <c r="A1243" s="9">
        <v>1236</v>
      </c>
      <c r="B1243" s="9" t="s">
        <v>1556</v>
      </c>
      <c r="C1243" s="9" t="s">
        <v>1533</v>
      </c>
      <c r="D1243" s="9" t="s">
        <v>652</v>
      </c>
      <c r="E1243" s="9" t="s">
        <v>33</v>
      </c>
      <c r="F1243" s="7" t="s">
        <v>39</v>
      </c>
      <c r="G1243" s="11">
        <v>1</v>
      </c>
      <c r="H1243" s="11">
        <v>2</v>
      </c>
      <c r="I1243" s="14">
        <v>14000.0</v>
      </c>
      <c r="J1243" s="14"/>
      <c r="K1243" s="16">
        <f>IF(I1243&gt;0, J1243/I1243, 0)</f>
        <v>0</v>
      </c>
      <c r="L1243" s="14">
        <v>14000.0</v>
      </c>
      <c r="M1243" s="14"/>
      <c r="N1243" s="14">
        <f>L1243-M1243</f>
        <v>14000</v>
      </c>
      <c r="O1243" s="9" t="s">
        <v>40</v>
      </c>
      <c r="P1243" s="9" t="s">
        <v>41</v>
      </c>
      <c r="Q1243" s="9" t="s">
        <v>42</v>
      </c>
      <c r="R1243" s="7" t="s">
        <v>2192</v>
      </c>
      <c r="S1243" s="7" t="s">
        <v>42</v>
      </c>
    </row>
    <row r="1244" spans="1:19">
      <c r="A1244" s="8">
        <v>1237</v>
      </c>
      <c r="B1244" s="8" t="s">
        <v>1557</v>
      </c>
      <c r="C1244" s="8" t="s">
        <v>1533</v>
      </c>
      <c r="D1244" s="8" t="s">
        <v>652</v>
      </c>
      <c r="E1244" s="8" t="s">
        <v>33</v>
      </c>
      <c r="F1244" s="6" t="s">
        <v>39</v>
      </c>
      <c r="G1244" s="10">
        <v>1</v>
      </c>
      <c r="H1244" s="10">
        <v>1</v>
      </c>
      <c r="I1244" s="13">
        <v>8000.0</v>
      </c>
      <c r="J1244" s="13"/>
      <c r="K1244" s="15">
        <f>IF(I1244&gt;0, J1244/I1244, 0)</f>
        <v>0</v>
      </c>
      <c r="L1244" s="13">
        <v>8000.0</v>
      </c>
      <c r="M1244" s="13"/>
      <c r="N1244" s="13">
        <f>L1244-M1244</f>
        <v>8000</v>
      </c>
      <c r="O1244" s="8" t="s">
        <v>40</v>
      </c>
      <c r="P1244" s="8" t="s">
        <v>41</v>
      </c>
      <c r="Q1244" s="8" t="s">
        <v>42</v>
      </c>
      <c r="R1244" s="6" t="s">
        <v>2163</v>
      </c>
      <c r="S1244" s="6" t="s">
        <v>42</v>
      </c>
    </row>
    <row r="1245" spans="1:19">
      <c r="A1245" s="9">
        <v>1238</v>
      </c>
      <c r="B1245" s="9" t="s">
        <v>1558</v>
      </c>
      <c r="C1245" s="9" t="s">
        <v>1533</v>
      </c>
      <c r="D1245" s="9" t="s">
        <v>652</v>
      </c>
      <c r="E1245" s="9" t="s">
        <v>33</v>
      </c>
      <c r="F1245" s="7" t="s">
        <v>39</v>
      </c>
      <c r="G1245" s="11">
        <v>1</v>
      </c>
      <c r="H1245" s="11">
        <v>1</v>
      </c>
      <c r="I1245" s="14">
        <v>18000.0</v>
      </c>
      <c r="J1245" s="14"/>
      <c r="K1245" s="16">
        <f>IF(I1245&gt;0, J1245/I1245, 0)</f>
        <v>0</v>
      </c>
      <c r="L1245" s="14">
        <v>18000.0</v>
      </c>
      <c r="M1245" s="14"/>
      <c r="N1245" s="14">
        <f>L1245-M1245</f>
        <v>18000</v>
      </c>
      <c r="O1245" s="9" t="s">
        <v>40</v>
      </c>
      <c r="P1245" s="9" t="s">
        <v>41</v>
      </c>
      <c r="Q1245" s="9" t="s">
        <v>42</v>
      </c>
      <c r="R1245" s="7" t="s">
        <v>2170</v>
      </c>
      <c r="S1245" s="7" t="s">
        <v>42</v>
      </c>
    </row>
    <row r="1246" spans="1:19">
      <c r="A1246" s="8">
        <v>1239</v>
      </c>
      <c r="B1246" s="8" t="s">
        <v>1559</v>
      </c>
      <c r="C1246" s="8" t="s">
        <v>1533</v>
      </c>
      <c r="D1246" s="8" t="s">
        <v>652</v>
      </c>
      <c r="E1246" s="8" t="s">
        <v>68</v>
      </c>
      <c r="F1246" s="6" t="s">
        <v>39</v>
      </c>
      <c r="G1246" s="10">
        <v>1</v>
      </c>
      <c r="H1246" s="10">
        <v>1</v>
      </c>
      <c r="I1246" s="13">
        <v>9000.0</v>
      </c>
      <c r="J1246" s="13"/>
      <c r="K1246" s="15">
        <f>IF(I1246&gt;0, J1246/I1246, 0)</f>
        <v>0</v>
      </c>
      <c r="L1246" s="13">
        <v>9000.0</v>
      </c>
      <c r="M1246" s="13"/>
      <c r="N1246" s="13">
        <f>L1246-M1246</f>
        <v>9000</v>
      </c>
      <c r="O1246" s="8" t="s">
        <v>40</v>
      </c>
      <c r="P1246" s="8" t="s">
        <v>71</v>
      </c>
      <c r="Q1246" s="8" t="s">
        <v>42</v>
      </c>
      <c r="R1246" s="6" t="s">
        <v>2131</v>
      </c>
      <c r="S1246" s="6" t="s">
        <v>42</v>
      </c>
    </row>
    <row r="1247" spans="1:19">
      <c r="A1247" s="9">
        <v>1240</v>
      </c>
      <c r="B1247" s="9" t="s">
        <v>1560</v>
      </c>
      <c r="C1247" s="9" t="s">
        <v>1533</v>
      </c>
      <c r="D1247" s="9" t="s">
        <v>652</v>
      </c>
      <c r="E1247" s="9" t="s">
        <v>33</v>
      </c>
      <c r="F1247" s="7" t="s">
        <v>39</v>
      </c>
      <c r="G1247" s="11">
        <v>1</v>
      </c>
      <c r="H1247" s="11">
        <v>1</v>
      </c>
      <c r="I1247" s="14">
        <v>17000.0</v>
      </c>
      <c r="J1247" s="14"/>
      <c r="K1247" s="16">
        <f>IF(I1247&gt;0, J1247/I1247, 0)</f>
        <v>0</v>
      </c>
      <c r="L1247" s="14">
        <v>17000.0</v>
      </c>
      <c r="M1247" s="14"/>
      <c r="N1247" s="14">
        <f>L1247-M1247</f>
        <v>17000</v>
      </c>
      <c r="O1247" s="9" t="s">
        <v>40</v>
      </c>
      <c r="P1247" s="9" t="s">
        <v>41</v>
      </c>
      <c r="Q1247" s="9" t="s">
        <v>42</v>
      </c>
      <c r="R1247" s="7" t="s">
        <v>2127</v>
      </c>
      <c r="S1247" s="7" t="s">
        <v>42</v>
      </c>
    </row>
    <row r="1248" spans="1:19">
      <c r="A1248" s="8">
        <v>1241</v>
      </c>
      <c r="B1248" s="8" t="s">
        <v>1561</v>
      </c>
      <c r="C1248" s="8" t="s">
        <v>1533</v>
      </c>
      <c r="D1248" s="8" t="s">
        <v>652</v>
      </c>
      <c r="E1248" s="8" t="s">
        <v>33</v>
      </c>
      <c r="F1248" s="6" t="s">
        <v>39</v>
      </c>
      <c r="G1248" s="10">
        <v>1</v>
      </c>
      <c r="H1248" s="10">
        <v>1</v>
      </c>
      <c r="I1248" s="13">
        <v>7000.0</v>
      </c>
      <c r="J1248" s="13"/>
      <c r="K1248" s="15">
        <f>IF(I1248&gt;0, J1248/I1248, 0)</f>
        <v>0</v>
      </c>
      <c r="L1248" s="13">
        <v>7000.0</v>
      </c>
      <c r="M1248" s="13"/>
      <c r="N1248" s="13">
        <f>L1248-M1248</f>
        <v>7000</v>
      </c>
      <c r="O1248" s="8" t="s">
        <v>40</v>
      </c>
      <c r="P1248" s="8" t="s">
        <v>41</v>
      </c>
      <c r="Q1248" s="8" t="s">
        <v>42</v>
      </c>
      <c r="R1248" s="6" t="s">
        <v>2131</v>
      </c>
      <c r="S1248" s="6" t="s">
        <v>42</v>
      </c>
    </row>
    <row r="1249" spans="1:19">
      <c r="A1249" s="9">
        <v>1242</v>
      </c>
      <c r="B1249" s="9" t="s">
        <v>1562</v>
      </c>
      <c r="C1249" s="9" t="s">
        <v>1533</v>
      </c>
      <c r="D1249" s="9" t="s">
        <v>652</v>
      </c>
      <c r="E1249" s="9" t="s">
        <v>33</v>
      </c>
      <c r="F1249" s="7" t="s">
        <v>39</v>
      </c>
      <c r="G1249" s="11">
        <v>1</v>
      </c>
      <c r="H1249" s="11">
        <v>1</v>
      </c>
      <c r="I1249" s="14">
        <v>8000.0</v>
      </c>
      <c r="J1249" s="14"/>
      <c r="K1249" s="16">
        <f>IF(I1249&gt;0, J1249/I1249, 0)</f>
        <v>0</v>
      </c>
      <c r="L1249" s="14">
        <v>8000.0</v>
      </c>
      <c r="M1249" s="14"/>
      <c r="N1249" s="14">
        <f>L1249-M1249</f>
        <v>8000</v>
      </c>
      <c r="O1249" s="9" t="s">
        <v>40</v>
      </c>
      <c r="P1249" s="9" t="s">
        <v>41</v>
      </c>
      <c r="Q1249" s="9" t="s">
        <v>42</v>
      </c>
      <c r="R1249" s="7" t="s">
        <v>2116</v>
      </c>
      <c r="S1249" s="7" t="s">
        <v>42</v>
      </c>
    </row>
    <row r="1250" spans="1:19">
      <c r="A1250" s="8">
        <v>1243</v>
      </c>
      <c r="B1250" s="8" t="s">
        <v>1563</v>
      </c>
      <c r="C1250" s="8" t="s">
        <v>1533</v>
      </c>
      <c r="D1250" s="8" t="s">
        <v>652</v>
      </c>
      <c r="E1250" s="8" t="s">
        <v>68</v>
      </c>
      <c r="F1250" s="6" t="s">
        <v>39</v>
      </c>
      <c r="G1250" s="10">
        <v>1</v>
      </c>
      <c r="H1250" s="10">
        <v>1</v>
      </c>
      <c r="I1250" s="13">
        <v>10000.0</v>
      </c>
      <c r="J1250" s="13"/>
      <c r="K1250" s="15">
        <f>IF(I1250&gt;0, J1250/I1250, 0)</f>
        <v>0</v>
      </c>
      <c r="L1250" s="13">
        <v>10000.0</v>
      </c>
      <c r="M1250" s="13"/>
      <c r="N1250" s="13">
        <f>L1250-M1250</f>
        <v>10000</v>
      </c>
      <c r="O1250" s="8" t="s">
        <v>40</v>
      </c>
      <c r="P1250" s="8" t="s">
        <v>71</v>
      </c>
      <c r="Q1250" s="8" t="s">
        <v>42</v>
      </c>
      <c r="R1250" s="6" t="s">
        <v>2137</v>
      </c>
      <c r="S1250" s="6" t="s">
        <v>42</v>
      </c>
    </row>
    <row r="1251" spans="1:19">
      <c r="A1251" s="9">
        <v>1244</v>
      </c>
      <c r="B1251" s="9" t="s">
        <v>1564</v>
      </c>
      <c r="C1251" s="9" t="s">
        <v>1533</v>
      </c>
      <c r="D1251" s="9" t="s">
        <v>652</v>
      </c>
      <c r="E1251" s="9" t="s">
        <v>33</v>
      </c>
      <c r="F1251" s="7" t="s">
        <v>39</v>
      </c>
      <c r="G1251" s="11">
        <v>1</v>
      </c>
      <c r="H1251" s="11">
        <v>1</v>
      </c>
      <c r="I1251" s="14">
        <v>9000.0</v>
      </c>
      <c r="J1251" s="14"/>
      <c r="K1251" s="16">
        <f>IF(I1251&gt;0, J1251/I1251, 0)</f>
        <v>0</v>
      </c>
      <c r="L1251" s="14">
        <v>9000.0</v>
      </c>
      <c r="M1251" s="14"/>
      <c r="N1251" s="14">
        <f>L1251-M1251</f>
        <v>9000</v>
      </c>
      <c r="O1251" s="9" t="s">
        <v>40</v>
      </c>
      <c r="P1251" s="9" t="s">
        <v>41</v>
      </c>
      <c r="Q1251" s="9" t="s">
        <v>42</v>
      </c>
      <c r="R1251" s="7" t="s">
        <v>2084</v>
      </c>
      <c r="S1251" s="7" t="s">
        <v>42</v>
      </c>
    </row>
    <row r="1252" spans="1:19">
      <c r="A1252" s="8">
        <v>1245</v>
      </c>
      <c r="B1252" s="8" t="s">
        <v>1565</v>
      </c>
      <c r="C1252" s="8" t="s">
        <v>1533</v>
      </c>
      <c r="D1252" s="8" t="s">
        <v>652</v>
      </c>
      <c r="E1252" s="8" t="s">
        <v>68</v>
      </c>
      <c r="F1252" s="6" t="s">
        <v>39</v>
      </c>
      <c r="G1252" s="10">
        <v>1</v>
      </c>
      <c r="H1252" s="10">
        <v>1</v>
      </c>
      <c r="I1252" s="13">
        <v>9000.0</v>
      </c>
      <c r="J1252" s="13"/>
      <c r="K1252" s="15">
        <f>IF(I1252&gt;0, J1252/I1252, 0)</f>
        <v>0</v>
      </c>
      <c r="L1252" s="13">
        <v>9000.0</v>
      </c>
      <c r="M1252" s="13"/>
      <c r="N1252" s="13">
        <f>L1252-M1252</f>
        <v>9000</v>
      </c>
      <c r="O1252" s="8" t="s">
        <v>40</v>
      </c>
      <c r="P1252" s="8" t="s">
        <v>71</v>
      </c>
      <c r="Q1252" s="8" t="s">
        <v>42</v>
      </c>
      <c r="R1252" s="6" t="s">
        <v>2092</v>
      </c>
      <c r="S1252" s="6" t="s">
        <v>42</v>
      </c>
    </row>
    <row r="1253" spans="1:19">
      <c r="A1253" s="9">
        <v>1246</v>
      </c>
      <c r="B1253" s="9" t="s">
        <v>1566</v>
      </c>
      <c r="C1253" s="9" t="s">
        <v>1533</v>
      </c>
      <c r="D1253" s="9" t="s">
        <v>652</v>
      </c>
      <c r="E1253" s="9" t="s">
        <v>33</v>
      </c>
      <c r="F1253" s="7" t="s">
        <v>39</v>
      </c>
      <c r="G1253" s="11">
        <v>1</v>
      </c>
      <c r="H1253" s="11">
        <v>1</v>
      </c>
      <c r="I1253" s="14">
        <v>9000.0</v>
      </c>
      <c r="J1253" s="14"/>
      <c r="K1253" s="16">
        <f>IF(I1253&gt;0, J1253/I1253, 0)</f>
        <v>0</v>
      </c>
      <c r="L1253" s="14">
        <v>9000.0</v>
      </c>
      <c r="M1253" s="14"/>
      <c r="N1253" s="14">
        <f>L1253-M1253</f>
        <v>9000</v>
      </c>
      <c r="O1253" s="9" t="s">
        <v>40</v>
      </c>
      <c r="P1253" s="9" t="s">
        <v>41</v>
      </c>
      <c r="Q1253" s="9" t="s">
        <v>42</v>
      </c>
      <c r="R1253" s="7" t="s">
        <v>2137</v>
      </c>
      <c r="S1253" s="7" t="s">
        <v>42</v>
      </c>
    </row>
    <row r="1254" spans="1:19">
      <c r="A1254" s="8">
        <v>1247</v>
      </c>
      <c r="B1254" s="8" t="s">
        <v>1567</v>
      </c>
      <c r="C1254" s="8" t="s">
        <v>1533</v>
      </c>
      <c r="D1254" s="8" t="s">
        <v>652</v>
      </c>
      <c r="E1254" s="8" t="s">
        <v>33</v>
      </c>
      <c r="F1254" s="6" t="s">
        <v>39</v>
      </c>
      <c r="G1254" s="10">
        <v>1</v>
      </c>
      <c r="H1254" s="10">
        <v>1</v>
      </c>
      <c r="I1254" s="13">
        <v>7000.0</v>
      </c>
      <c r="J1254" s="13"/>
      <c r="K1254" s="15">
        <f>IF(I1254&gt;0, J1254/I1254, 0)</f>
        <v>0</v>
      </c>
      <c r="L1254" s="13">
        <v>7000.0</v>
      </c>
      <c r="M1254" s="13"/>
      <c r="N1254" s="13">
        <f>L1254-M1254</f>
        <v>7000</v>
      </c>
      <c r="O1254" s="8" t="s">
        <v>40</v>
      </c>
      <c r="P1254" s="8" t="s">
        <v>41</v>
      </c>
      <c r="Q1254" s="8" t="s">
        <v>42</v>
      </c>
      <c r="R1254" s="6" t="s">
        <v>2155</v>
      </c>
      <c r="S1254" s="6" t="s">
        <v>42</v>
      </c>
    </row>
    <row r="1255" spans="1:19">
      <c r="A1255" s="9">
        <v>1248</v>
      </c>
      <c r="B1255" s="9" t="s">
        <v>1568</v>
      </c>
      <c r="C1255" s="9" t="s">
        <v>1533</v>
      </c>
      <c r="D1255" s="9" t="s">
        <v>652</v>
      </c>
      <c r="E1255" s="9" t="s">
        <v>33</v>
      </c>
      <c r="F1255" s="7" t="s">
        <v>39</v>
      </c>
      <c r="G1255" s="11">
        <v>1</v>
      </c>
      <c r="H1255" s="11">
        <v>1</v>
      </c>
      <c r="I1255" s="14">
        <v>8000.0</v>
      </c>
      <c r="J1255" s="14"/>
      <c r="K1255" s="16">
        <f>IF(I1255&gt;0, J1255/I1255, 0)</f>
        <v>0</v>
      </c>
      <c r="L1255" s="14">
        <v>8000.0</v>
      </c>
      <c r="M1255" s="14"/>
      <c r="N1255" s="14">
        <f>L1255-M1255</f>
        <v>8000</v>
      </c>
      <c r="O1255" s="9" t="s">
        <v>40</v>
      </c>
      <c r="P1255" s="9" t="s">
        <v>41</v>
      </c>
      <c r="Q1255" s="9" t="s">
        <v>42</v>
      </c>
      <c r="R1255" s="7" t="s">
        <v>2116</v>
      </c>
      <c r="S1255" s="7" t="s">
        <v>42</v>
      </c>
    </row>
    <row r="1256" spans="1:19">
      <c r="A1256" s="8">
        <v>1249</v>
      </c>
      <c r="B1256" s="8" t="s">
        <v>1569</v>
      </c>
      <c r="C1256" s="8" t="s">
        <v>1533</v>
      </c>
      <c r="D1256" s="8" t="s">
        <v>652</v>
      </c>
      <c r="E1256" s="8" t="s">
        <v>33</v>
      </c>
      <c r="F1256" s="6" t="s">
        <v>39</v>
      </c>
      <c r="G1256" s="10">
        <v>1</v>
      </c>
      <c r="H1256" s="10">
        <v>2</v>
      </c>
      <c r="I1256" s="13">
        <v>14000.0</v>
      </c>
      <c r="J1256" s="13"/>
      <c r="K1256" s="15">
        <f>IF(I1256&gt;0, J1256/I1256, 0)</f>
        <v>0</v>
      </c>
      <c r="L1256" s="13">
        <v>14000.0</v>
      </c>
      <c r="M1256" s="13"/>
      <c r="N1256" s="13">
        <f>L1256-M1256</f>
        <v>14000</v>
      </c>
      <c r="O1256" s="8" t="s">
        <v>40</v>
      </c>
      <c r="P1256" s="8" t="s">
        <v>41</v>
      </c>
      <c r="Q1256" s="8" t="s">
        <v>42</v>
      </c>
      <c r="R1256" s="6" t="s">
        <v>2192</v>
      </c>
      <c r="S1256" s="6" t="s">
        <v>42</v>
      </c>
    </row>
    <row r="1257" spans="1:19">
      <c r="A1257" s="9">
        <v>1250</v>
      </c>
      <c r="B1257" s="9" t="s">
        <v>1570</v>
      </c>
      <c r="C1257" s="9" t="s">
        <v>1533</v>
      </c>
      <c r="D1257" s="9" t="s">
        <v>652</v>
      </c>
      <c r="E1257" s="9" t="s">
        <v>33</v>
      </c>
      <c r="F1257" s="7" t="s">
        <v>39</v>
      </c>
      <c r="G1257" s="11">
        <v>1</v>
      </c>
      <c r="H1257" s="11">
        <v>1</v>
      </c>
      <c r="I1257" s="14">
        <v>18000.0</v>
      </c>
      <c r="J1257" s="14"/>
      <c r="K1257" s="16">
        <f>IF(I1257&gt;0, J1257/I1257, 0)</f>
        <v>0</v>
      </c>
      <c r="L1257" s="14">
        <v>18000.0</v>
      </c>
      <c r="M1257" s="14"/>
      <c r="N1257" s="14">
        <f>L1257-M1257</f>
        <v>18000</v>
      </c>
      <c r="O1257" s="9" t="s">
        <v>40</v>
      </c>
      <c r="P1257" s="9" t="s">
        <v>41</v>
      </c>
      <c r="Q1257" s="9" t="s">
        <v>42</v>
      </c>
      <c r="R1257" s="7" t="s">
        <v>2170</v>
      </c>
      <c r="S1257" s="7" t="s">
        <v>42</v>
      </c>
    </row>
    <row r="1258" spans="1:19">
      <c r="A1258" s="8">
        <v>1251</v>
      </c>
      <c r="B1258" s="8" t="s">
        <v>1571</v>
      </c>
      <c r="C1258" s="8" t="s">
        <v>1533</v>
      </c>
      <c r="D1258" s="8" t="s">
        <v>652</v>
      </c>
      <c r="E1258" s="8" t="s">
        <v>33</v>
      </c>
      <c r="F1258" s="6" t="s">
        <v>39</v>
      </c>
      <c r="G1258" s="10">
        <v>1</v>
      </c>
      <c r="H1258" s="10">
        <v>1</v>
      </c>
      <c r="I1258" s="13">
        <v>18000.0</v>
      </c>
      <c r="J1258" s="13"/>
      <c r="K1258" s="15">
        <f>IF(I1258&gt;0, J1258/I1258, 0)</f>
        <v>0</v>
      </c>
      <c r="L1258" s="13">
        <v>18000.0</v>
      </c>
      <c r="M1258" s="13"/>
      <c r="N1258" s="13">
        <f>L1258-M1258</f>
        <v>18000</v>
      </c>
      <c r="O1258" s="8" t="s">
        <v>40</v>
      </c>
      <c r="P1258" s="8" t="s">
        <v>41</v>
      </c>
      <c r="Q1258" s="8" t="s">
        <v>42</v>
      </c>
      <c r="R1258" s="6" t="s">
        <v>2180</v>
      </c>
      <c r="S1258" s="6" t="s">
        <v>42</v>
      </c>
    </row>
    <row r="1259" spans="1:19">
      <c r="A1259" s="9">
        <v>1252</v>
      </c>
      <c r="B1259" s="9" t="s">
        <v>1572</v>
      </c>
      <c r="C1259" s="9" t="s">
        <v>1533</v>
      </c>
      <c r="D1259" s="9" t="s">
        <v>652</v>
      </c>
      <c r="E1259" s="9" t="s">
        <v>33</v>
      </c>
      <c r="F1259" s="7" t="s">
        <v>39</v>
      </c>
      <c r="G1259" s="11">
        <v>1</v>
      </c>
      <c r="H1259" s="11">
        <v>1</v>
      </c>
      <c r="I1259" s="14">
        <v>18000.0</v>
      </c>
      <c r="J1259" s="14"/>
      <c r="K1259" s="16">
        <f>IF(I1259&gt;0, J1259/I1259, 0)</f>
        <v>0</v>
      </c>
      <c r="L1259" s="14">
        <v>18000.0</v>
      </c>
      <c r="M1259" s="14"/>
      <c r="N1259" s="14">
        <f>L1259-M1259</f>
        <v>18000</v>
      </c>
      <c r="O1259" s="9" t="s">
        <v>40</v>
      </c>
      <c r="P1259" s="9" t="s">
        <v>41</v>
      </c>
      <c r="Q1259" s="9" t="s">
        <v>42</v>
      </c>
      <c r="R1259" s="7" t="s">
        <v>2103</v>
      </c>
      <c r="S1259" s="7" t="s">
        <v>42</v>
      </c>
    </row>
    <row r="1260" spans="1:19">
      <c r="A1260" s="8">
        <v>1253</v>
      </c>
      <c r="B1260" s="8" t="s">
        <v>1573</v>
      </c>
      <c r="C1260" s="8" t="s">
        <v>1533</v>
      </c>
      <c r="D1260" s="8" t="s">
        <v>652</v>
      </c>
      <c r="E1260" s="8" t="s">
        <v>33</v>
      </c>
      <c r="F1260" s="6" t="s">
        <v>39</v>
      </c>
      <c r="G1260" s="10">
        <v>1</v>
      </c>
      <c r="H1260" s="10">
        <v>1</v>
      </c>
      <c r="I1260" s="13">
        <v>8000.0</v>
      </c>
      <c r="J1260" s="13"/>
      <c r="K1260" s="15">
        <f>IF(I1260&gt;0, J1260/I1260, 0)</f>
        <v>0</v>
      </c>
      <c r="L1260" s="13">
        <v>8000.0</v>
      </c>
      <c r="M1260" s="13"/>
      <c r="N1260" s="13">
        <f>L1260-M1260</f>
        <v>8000</v>
      </c>
      <c r="O1260" s="8" t="s">
        <v>40</v>
      </c>
      <c r="P1260" s="8" t="s">
        <v>41</v>
      </c>
      <c r="Q1260" s="8" t="s">
        <v>42</v>
      </c>
      <c r="R1260" s="6" t="s">
        <v>2141</v>
      </c>
      <c r="S1260" s="6" t="s">
        <v>42</v>
      </c>
    </row>
    <row r="1261" spans="1:19">
      <c r="A1261" s="9">
        <v>1254</v>
      </c>
      <c r="B1261" s="9" t="s">
        <v>1574</v>
      </c>
      <c r="C1261" s="9" t="s">
        <v>1533</v>
      </c>
      <c r="D1261" s="9" t="s">
        <v>652</v>
      </c>
      <c r="E1261" s="9" t="s">
        <v>33</v>
      </c>
      <c r="F1261" s="7" t="s">
        <v>39</v>
      </c>
      <c r="G1261" s="11">
        <v>1</v>
      </c>
      <c r="H1261" s="11">
        <v>2</v>
      </c>
      <c r="I1261" s="14">
        <v>14000.0</v>
      </c>
      <c r="J1261" s="14"/>
      <c r="K1261" s="16">
        <f>IF(I1261&gt;0, J1261/I1261, 0)</f>
        <v>0</v>
      </c>
      <c r="L1261" s="14">
        <v>14000.0</v>
      </c>
      <c r="M1261" s="14"/>
      <c r="N1261" s="14">
        <f>L1261-M1261</f>
        <v>14000</v>
      </c>
      <c r="O1261" s="9" t="s">
        <v>40</v>
      </c>
      <c r="P1261" s="9" t="s">
        <v>41</v>
      </c>
      <c r="Q1261" s="9" t="s">
        <v>42</v>
      </c>
      <c r="R1261" s="7" t="s">
        <v>2198</v>
      </c>
      <c r="S1261" s="7" t="s">
        <v>42</v>
      </c>
    </row>
    <row r="1262" spans="1:19">
      <c r="A1262" s="8">
        <v>1255</v>
      </c>
      <c r="B1262" s="8" t="s">
        <v>1575</v>
      </c>
      <c r="C1262" s="8" t="s">
        <v>1576</v>
      </c>
      <c r="D1262" s="8" t="s">
        <v>652</v>
      </c>
      <c r="E1262" s="8" t="s">
        <v>33</v>
      </c>
      <c r="F1262" s="6" t="s">
        <v>39</v>
      </c>
      <c r="G1262" s="10">
        <v>1</v>
      </c>
      <c r="H1262" s="10">
        <v>2</v>
      </c>
      <c r="I1262" s="13">
        <v>16000.0</v>
      </c>
      <c r="J1262" s="13"/>
      <c r="K1262" s="15">
        <f>IF(I1262&gt;0, J1262/I1262, 0)</f>
        <v>0</v>
      </c>
      <c r="L1262" s="13">
        <v>16000.0</v>
      </c>
      <c r="M1262" s="13"/>
      <c r="N1262" s="13">
        <f>L1262-M1262</f>
        <v>16000</v>
      </c>
      <c r="O1262" s="8" t="s">
        <v>40</v>
      </c>
      <c r="P1262" s="8" t="s">
        <v>41</v>
      </c>
      <c r="Q1262" s="8" t="s">
        <v>42</v>
      </c>
      <c r="R1262" s="6" t="s">
        <v>2268</v>
      </c>
      <c r="S1262" s="6" t="s">
        <v>42</v>
      </c>
    </row>
    <row r="1263" spans="1:19">
      <c r="A1263" s="9">
        <v>1256</v>
      </c>
      <c r="B1263" s="9" t="s">
        <v>1577</v>
      </c>
      <c r="C1263" s="9" t="s">
        <v>1576</v>
      </c>
      <c r="D1263" s="9" t="s">
        <v>652</v>
      </c>
      <c r="E1263" s="9" t="s">
        <v>68</v>
      </c>
      <c r="F1263" s="7" t="s">
        <v>39</v>
      </c>
      <c r="G1263" s="11">
        <v>1</v>
      </c>
      <c r="H1263" s="11">
        <v>1</v>
      </c>
      <c r="I1263" s="14">
        <v>9000.0</v>
      </c>
      <c r="J1263" s="14"/>
      <c r="K1263" s="16">
        <f>IF(I1263&gt;0, J1263/I1263, 0)</f>
        <v>0</v>
      </c>
      <c r="L1263" s="14">
        <v>9000.0</v>
      </c>
      <c r="M1263" s="14"/>
      <c r="N1263" s="14">
        <f>L1263-M1263</f>
        <v>9000</v>
      </c>
      <c r="O1263" s="9" t="s">
        <v>40</v>
      </c>
      <c r="P1263" s="9" t="s">
        <v>71</v>
      </c>
      <c r="Q1263" s="9" t="s">
        <v>42</v>
      </c>
      <c r="R1263" s="7" t="s">
        <v>2178</v>
      </c>
      <c r="S1263" s="7" t="s">
        <v>42</v>
      </c>
    </row>
    <row r="1264" spans="1:19">
      <c r="A1264" s="8">
        <v>1257</v>
      </c>
      <c r="B1264" s="8" t="s">
        <v>1578</v>
      </c>
      <c r="C1264" s="8" t="s">
        <v>1576</v>
      </c>
      <c r="D1264" s="8" t="s">
        <v>652</v>
      </c>
      <c r="E1264" s="8" t="s">
        <v>33</v>
      </c>
      <c r="F1264" s="6" t="s">
        <v>39</v>
      </c>
      <c r="G1264" s="10">
        <v>1</v>
      </c>
      <c r="H1264" s="10">
        <v>1</v>
      </c>
      <c r="I1264" s="13">
        <v>18000.0</v>
      </c>
      <c r="J1264" s="13"/>
      <c r="K1264" s="15">
        <f>IF(I1264&gt;0, J1264/I1264, 0)</f>
        <v>0</v>
      </c>
      <c r="L1264" s="13">
        <v>18000.0</v>
      </c>
      <c r="M1264" s="13"/>
      <c r="N1264" s="13">
        <f>L1264-M1264</f>
        <v>18000</v>
      </c>
      <c r="O1264" s="8" t="s">
        <v>40</v>
      </c>
      <c r="P1264" s="8" t="s">
        <v>41</v>
      </c>
      <c r="Q1264" s="8" t="s">
        <v>42</v>
      </c>
      <c r="R1264" s="6" t="s">
        <v>2170</v>
      </c>
      <c r="S1264" s="6" t="s">
        <v>42</v>
      </c>
    </row>
    <row r="1265" spans="1:19">
      <c r="A1265" s="9">
        <v>1258</v>
      </c>
      <c r="B1265" s="9" t="s">
        <v>1579</v>
      </c>
      <c r="C1265" s="9" t="s">
        <v>1576</v>
      </c>
      <c r="D1265" s="9" t="s">
        <v>652</v>
      </c>
      <c r="E1265" s="9" t="s">
        <v>33</v>
      </c>
      <c r="F1265" s="7" t="s">
        <v>39</v>
      </c>
      <c r="G1265" s="11">
        <v>1</v>
      </c>
      <c r="H1265" s="11">
        <v>2</v>
      </c>
      <c r="I1265" s="14">
        <v>16000.0</v>
      </c>
      <c r="J1265" s="14"/>
      <c r="K1265" s="16">
        <f>IF(I1265&gt;0, J1265/I1265, 0)</f>
        <v>0</v>
      </c>
      <c r="L1265" s="14">
        <v>16000.0</v>
      </c>
      <c r="M1265" s="14"/>
      <c r="N1265" s="14">
        <f>L1265-M1265</f>
        <v>16000</v>
      </c>
      <c r="O1265" s="9" t="s">
        <v>40</v>
      </c>
      <c r="P1265" s="9" t="s">
        <v>41</v>
      </c>
      <c r="Q1265" s="9" t="s">
        <v>42</v>
      </c>
      <c r="R1265" s="7" t="s">
        <v>2236</v>
      </c>
      <c r="S1265" s="7" t="s">
        <v>42</v>
      </c>
    </row>
    <row r="1266" spans="1:19">
      <c r="A1266" s="8">
        <v>1259</v>
      </c>
      <c r="B1266" s="8" t="s">
        <v>1580</v>
      </c>
      <c r="C1266" s="8" t="s">
        <v>1576</v>
      </c>
      <c r="D1266" s="8" t="s">
        <v>652</v>
      </c>
      <c r="E1266" s="8" t="s">
        <v>33</v>
      </c>
      <c r="F1266" s="6" t="s">
        <v>39</v>
      </c>
      <c r="G1266" s="10">
        <v>1</v>
      </c>
      <c r="H1266" s="10">
        <v>2</v>
      </c>
      <c r="I1266" s="13">
        <v>18000.0</v>
      </c>
      <c r="J1266" s="13"/>
      <c r="K1266" s="15">
        <f>IF(I1266&gt;0, J1266/I1266, 0)</f>
        <v>0</v>
      </c>
      <c r="L1266" s="13">
        <v>18000.0</v>
      </c>
      <c r="M1266" s="13"/>
      <c r="N1266" s="13">
        <f>L1266-M1266</f>
        <v>18000</v>
      </c>
      <c r="O1266" s="8" t="s">
        <v>40</v>
      </c>
      <c r="P1266" s="8" t="s">
        <v>41</v>
      </c>
      <c r="Q1266" s="8" t="s">
        <v>42</v>
      </c>
      <c r="R1266" s="6" t="s">
        <v>2269</v>
      </c>
      <c r="S1266" s="6" t="s">
        <v>42</v>
      </c>
    </row>
    <row r="1267" spans="1:19">
      <c r="A1267" s="9">
        <v>1260</v>
      </c>
      <c r="B1267" s="9" t="s">
        <v>1581</v>
      </c>
      <c r="C1267" s="9" t="s">
        <v>1576</v>
      </c>
      <c r="D1267" s="9" t="s">
        <v>652</v>
      </c>
      <c r="E1267" s="9" t="s">
        <v>33</v>
      </c>
      <c r="F1267" s="7" t="s">
        <v>39</v>
      </c>
      <c r="G1267" s="11">
        <v>1</v>
      </c>
      <c r="H1267" s="11">
        <v>3</v>
      </c>
      <c r="I1267" s="14">
        <v>24000.0</v>
      </c>
      <c r="J1267" s="14"/>
      <c r="K1267" s="16">
        <f>IF(I1267&gt;0, J1267/I1267, 0)</f>
        <v>0</v>
      </c>
      <c r="L1267" s="14">
        <v>24000.0</v>
      </c>
      <c r="M1267" s="14"/>
      <c r="N1267" s="14">
        <f>L1267-M1267</f>
        <v>24000</v>
      </c>
      <c r="O1267" s="9" t="s">
        <v>40</v>
      </c>
      <c r="P1267" s="9" t="s">
        <v>41</v>
      </c>
      <c r="Q1267" s="9" t="s">
        <v>42</v>
      </c>
      <c r="R1267" s="7" t="s">
        <v>2211</v>
      </c>
      <c r="S1267" s="7" t="s">
        <v>42</v>
      </c>
    </row>
    <row r="1268" spans="1:19">
      <c r="A1268" s="8">
        <v>1261</v>
      </c>
      <c r="B1268" s="8" t="s">
        <v>1582</v>
      </c>
      <c r="C1268" s="8" t="s">
        <v>1576</v>
      </c>
      <c r="D1268" s="8" t="s">
        <v>652</v>
      </c>
      <c r="E1268" s="8" t="s">
        <v>33</v>
      </c>
      <c r="F1268" s="6" t="s">
        <v>39</v>
      </c>
      <c r="G1268" s="10">
        <v>1</v>
      </c>
      <c r="H1268" s="10">
        <v>4</v>
      </c>
      <c r="I1268" s="13">
        <v>28000.0</v>
      </c>
      <c r="J1268" s="13"/>
      <c r="K1268" s="15">
        <f>IF(I1268&gt;0, J1268/I1268, 0)</f>
        <v>0</v>
      </c>
      <c r="L1268" s="13">
        <v>28000.0</v>
      </c>
      <c r="M1268" s="13"/>
      <c r="N1268" s="13">
        <f>L1268-M1268</f>
        <v>28000</v>
      </c>
      <c r="O1268" s="8" t="s">
        <v>40</v>
      </c>
      <c r="P1268" s="8" t="s">
        <v>41</v>
      </c>
      <c r="Q1268" s="8" t="s">
        <v>42</v>
      </c>
      <c r="R1268" s="6" t="s">
        <v>2212</v>
      </c>
      <c r="S1268" s="6" t="s">
        <v>42</v>
      </c>
    </row>
    <row r="1269" spans="1:19">
      <c r="A1269" s="9">
        <v>1262</v>
      </c>
      <c r="B1269" s="9" t="s">
        <v>1583</v>
      </c>
      <c r="C1269" s="9" t="s">
        <v>1576</v>
      </c>
      <c r="D1269" s="9" t="s">
        <v>652</v>
      </c>
      <c r="E1269" s="9" t="s">
        <v>33</v>
      </c>
      <c r="F1269" s="7" t="s">
        <v>39</v>
      </c>
      <c r="G1269" s="11">
        <v>1</v>
      </c>
      <c r="H1269" s="11">
        <v>1</v>
      </c>
      <c r="I1269" s="14">
        <v>18000.0</v>
      </c>
      <c r="J1269" s="14"/>
      <c r="K1269" s="16">
        <f>IF(I1269&gt;0, J1269/I1269, 0)</f>
        <v>0</v>
      </c>
      <c r="L1269" s="14">
        <v>18000.0</v>
      </c>
      <c r="M1269" s="14"/>
      <c r="N1269" s="14">
        <f>L1269-M1269</f>
        <v>18000</v>
      </c>
      <c r="O1269" s="9" t="s">
        <v>40</v>
      </c>
      <c r="P1269" s="9" t="s">
        <v>41</v>
      </c>
      <c r="Q1269" s="9" t="s">
        <v>42</v>
      </c>
      <c r="R1269" s="7" t="s">
        <v>2193</v>
      </c>
      <c r="S1269" s="7" t="s">
        <v>42</v>
      </c>
    </row>
    <row r="1270" spans="1:19">
      <c r="A1270" s="8">
        <v>1263</v>
      </c>
      <c r="B1270" s="8" t="s">
        <v>1584</v>
      </c>
      <c r="C1270" s="8" t="s">
        <v>1576</v>
      </c>
      <c r="D1270" s="8" t="s">
        <v>652</v>
      </c>
      <c r="E1270" s="8" t="s">
        <v>33</v>
      </c>
      <c r="F1270" s="6" t="s">
        <v>39</v>
      </c>
      <c r="G1270" s="10">
        <v>1</v>
      </c>
      <c r="H1270" s="10">
        <v>1</v>
      </c>
      <c r="I1270" s="13">
        <v>8000.0</v>
      </c>
      <c r="J1270" s="13"/>
      <c r="K1270" s="15">
        <f>IF(I1270&gt;0, J1270/I1270, 0)</f>
        <v>0</v>
      </c>
      <c r="L1270" s="13">
        <v>8000.0</v>
      </c>
      <c r="M1270" s="13"/>
      <c r="N1270" s="13">
        <f>L1270-M1270</f>
        <v>8000</v>
      </c>
      <c r="O1270" s="8" t="s">
        <v>40</v>
      </c>
      <c r="P1270" s="8" t="s">
        <v>41</v>
      </c>
      <c r="Q1270" s="8" t="s">
        <v>42</v>
      </c>
      <c r="R1270" s="6" t="s">
        <v>2178</v>
      </c>
      <c r="S1270" s="6" t="s">
        <v>42</v>
      </c>
    </row>
    <row r="1271" spans="1:19">
      <c r="A1271" s="9">
        <v>1264</v>
      </c>
      <c r="B1271" s="9" t="s">
        <v>1585</v>
      </c>
      <c r="C1271" s="9" t="s">
        <v>1576</v>
      </c>
      <c r="D1271" s="9" t="s">
        <v>652</v>
      </c>
      <c r="E1271" s="9" t="s">
        <v>33</v>
      </c>
      <c r="F1271" s="7" t="s">
        <v>39</v>
      </c>
      <c r="G1271" s="11">
        <v>1</v>
      </c>
      <c r="H1271" s="11">
        <v>1</v>
      </c>
      <c r="I1271" s="14">
        <v>7000.0</v>
      </c>
      <c r="J1271" s="14"/>
      <c r="K1271" s="16">
        <f>IF(I1271&gt;0, J1271/I1271, 0)</f>
        <v>0</v>
      </c>
      <c r="L1271" s="14">
        <v>7000.0</v>
      </c>
      <c r="M1271" s="14"/>
      <c r="N1271" s="14">
        <f>L1271-M1271</f>
        <v>7000</v>
      </c>
      <c r="O1271" s="9" t="s">
        <v>40</v>
      </c>
      <c r="P1271" s="9" t="s">
        <v>41</v>
      </c>
      <c r="Q1271" s="9" t="s">
        <v>42</v>
      </c>
      <c r="R1271" s="7" t="s">
        <v>2231</v>
      </c>
      <c r="S1271" s="7" t="s">
        <v>42</v>
      </c>
    </row>
    <row r="1272" spans="1:19">
      <c r="A1272" s="8">
        <v>1265</v>
      </c>
      <c r="B1272" s="8" t="s">
        <v>1586</v>
      </c>
      <c r="C1272" s="8" t="s">
        <v>1576</v>
      </c>
      <c r="D1272" s="8" t="s">
        <v>652</v>
      </c>
      <c r="E1272" s="8" t="s">
        <v>33</v>
      </c>
      <c r="F1272" s="6" t="s">
        <v>39</v>
      </c>
      <c r="G1272" s="10">
        <v>1</v>
      </c>
      <c r="H1272" s="10">
        <v>1</v>
      </c>
      <c r="I1272" s="13">
        <v>16000.0</v>
      </c>
      <c r="J1272" s="13"/>
      <c r="K1272" s="15">
        <f>IF(I1272&gt;0, J1272/I1272, 0)</f>
        <v>0</v>
      </c>
      <c r="L1272" s="13">
        <v>16000.0</v>
      </c>
      <c r="M1272" s="13"/>
      <c r="N1272" s="13">
        <f>L1272-M1272</f>
        <v>16000</v>
      </c>
      <c r="O1272" s="8" t="s">
        <v>40</v>
      </c>
      <c r="P1272" s="8" t="s">
        <v>41</v>
      </c>
      <c r="Q1272" s="8" t="s">
        <v>42</v>
      </c>
      <c r="R1272" s="6" t="s">
        <v>2086</v>
      </c>
      <c r="S1272" s="6" t="s">
        <v>42</v>
      </c>
    </row>
    <row r="1273" spans="1:19">
      <c r="A1273" s="9">
        <v>1266</v>
      </c>
      <c r="B1273" s="9" t="s">
        <v>1587</v>
      </c>
      <c r="C1273" s="9" t="s">
        <v>1576</v>
      </c>
      <c r="D1273" s="9" t="s">
        <v>652</v>
      </c>
      <c r="E1273" s="9" t="s">
        <v>33</v>
      </c>
      <c r="F1273" s="7" t="s">
        <v>39</v>
      </c>
      <c r="G1273" s="11">
        <v>1</v>
      </c>
      <c r="H1273" s="11">
        <v>1</v>
      </c>
      <c r="I1273" s="14">
        <v>9000.0</v>
      </c>
      <c r="J1273" s="14"/>
      <c r="K1273" s="16">
        <f>IF(I1273&gt;0, J1273/I1273, 0)</f>
        <v>0</v>
      </c>
      <c r="L1273" s="14">
        <v>9000.0</v>
      </c>
      <c r="M1273" s="14"/>
      <c r="N1273" s="14">
        <f>L1273-M1273</f>
        <v>9000</v>
      </c>
      <c r="O1273" s="9" t="s">
        <v>40</v>
      </c>
      <c r="P1273" s="9" t="s">
        <v>41</v>
      </c>
      <c r="Q1273" s="9" t="s">
        <v>42</v>
      </c>
      <c r="R1273" s="7" t="s">
        <v>2255</v>
      </c>
      <c r="S1273" s="7" t="s">
        <v>42</v>
      </c>
    </row>
    <row r="1274" spans="1:19">
      <c r="A1274" s="8">
        <v>1267</v>
      </c>
      <c r="B1274" s="8" t="s">
        <v>1588</v>
      </c>
      <c r="C1274" s="8" t="s">
        <v>1576</v>
      </c>
      <c r="D1274" s="8" t="s">
        <v>652</v>
      </c>
      <c r="E1274" s="8" t="s">
        <v>33</v>
      </c>
      <c r="F1274" s="6" t="s">
        <v>39</v>
      </c>
      <c r="G1274" s="10">
        <v>1</v>
      </c>
      <c r="H1274" s="10">
        <v>4</v>
      </c>
      <c r="I1274" s="13">
        <v>32000.0</v>
      </c>
      <c r="J1274" s="13"/>
      <c r="K1274" s="15">
        <f>IF(I1274&gt;0, J1274/I1274, 0)</f>
        <v>0</v>
      </c>
      <c r="L1274" s="13">
        <v>32000.0</v>
      </c>
      <c r="M1274" s="13"/>
      <c r="N1274" s="13">
        <f>L1274-M1274</f>
        <v>32000</v>
      </c>
      <c r="O1274" s="8" t="s">
        <v>40</v>
      </c>
      <c r="P1274" s="8" t="s">
        <v>41</v>
      </c>
      <c r="Q1274" s="8" t="s">
        <v>42</v>
      </c>
      <c r="R1274" s="6" t="s">
        <v>2270</v>
      </c>
      <c r="S1274" s="6" t="s">
        <v>42</v>
      </c>
    </row>
    <row r="1275" spans="1:19">
      <c r="A1275" s="9">
        <v>1268</v>
      </c>
      <c r="B1275" s="9" t="s">
        <v>1589</v>
      </c>
      <c r="C1275" s="9" t="s">
        <v>1576</v>
      </c>
      <c r="D1275" s="9" t="s">
        <v>652</v>
      </c>
      <c r="E1275" s="9" t="s">
        <v>33</v>
      </c>
      <c r="F1275" s="7" t="s">
        <v>39</v>
      </c>
      <c r="G1275" s="11">
        <v>1</v>
      </c>
      <c r="H1275" s="11">
        <v>2</v>
      </c>
      <c r="I1275" s="14">
        <v>14000.0</v>
      </c>
      <c r="J1275" s="14"/>
      <c r="K1275" s="16">
        <f>IF(I1275&gt;0, J1275/I1275, 0)</f>
        <v>0</v>
      </c>
      <c r="L1275" s="14">
        <v>14000.0</v>
      </c>
      <c r="M1275" s="14"/>
      <c r="N1275" s="14">
        <f>L1275-M1275</f>
        <v>14000</v>
      </c>
      <c r="O1275" s="9" t="s">
        <v>40</v>
      </c>
      <c r="P1275" s="9" t="s">
        <v>41</v>
      </c>
      <c r="Q1275" s="9" t="s">
        <v>42</v>
      </c>
      <c r="R1275" s="7" t="s">
        <v>2271</v>
      </c>
      <c r="S1275" s="7" t="s">
        <v>42</v>
      </c>
    </row>
    <row r="1276" spans="1:19">
      <c r="A1276" s="8">
        <v>1269</v>
      </c>
      <c r="B1276" s="8" t="s">
        <v>1590</v>
      </c>
      <c r="C1276" s="8" t="s">
        <v>1576</v>
      </c>
      <c r="D1276" s="8" t="s">
        <v>652</v>
      </c>
      <c r="E1276" s="8" t="s">
        <v>68</v>
      </c>
      <c r="F1276" s="6" t="s">
        <v>39</v>
      </c>
      <c r="G1276" s="10">
        <v>1</v>
      </c>
      <c r="H1276" s="10">
        <v>1</v>
      </c>
      <c r="I1276" s="13">
        <v>10000.0</v>
      </c>
      <c r="J1276" s="13"/>
      <c r="K1276" s="15">
        <f>IF(I1276&gt;0, J1276/I1276, 0)</f>
        <v>0</v>
      </c>
      <c r="L1276" s="13">
        <v>10000.0</v>
      </c>
      <c r="M1276" s="13"/>
      <c r="N1276" s="13">
        <f>L1276-M1276</f>
        <v>10000</v>
      </c>
      <c r="O1276" s="8" t="s">
        <v>40</v>
      </c>
      <c r="P1276" s="8" t="s">
        <v>71</v>
      </c>
      <c r="Q1276" s="8" t="s">
        <v>42</v>
      </c>
      <c r="R1276" s="6" t="s">
        <v>2113</v>
      </c>
      <c r="S1276" s="6" t="s">
        <v>42</v>
      </c>
    </row>
    <row r="1277" spans="1:19">
      <c r="A1277" s="9">
        <v>1270</v>
      </c>
      <c r="B1277" s="9" t="s">
        <v>1591</v>
      </c>
      <c r="C1277" s="9" t="s">
        <v>1576</v>
      </c>
      <c r="D1277" s="9" t="s">
        <v>652</v>
      </c>
      <c r="E1277" s="9" t="s">
        <v>33</v>
      </c>
      <c r="F1277" s="7" t="s">
        <v>39</v>
      </c>
      <c r="G1277" s="11">
        <v>1</v>
      </c>
      <c r="H1277" s="11">
        <v>1</v>
      </c>
      <c r="I1277" s="14">
        <v>18000.0</v>
      </c>
      <c r="J1277" s="14"/>
      <c r="K1277" s="16">
        <f>IF(I1277&gt;0, J1277/I1277, 0)</f>
        <v>0</v>
      </c>
      <c r="L1277" s="14">
        <v>18000.0</v>
      </c>
      <c r="M1277" s="14"/>
      <c r="N1277" s="14">
        <f>L1277-M1277</f>
        <v>18000</v>
      </c>
      <c r="O1277" s="9" t="s">
        <v>40</v>
      </c>
      <c r="P1277" s="9" t="s">
        <v>41</v>
      </c>
      <c r="Q1277" s="9" t="s">
        <v>42</v>
      </c>
      <c r="R1277" s="7" t="s">
        <v>2174</v>
      </c>
      <c r="S1277" s="7" t="s">
        <v>42</v>
      </c>
    </row>
    <row r="1278" spans="1:19">
      <c r="A1278" s="8">
        <v>1271</v>
      </c>
      <c r="B1278" s="8" t="s">
        <v>1592</v>
      </c>
      <c r="C1278" s="8" t="s">
        <v>1576</v>
      </c>
      <c r="D1278" s="8" t="s">
        <v>652</v>
      </c>
      <c r="E1278" s="8" t="s">
        <v>33</v>
      </c>
      <c r="F1278" s="6" t="s">
        <v>39</v>
      </c>
      <c r="G1278" s="10">
        <v>1</v>
      </c>
      <c r="H1278" s="10">
        <v>1</v>
      </c>
      <c r="I1278" s="13">
        <v>7500.0</v>
      </c>
      <c r="J1278" s="13"/>
      <c r="K1278" s="15">
        <f>IF(I1278&gt;0, J1278/I1278, 0)</f>
        <v>0</v>
      </c>
      <c r="L1278" s="13">
        <v>7500.0</v>
      </c>
      <c r="M1278" s="13"/>
      <c r="N1278" s="13">
        <f>L1278-M1278</f>
        <v>7500</v>
      </c>
      <c r="O1278" s="8" t="s">
        <v>40</v>
      </c>
      <c r="P1278" s="8" t="s">
        <v>41</v>
      </c>
      <c r="Q1278" s="8" t="s">
        <v>42</v>
      </c>
      <c r="R1278" s="6" t="s">
        <v>2128</v>
      </c>
      <c r="S1278" s="6" t="s">
        <v>42</v>
      </c>
    </row>
    <row r="1279" spans="1:19">
      <c r="A1279" s="9">
        <v>1272</v>
      </c>
      <c r="B1279" s="9" t="s">
        <v>1593</v>
      </c>
      <c r="C1279" s="9" t="s">
        <v>1576</v>
      </c>
      <c r="D1279" s="9" t="s">
        <v>652</v>
      </c>
      <c r="E1279" s="9" t="s">
        <v>33</v>
      </c>
      <c r="F1279" s="7" t="s">
        <v>39</v>
      </c>
      <c r="G1279" s="11">
        <v>1</v>
      </c>
      <c r="H1279" s="11">
        <v>1</v>
      </c>
      <c r="I1279" s="14">
        <v>8500.0</v>
      </c>
      <c r="J1279" s="14"/>
      <c r="K1279" s="16">
        <f>IF(I1279&gt;0, J1279/I1279, 0)</f>
        <v>0</v>
      </c>
      <c r="L1279" s="14">
        <v>8500.0</v>
      </c>
      <c r="M1279" s="14"/>
      <c r="N1279" s="14">
        <f>L1279-M1279</f>
        <v>8500</v>
      </c>
      <c r="O1279" s="9" t="s">
        <v>40</v>
      </c>
      <c r="P1279" s="9" t="s">
        <v>41</v>
      </c>
      <c r="Q1279" s="9" t="s">
        <v>42</v>
      </c>
      <c r="R1279" s="7" t="s">
        <v>2171</v>
      </c>
      <c r="S1279" s="7" t="s">
        <v>42</v>
      </c>
    </row>
    <row r="1280" spans="1:19">
      <c r="A1280" s="8">
        <v>1273</v>
      </c>
      <c r="B1280" s="8" t="s">
        <v>1594</v>
      </c>
      <c r="C1280" s="8" t="s">
        <v>1576</v>
      </c>
      <c r="D1280" s="8" t="s">
        <v>652</v>
      </c>
      <c r="E1280" s="8" t="s">
        <v>33</v>
      </c>
      <c r="F1280" s="6" t="s">
        <v>39</v>
      </c>
      <c r="G1280" s="10">
        <v>1</v>
      </c>
      <c r="H1280" s="10">
        <v>1</v>
      </c>
      <c r="I1280" s="13">
        <v>8000.0</v>
      </c>
      <c r="J1280" s="13"/>
      <c r="K1280" s="15">
        <f>IF(I1280&gt;0, J1280/I1280, 0)</f>
        <v>0</v>
      </c>
      <c r="L1280" s="13">
        <v>8000.0</v>
      </c>
      <c r="M1280" s="13"/>
      <c r="N1280" s="13">
        <f>L1280-M1280</f>
        <v>8000</v>
      </c>
      <c r="O1280" s="8" t="s">
        <v>40</v>
      </c>
      <c r="P1280" s="8" t="s">
        <v>41</v>
      </c>
      <c r="Q1280" s="8" t="s">
        <v>42</v>
      </c>
      <c r="R1280" s="6" t="s">
        <v>2161</v>
      </c>
      <c r="S1280" s="6" t="s">
        <v>42</v>
      </c>
    </row>
    <row r="1281" spans="1:19">
      <c r="A1281" s="9">
        <v>1274</v>
      </c>
      <c r="B1281" s="9" t="s">
        <v>1595</v>
      </c>
      <c r="C1281" s="9" t="s">
        <v>1576</v>
      </c>
      <c r="D1281" s="9" t="s">
        <v>652</v>
      </c>
      <c r="E1281" s="9" t="s">
        <v>33</v>
      </c>
      <c r="F1281" s="7" t="s">
        <v>39</v>
      </c>
      <c r="G1281" s="11">
        <v>1</v>
      </c>
      <c r="H1281" s="11">
        <v>1</v>
      </c>
      <c r="I1281" s="14">
        <v>9000.0</v>
      </c>
      <c r="J1281" s="14"/>
      <c r="K1281" s="16">
        <f>IF(I1281&gt;0, J1281/I1281, 0)</f>
        <v>0</v>
      </c>
      <c r="L1281" s="14">
        <v>9000.0</v>
      </c>
      <c r="M1281" s="14"/>
      <c r="N1281" s="14">
        <f>L1281-M1281</f>
        <v>9000</v>
      </c>
      <c r="O1281" s="9" t="s">
        <v>40</v>
      </c>
      <c r="P1281" s="9" t="s">
        <v>41</v>
      </c>
      <c r="Q1281" s="9" t="s">
        <v>42</v>
      </c>
      <c r="R1281" s="7" t="s">
        <v>2172</v>
      </c>
      <c r="S1281" s="7" t="s">
        <v>42</v>
      </c>
    </row>
    <row r="1282" spans="1:19">
      <c r="A1282" s="8">
        <v>1275</v>
      </c>
      <c r="B1282" s="8" t="s">
        <v>1596</v>
      </c>
      <c r="C1282" s="8" t="s">
        <v>1576</v>
      </c>
      <c r="D1282" s="8" t="s">
        <v>652</v>
      </c>
      <c r="E1282" s="8" t="s">
        <v>33</v>
      </c>
      <c r="F1282" s="6" t="s">
        <v>39</v>
      </c>
      <c r="G1282" s="10">
        <v>1</v>
      </c>
      <c r="H1282" s="10">
        <v>1</v>
      </c>
      <c r="I1282" s="13">
        <v>7500.0</v>
      </c>
      <c r="J1282" s="13"/>
      <c r="K1282" s="15">
        <f>IF(I1282&gt;0, J1282/I1282, 0)</f>
        <v>0</v>
      </c>
      <c r="L1282" s="13">
        <v>7500.0</v>
      </c>
      <c r="M1282" s="13"/>
      <c r="N1282" s="13">
        <f>L1282-M1282</f>
        <v>7500</v>
      </c>
      <c r="O1282" s="8" t="s">
        <v>40</v>
      </c>
      <c r="P1282" s="8" t="s">
        <v>41</v>
      </c>
      <c r="Q1282" s="8" t="s">
        <v>42</v>
      </c>
      <c r="R1282" s="6" t="s">
        <v>2100</v>
      </c>
      <c r="S1282" s="6" t="s">
        <v>42</v>
      </c>
    </row>
    <row r="1283" spans="1:19">
      <c r="A1283" s="9">
        <v>1276</v>
      </c>
      <c r="B1283" s="9" t="s">
        <v>1597</v>
      </c>
      <c r="C1283" s="9" t="s">
        <v>1576</v>
      </c>
      <c r="D1283" s="9" t="s">
        <v>652</v>
      </c>
      <c r="E1283" s="9" t="s">
        <v>33</v>
      </c>
      <c r="F1283" s="7" t="s">
        <v>39</v>
      </c>
      <c r="G1283" s="11">
        <v>1</v>
      </c>
      <c r="H1283" s="11">
        <v>1</v>
      </c>
      <c r="I1283" s="14">
        <v>9500.0</v>
      </c>
      <c r="J1283" s="14"/>
      <c r="K1283" s="16">
        <f>IF(I1283&gt;0, J1283/I1283, 0)</f>
        <v>0</v>
      </c>
      <c r="L1283" s="14">
        <v>9500.0</v>
      </c>
      <c r="M1283" s="14"/>
      <c r="N1283" s="14">
        <f>L1283-M1283</f>
        <v>9500</v>
      </c>
      <c r="O1283" s="9" t="s">
        <v>40</v>
      </c>
      <c r="P1283" s="9" t="s">
        <v>41</v>
      </c>
      <c r="Q1283" s="9" t="s">
        <v>42</v>
      </c>
      <c r="R1283" s="7" t="s">
        <v>2129</v>
      </c>
      <c r="S1283" s="7" t="s">
        <v>42</v>
      </c>
    </row>
    <row r="1284" spans="1:19">
      <c r="A1284" s="8">
        <v>1277</v>
      </c>
      <c r="B1284" s="8" t="s">
        <v>1598</v>
      </c>
      <c r="C1284" s="8" t="s">
        <v>1576</v>
      </c>
      <c r="D1284" s="8" t="s">
        <v>652</v>
      </c>
      <c r="E1284" s="8" t="s">
        <v>33</v>
      </c>
      <c r="F1284" s="6" t="s">
        <v>39</v>
      </c>
      <c r="G1284" s="10">
        <v>1</v>
      </c>
      <c r="H1284" s="10">
        <v>1</v>
      </c>
      <c r="I1284" s="13">
        <v>9000.0</v>
      </c>
      <c r="J1284" s="13"/>
      <c r="K1284" s="15">
        <f>IF(I1284&gt;0, J1284/I1284, 0)</f>
        <v>0</v>
      </c>
      <c r="L1284" s="13">
        <v>9000.0</v>
      </c>
      <c r="M1284" s="13"/>
      <c r="N1284" s="13">
        <f>L1284-M1284</f>
        <v>9000</v>
      </c>
      <c r="O1284" s="8" t="s">
        <v>40</v>
      </c>
      <c r="P1284" s="8" t="s">
        <v>41</v>
      </c>
      <c r="Q1284" s="8" t="s">
        <v>42</v>
      </c>
      <c r="R1284" s="6" t="s">
        <v>2200</v>
      </c>
      <c r="S1284" s="6" t="s">
        <v>42</v>
      </c>
    </row>
    <row r="1285" spans="1:19">
      <c r="A1285" s="9">
        <v>1278</v>
      </c>
      <c r="B1285" s="9" t="s">
        <v>1599</v>
      </c>
      <c r="C1285" s="9" t="s">
        <v>1576</v>
      </c>
      <c r="D1285" s="9" t="s">
        <v>652</v>
      </c>
      <c r="E1285" s="9" t="s">
        <v>33</v>
      </c>
      <c r="F1285" s="7" t="s">
        <v>39</v>
      </c>
      <c r="G1285" s="11">
        <v>1</v>
      </c>
      <c r="H1285" s="11">
        <v>1</v>
      </c>
      <c r="I1285" s="14">
        <v>8000.0</v>
      </c>
      <c r="J1285" s="14"/>
      <c r="K1285" s="16">
        <f>IF(I1285&gt;0, J1285/I1285, 0)</f>
        <v>0</v>
      </c>
      <c r="L1285" s="14">
        <v>8000.0</v>
      </c>
      <c r="M1285" s="14"/>
      <c r="N1285" s="14">
        <f>L1285-M1285</f>
        <v>8000</v>
      </c>
      <c r="O1285" s="9" t="s">
        <v>40</v>
      </c>
      <c r="P1285" s="9" t="s">
        <v>41</v>
      </c>
      <c r="Q1285" s="9" t="s">
        <v>42</v>
      </c>
      <c r="R1285" s="7" t="s">
        <v>2122</v>
      </c>
      <c r="S1285" s="7" t="s">
        <v>42</v>
      </c>
    </row>
    <row r="1286" spans="1:19">
      <c r="A1286" s="8">
        <v>1279</v>
      </c>
      <c r="B1286" s="8" t="s">
        <v>1600</v>
      </c>
      <c r="C1286" s="8" t="s">
        <v>1576</v>
      </c>
      <c r="D1286" s="8" t="s">
        <v>652</v>
      </c>
      <c r="E1286" s="8" t="s">
        <v>33</v>
      </c>
      <c r="F1286" s="6" t="s">
        <v>39</v>
      </c>
      <c r="G1286" s="10">
        <v>1</v>
      </c>
      <c r="H1286" s="10">
        <v>2</v>
      </c>
      <c r="I1286" s="13">
        <v>16000.0</v>
      </c>
      <c r="J1286" s="13"/>
      <c r="K1286" s="15">
        <f>IF(I1286&gt;0, J1286/I1286, 0)</f>
        <v>0</v>
      </c>
      <c r="L1286" s="13">
        <v>16000.0</v>
      </c>
      <c r="M1286" s="13"/>
      <c r="N1286" s="13">
        <f>L1286-M1286</f>
        <v>16000</v>
      </c>
      <c r="O1286" s="8" t="s">
        <v>40</v>
      </c>
      <c r="P1286" s="8" t="s">
        <v>41</v>
      </c>
      <c r="Q1286" s="8" t="s">
        <v>42</v>
      </c>
      <c r="R1286" s="6" t="s">
        <v>2264</v>
      </c>
      <c r="S1286" s="6" t="s">
        <v>42</v>
      </c>
    </row>
    <row r="1287" spans="1:19">
      <c r="A1287" s="9">
        <v>1280</v>
      </c>
      <c r="B1287" s="9" t="s">
        <v>1601</v>
      </c>
      <c r="C1287" s="9" t="s">
        <v>1576</v>
      </c>
      <c r="D1287" s="9" t="s">
        <v>652</v>
      </c>
      <c r="E1287" s="9" t="s">
        <v>33</v>
      </c>
      <c r="F1287" s="7" t="s">
        <v>39</v>
      </c>
      <c r="G1287" s="11">
        <v>1</v>
      </c>
      <c r="H1287" s="11">
        <v>2</v>
      </c>
      <c r="I1287" s="14">
        <v>14000.0</v>
      </c>
      <c r="J1287" s="14"/>
      <c r="K1287" s="16">
        <f>IF(I1287&gt;0, J1287/I1287, 0)</f>
        <v>0</v>
      </c>
      <c r="L1287" s="14">
        <v>14000.0</v>
      </c>
      <c r="M1287" s="14"/>
      <c r="N1287" s="14">
        <f>L1287-M1287</f>
        <v>14000</v>
      </c>
      <c r="O1287" s="9" t="s">
        <v>40</v>
      </c>
      <c r="P1287" s="9" t="s">
        <v>41</v>
      </c>
      <c r="Q1287" s="9" t="s">
        <v>42</v>
      </c>
      <c r="R1287" s="7" t="s">
        <v>2098</v>
      </c>
      <c r="S1287" s="7" t="s">
        <v>42</v>
      </c>
    </row>
    <row r="1288" spans="1:19">
      <c r="A1288" s="8">
        <v>1281</v>
      </c>
      <c r="B1288" s="8" t="s">
        <v>1602</v>
      </c>
      <c r="C1288" s="8" t="s">
        <v>1576</v>
      </c>
      <c r="D1288" s="8" t="s">
        <v>652</v>
      </c>
      <c r="E1288" s="8" t="s">
        <v>33</v>
      </c>
      <c r="F1288" s="6" t="s">
        <v>39</v>
      </c>
      <c r="G1288" s="10">
        <v>1</v>
      </c>
      <c r="H1288" s="10">
        <v>1</v>
      </c>
      <c r="I1288" s="13">
        <v>8000.0</v>
      </c>
      <c r="J1288" s="13"/>
      <c r="K1288" s="15">
        <f>IF(I1288&gt;0, J1288/I1288, 0)</f>
        <v>0</v>
      </c>
      <c r="L1288" s="13">
        <v>8000.0</v>
      </c>
      <c r="M1288" s="13"/>
      <c r="N1288" s="13">
        <f>L1288-M1288</f>
        <v>8000</v>
      </c>
      <c r="O1288" s="8" t="s">
        <v>40</v>
      </c>
      <c r="P1288" s="8" t="s">
        <v>41</v>
      </c>
      <c r="Q1288" s="8" t="s">
        <v>42</v>
      </c>
      <c r="R1288" s="6" t="s">
        <v>2196</v>
      </c>
      <c r="S1288" s="6" t="s">
        <v>42</v>
      </c>
    </row>
    <row r="1289" spans="1:19">
      <c r="A1289" s="9">
        <v>1282</v>
      </c>
      <c r="B1289" s="9" t="s">
        <v>1603</v>
      </c>
      <c r="C1289" s="9" t="s">
        <v>1576</v>
      </c>
      <c r="D1289" s="9" t="s">
        <v>652</v>
      </c>
      <c r="E1289" s="9" t="s">
        <v>33</v>
      </c>
      <c r="F1289" s="7" t="s">
        <v>39</v>
      </c>
      <c r="G1289" s="11">
        <v>1</v>
      </c>
      <c r="H1289" s="11">
        <v>1</v>
      </c>
      <c r="I1289" s="14">
        <v>18000.0</v>
      </c>
      <c r="J1289" s="14"/>
      <c r="K1289" s="16">
        <f>IF(I1289&gt;0, J1289/I1289, 0)</f>
        <v>0</v>
      </c>
      <c r="L1289" s="14">
        <v>18000.0</v>
      </c>
      <c r="M1289" s="14"/>
      <c r="N1289" s="14">
        <f>L1289-M1289</f>
        <v>18000</v>
      </c>
      <c r="O1289" s="9" t="s">
        <v>40</v>
      </c>
      <c r="P1289" s="9" t="s">
        <v>41</v>
      </c>
      <c r="Q1289" s="9" t="s">
        <v>42</v>
      </c>
      <c r="R1289" s="7" t="s">
        <v>2160</v>
      </c>
      <c r="S1289" s="7" t="s">
        <v>42</v>
      </c>
    </row>
    <row r="1290" spans="1:19">
      <c r="A1290" s="8">
        <v>1283</v>
      </c>
      <c r="B1290" s="8" t="s">
        <v>1604</v>
      </c>
      <c r="C1290" s="8" t="s">
        <v>1576</v>
      </c>
      <c r="D1290" s="8" t="s">
        <v>652</v>
      </c>
      <c r="E1290" s="8" t="s">
        <v>33</v>
      </c>
      <c r="F1290" s="6" t="s">
        <v>39</v>
      </c>
      <c r="G1290" s="10">
        <v>1</v>
      </c>
      <c r="H1290" s="10">
        <v>1</v>
      </c>
      <c r="I1290" s="13">
        <v>7000.0</v>
      </c>
      <c r="J1290" s="13"/>
      <c r="K1290" s="15">
        <f>IF(I1290&gt;0, J1290/I1290, 0)</f>
        <v>0</v>
      </c>
      <c r="L1290" s="13">
        <v>7000.0</v>
      </c>
      <c r="M1290" s="13"/>
      <c r="N1290" s="13">
        <f>L1290-M1290</f>
        <v>7000</v>
      </c>
      <c r="O1290" s="8" t="s">
        <v>40</v>
      </c>
      <c r="P1290" s="8" t="s">
        <v>41</v>
      </c>
      <c r="Q1290" s="8" t="s">
        <v>42</v>
      </c>
      <c r="R1290" s="6" t="s">
        <v>2154</v>
      </c>
      <c r="S1290" s="6" t="s">
        <v>42</v>
      </c>
    </row>
    <row r="1291" spans="1:19">
      <c r="A1291" s="9">
        <v>1284</v>
      </c>
      <c r="B1291" s="9" t="s">
        <v>1605</v>
      </c>
      <c r="C1291" s="9" t="s">
        <v>1576</v>
      </c>
      <c r="D1291" s="9" t="s">
        <v>652</v>
      </c>
      <c r="E1291" s="9" t="s">
        <v>33</v>
      </c>
      <c r="F1291" s="7" t="s">
        <v>39</v>
      </c>
      <c r="G1291" s="11">
        <v>1</v>
      </c>
      <c r="H1291" s="11">
        <v>1</v>
      </c>
      <c r="I1291" s="14">
        <v>9000.0</v>
      </c>
      <c r="J1291" s="14"/>
      <c r="K1291" s="16">
        <f>IF(I1291&gt;0, J1291/I1291, 0)</f>
        <v>0</v>
      </c>
      <c r="L1291" s="14">
        <v>9000.0</v>
      </c>
      <c r="M1291" s="14"/>
      <c r="N1291" s="14">
        <f>L1291-M1291</f>
        <v>9000</v>
      </c>
      <c r="O1291" s="9" t="s">
        <v>40</v>
      </c>
      <c r="P1291" s="9" t="s">
        <v>41</v>
      </c>
      <c r="Q1291" s="9" t="s">
        <v>42</v>
      </c>
      <c r="R1291" s="7" t="s">
        <v>2125</v>
      </c>
      <c r="S1291" s="7" t="s">
        <v>42</v>
      </c>
    </row>
    <row r="1292" spans="1:19">
      <c r="A1292" s="8">
        <v>1285</v>
      </c>
      <c r="B1292" s="8" t="s">
        <v>1606</v>
      </c>
      <c r="C1292" s="8" t="s">
        <v>1576</v>
      </c>
      <c r="D1292" s="8" t="s">
        <v>652</v>
      </c>
      <c r="E1292" s="8" t="s">
        <v>68</v>
      </c>
      <c r="F1292" s="6" t="s">
        <v>39</v>
      </c>
      <c r="G1292" s="10">
        <v>1</v>
      </c>
      <c r="H1292" s="10">
        <v>1</v>
      </c>
      <c r="I1292" s="13">
        <v>18000.0</v>
      </c>
      <c r="J1292" s="13"/>
      <c r="K1292" s="15">
        <f>IF(I1292&gt;0, J1292/I1292, 0)</f>
        <v>0</v>
      </c>
      <c r="L1292" s="13">
        <v>18000.0</v>
      </c>
      <c r="M1292" s="13"/>
      <c r="N1292" s="13">
        <f>L1292-M1292</f>
        <v>18000</v>
      </c>
      <c r="O1292" s="8" t="s">
        <v>40</v>
      </c>
      <c r="P1292" s="8" t="s">
        <v>71</v>
      </c>
      <c r="Q1292" s="8" t="s">
        <v>42</v>
      </c>
      <c r="R1292" s="6" t="s">
        <v>2093</v>
      </c>
      <c r="S1292" s="6" t="s">
        <v>42</v>
      </c>
    </row>
    <row r="1293" spans="1:19">
      <c r="A1293" s="9">
        <v>1286</v>
      </c>
      <c r="B1293" s="9" t="s">
        <v>1607</v>
      </c>
      <c r="C1293" s="9" t="s">
        <v>1576</v>
      </c>
      <c r="D1293" s="9" t="s">
        <v>652</v>
      </c>
      <c r="E1293" s="9" t="s">
        <v>68</v>
      </c>
      <c r="F1293" s="7" t="s">
        <v>39</v>
      </c>
      <c r="G1293" s="11">
        <v>1</v>
      </c>
      <c r="H1293" s="11">
        <v>1</v>
      </c>
      <c r="I1293" s="14">
        <v>11000.0</v>
      </c>
      <c r="J1293" s="14"/>
      <c r="K1293" s="16">
        <f>IF(I1293&gt;0, J1293/I1293, 0)</f>
        <v>0</v>
      </c>
      <c r="L1293" s="14">
        <v>11000.0</v>
      </c>
      <c r="M1293" s="14"/>
      <c r="N1293" s="14">
        <f>L1293-M1293</f>
        <v>11000</v>
      </c>
      <c r="O1293" s="9" t="s">
        <v>40</v>
      </c>
      <c r="P1293" s="9" t="s">
        <v>71</v>
      </c>
      <c r="Q1293" s="9" t="s">
        <v>42</v>
      </c>
      <c r="R1293" s="7" t="s">
        <v>2140</v>
      </c>
      <c r="S1293" s="7" t="s">
        <v>42</v>
      </c>
    </row>
    <row r="1294" spans="1:19">
      <c r="A1294" s="8">
        <v>1287</v>
      </c>
      <c r="B1294" s="8" t="s">
        <v>1608</v>
      </c>
      <c r="C1294" s="8" t="s">
        <v>1576</v>
      </c>
      <c r="D1294" s="8" t="s">
        <v>652</v>
      </c>
      <c r="E1294" s="8" t="s">
        <v>33</v>
      </c>
      <c r="F1294" s="6" t="s">
        <v>39</v>
      </c>
      <c r="G1294" s="10">
        <v>1</v>
      </c>
      <c r="H1294" s="10">
        <v>2</v>
      </c>
      <c r="I1294" s="13">
        <v>17000.0</v>
      </c>
      <c r="J1294" s="13"/>
      <c r="K1294" s="15">
        <f>IF(I1294&gt;0, J1294/I1294, 0)</f>
        <v>0</v>
      </c>
      <c r="L1294" s="13">
        <v>17000.0</v>
      </c>
      <c r="M1294" s="13"/>
      <c r="N1294" s="13">
        <f>L1294-M1294</f>
        <v>17000</v>
      </c>
      <c r="O1294" s="8" t="s">
        <v>40</v>
      </c>
      <c r="P1294" s="8" t="s">
        <v>41</v>
      </c>
      <c r="Q1294" s="8" t="s">
        <v>42</v>
      </c>
      <c r="R1294" s="6" t="s">
        <v>2264</v>
      </c>
      <c r="S1294" s="6" t="s">
        <v>42</v>
      </c>
    </row>
    <row r="1295" spans="1:19">
      <c r="A1295" s="9">
        <v>1288</v>
      </c>
      <c r="B1295" s="9" t="s">
        <v>1609</v>
      </c>
      <c r="C1295" s="9" t="s">
        <v>1576</v>
      </c>
      <c r="D1295" s="9" t="s">
        <v>652</v>
      </c>
      <c r="E1295" s="9" t="s">
        <v>33</v>
      </c>
      <c r="F1295" s="7" t="s">
        <v>39</v>
      </c>
      <c r="G1295" s="11">
        <v>1</v>
      </c>
      <c r="H1295" s="11">
        <v>2</v>
      </c>
      <c r="I1295" s="14">
        <v>15000.0</v>
      </c>
      <c r="J1295" s="14"/>
      <c r="K1295" s="16">
        <f>IF(I1295&gt;0, J1295/I1295, 0)</f>
        <v>0</v>
      </c>
      <c r="L1295" s="14">
        <v>15000.0</v>
      </c>
      <c r="M1295" s="14"/>
      <c r="N1295" s="14">
        <f>L1295-M1295</f>
        <v>15000</v>
      </c>
      <c r="O1295" s="9" t="s">
        <v>40</v>
      </c>
      <c r="P1295" s="9" t="s">
        <v>41</v>
      </c>
      <c r="Q1295" s="9" t="s">
        <v>42</v>
      </c>
      <c r="R1295" s="7" t="s">
        <v>2265</v>
      </c>
      <c r="S1295" s="7" t="s">
        <v>42</v>
      </c>
    </row>
    <row r="1296" spans="1:19">
      <c r="A1296" s="8">
        <v>1289</v>
      </c>
      <c r="B1296" s="8" t="s">
        <v>1610</v>
      </c>
      <c r="C1296" s="8" t="s">
        <v>1576</v>
      </c>
      <c r="D1296" s="8" t="s">
        <v>652</v>
      </c>
      <c r="E1296" s="8" t="s">
        <v>33</v>
      </c>
      <c r="F1296" s="6" t="s">
        <v>39</v>
      </c>
      <c r="G1296" s="10">
        <v>1</v>
      </c>
      <c r="H1296" s="10">
        <v>1</v>
      </c>
      <c r="I1296" s="13">
        <v>9500.0</v>
      </c>
      <c r="J1296" s="13"/>
      <c r="K1296" s="15">
        <f>IF(I1296&gt;0, J1296/I1296, 0)</f>
        <v>0</v>
      </c>
      <c r="L1296" s="13">
        <v>9500.0</v>
      </c>
      <c r="M1296" s="13"/>
      <c r="N1296" s="13">
        <f>L1296-M1296</f>
        <v>9500</v>
      </c>
      <c r="O1296" s="8" t="s">
        <v>40</v>
      </c>
      <c r="P1296" s="8" t="s">
        <v>41</v>
      </c>
      <c r="Q1296" s="8" t="s">
        <v>42</v>
      </c>
      <c r="R1296" s="6" t="s">
        <v>2140</v>
      </c>
      <c r="S1296" s="6" t="s">
        <v>42</v>
      </c>
    </row>
    <row r="1297" spans="1:19">
      <c r="A1297" s="9">
        <v>1290</v>
      </c>
      <c r="B1297" s="9" t="s">
        <v>1611</v>
      </c>
      <c r="C1297" s="9" t="s">
        <v>1576</v>
      </c>
      <c r="D1297" s="9" t="s">
        <v>652</v>
      </c>
      <c r="E1297" s="9" t="s">
        <v>68</v>
      </c>
      <c r="F1297" s="7" t="s">
        <v>39</v>
      </c>
      <c r="G1297" s="11">
        <v>1</v>
      </c>
      <c r="H1297" s="11">
        <v>1</v>
      </c>
      <c r="I1297" s="14">
        <v>9000.0</v>
      </c>
      <c r="J1297" s="14"/>
      <c r="K1297" s="16">
        <f>IF(I1297&gt;0, J1297/I1297, 0)</f>
        <v>0</v>
      </c>
      <c r="L1297" s="14">
        <v>9000.0</v>
      </c>
      <c r="M1297" s="14"/>
      <c r="N1297" s="14">
        <f>L1297-M1297</f>
        <v>9000</v>
      </c>
      <c r="O1297" s="9" t="s">
        <v>40</v>
      </c>
      <c r="P1297" s="9" t="s">
        <v>71</v>
      </c>
      <c r="Q1297" s="9" t="s">
        <v>42</v>
      </c>
      <c r="R1297" s="7" t="s">
        <v>2076</v>
      </c>
      <c r="S1297" s="7" t="s">
        <v>42</v>
      </c>
    </row>
    <row r="1298" spans="1:19">
      <c r="A1298" s="8">
        <v>1291</v>
      </c>
      <c r="B1298" s="8" t="s">
        <v>1612</v>
      </c>
      <c r="C1298" s="8" t="s">
        <v>1576</v>
      </c>
      <c r="D1298" s="8" t="s">
        <v>652</v>
      </c>
      <c r="E1298" s="8" t="s">
        <v>33</v>
      </c>
      <c r="F1298" s="6" t="s">
        <v>39</v>
      </c>
      <c r="G1298" s="10">
        <v>1</v>
      </c>
      <c r="H1298" s="10">
        <v>1</v>
      </c>
      <c r="I1298" s="13">
        <v>17000.0</v>
      </c>
      <c r="J1298" s="13"/>
      <c r="K1298" s="15">
        <f>IF(I1298&gt;0, J1298/I1298, 0)</f>
        <v>0</v>
      </c>
      <c r="L1298" s="13">
        <v>17000.0</v>
      </c>
      <c r="M1298" s="13"/>
      <c r="N1298" s="13">
        <f>L1298-M1298</f>
        <v>17000</v>
      </c>
      <c r="O1298" s="8" t="s">
        <v>40</v>
      </c>
      <c r="P1298" s="8" t="s">
        <v>41</v>
      </c>
      <c r="Q1298" s="8" t="s">
        <v>42</v>
      </c>
      <c r="R1298" s="6" t="s">
        <v>2080</v>
      </c>
      <c r="S1298" s="6" t="s">
        <v>42</v>
      </c>
    </row>
    <row r="1299" spans="1:19">
      <c r="A1299" s="9">
        <v>1292</v>
      </c>
      <c r="B1299" s="9" t="s">
        <v>1614</v>
      </c>
      <c r="C1299" s="9" t="s">
        <v>1576</v>
      </c>
      <c r="D1299" s="9" t="s">
        <v>652</v>
      </c>
      <c r="E1299" s="9" t="s">
        <v>33</v>
      </c>
      <c r="F1299" s="7" t="s">
        <v>39</v>
      </c>
      <c r="G1299" s="11">
        <v>1</v>
      </c>
      <c r="H1299" s="11">
        <v>1</v>
      </c>
      <c r="I1299" s="14">
        <v>7000.0</v>
      </c>
      <c r="J1299" s="14"/>
      <c r="K1299" s="16">
        <f>IF(I1299&gt;0, J1299/I1299, 0)</f>
        <v>0</v>
      </c>
      <c r="L1299" s="14">
        <v>7000.0</v>
      </c>
      <c r="M1299" s="14"/>
      <c r="N1299" s="14">
        <f>L1299-M1299</f>
        <v>7000</v>
      </c>
      <c r="O1299" s="9" t="s">
        <v>40</v>
      </c>
      <c r="P1299" s="9" t="s">
        <v>41</v>
      </c>
      <c r="Q1299" s="9" t="s">
        <v>42</v>
      </c>
      <c r="R1299" s="7" t="s">
        <v>2100</v>
      </c>
      <c r="S1299" s="7" t="s">
        <v>42</v>
      </c>
    </row>
    <row r="1300" spans="1:19">
      <c r="A1300" s="8">
        <v>1293</v>
      </c>
      <c r="B1300" s="8" t="s">
        <v>1615</v>
      </c>
      <c r="C1300" s="8" t="s">
        <v>1576</v>
      </c>
      <c r="D1300" s="8" t="s">
        <v>652</v>
      </c>
      <c r="E1300" s="8" t="s">
        <v>33</v>
      </c>
      <c r="F1300" s="6" t="s">
        <v>39</v>
      </c>
      <c r="G1300" s="10">
        <v>1</v>
      </c>
      <c r="H1300" s="10">
        <v>1</v>
      </c>
      <c r="I1300" s="13">
        <v>9000.0</v>
      </c>
      <c r="J1300" s="13"/>
      <c r="K1300" s="15">
        <f>IF(I1300&gt;0, J1300/I1300, 0)</f>
        <v>0</v>
      </c>
      <c r="L1300" s="13">
        <v>9000.0</v>
      </c>
      <c r="M1300" s="13"/>
      <c r="N1300" s="13">
        <f>L1300-M1300</f>
        <v>9000</v>
      </c>
      <c r="O1300" s="8" t="s">
        <v>40</v>
      </c>
      <c r="P1300" s="8" t="s">
        <v>41</v>
      </c>
      <c r="Q1300" s="8" t="s">
        <v>42</v>
      </c>
      <c r="R1300" s="6" t="s">
        <v>2129</v>
      </c>
      <c r="S1300" s="6" t="s">
        <v>42</v>
      </c>
    </row>
    <row r="1301" spans="1:19">
      <c r="A1301" s="9">
        <v>1294</v>
      </c>
      <c r="B1301" s="9" t="s">
        <v>1616</v>
      </c>
      <c r="C1301" s="9" t="s">
        <v>1576</v>
      </c>
      <c r="D1301" s="9" t="s">
        <v>652</v>
      </c>
      <c r="E1301" s="9" t="s">
        <v>33</v>
      </c>
      <c r="F1301" s="7" t="s">
        <v>39</v>
      </c>
      <c r="G1301" s="11">
        <v>1</v>
      </c>
      <c r="H1301" s="11">
        <v>1</v>
      </c>
      <c r="I1301" s="14">
        <v>18000.0</v>
      </c>
      <c r="J1301" s="14"/>
      <c r="K1301" s="16">
        <f>IF(I1301&gt;0, J1301/I1301, 0)</f>
        <v>0</v>
      </c>
      <c r="L1301" s="14">
        <v>18000.0</v>
      </c>
      <c r="M1301" s="14"/>
      <c r="N1301" s="14">
        <f>L1301-M1301</f>
        <v>18000</v>
      </c>
      <c r="O1301" s="9" t="s">
        <v>40</v>
      </c>
      <c r="P1301" s="9" t="s">
        <v>41</v>
      </c>
      <c r="Q1301" s="9" t="s">
        <v>42</v>
      </c>
      <c r="R1301" s="7" t="s">
        <v>2119</v>
      </c>
      <c r="S1301" s="7" t="s">
        <v>42</v>
      </c>
    </row>
    <row r="1302" spans="1:19">
      <c r="A1302" s="8">
        <v>1295</v>
      </c>
      <c r="B1302" s="8" t="s">
        <v>1617</v>
      </c>
      <c r="C1302" s="8" t="s">
        <v>1576</v>
      </c>
      <c r="D1302" s="8" t="s">
        <v>652</v>
      </c>
      <c r="E1302" s="8" t="s">
        <v>33</v>
      </c>
      <c r="F1302" s="6" t="s">
        <v>39</v>
      </c>
      <c r="G1302" s="10">
        <v>1</v>
      </c>
      <c r="H1302" s="10">
        <v>2</v>
      </c>
      <c r="I1302" s="13">
        <v>14000.0</v>
      </c>
      <c r="J1302" s="13"/>
      <c r="K1302" s="15">
        <f>IF(I1302&gt;0, J1302/I1302, 0)</f>
        <v>0</v>
      </c>
      <c r="L1302" s="13">
        <v>14000.0</v>
      </c>
      <c r="M1302" s="13"/>
      <c r="N1302" s="13">
        <f>L1302-M1302</f>
        <v>14000</v>
      </c>
      <c r="O1302" s="8" t="s">
        <v>40</v>
      </c>
      <c r="P1302" s="8" t="s">
        <v>41</v>
      </c>
      <c r="Q1302" s="8" t="s">
        <v>42</v>
      </c>
      <c r="R1302" s="6" t="s">
        <v>2104</v>
      </c>
      <c r="S1302" s="6" t="s">
        <v>42</v>
      </c>
    </row>
    <row r="1303" spans="1:19">
      <c r="A1303" s="9">
        <v>1296</v>
      </c>
      <c r="B1303" s="9" t="s">
        <v>1618</v>
      </c>
      <c r="C1303" s="9" t="s">
        <v>1576</v>
      </c>
      <c r="D1303" s="9" t="s">
        <v>652</v>
      </c>
      <c r="E1303" s="9" t="s">
        <v>33</v>
      </c>
      <c r="F1303" s="7" t="s">
        <v>39</v>
      </c>
      <c r="G1303" s="11">
        <v>1</v>
      </c>
      <c r="H1303" s="11">
        <v>2</v>
      </c>
      <c r="I1303" s="14">
        <v>34000.0</v>
      </c>
      <c r="J1303" s="14"/>
      <c r="K1303" s="16">
        <f>IF(I1303&gt;0, J1303/I1303, 0)</f>
        <v>0</v>
      </c>
      <c r="L1303" s="14">
        <v>34000.0</v>
      </c>
      <c r="M1303" s="14"/>
      <c r="N1303" s="14">
        <f>L1303-M1303</f>
        <v>34000</v>
      </c>
      <c r="O1303" s="9" t="s">
        <v>40</v>
      </c>
      <c r="P1303" s="9" t="s">
        <v>41</v>
      </c>
      <c r="Q1303" s="9" t="s">
        <v>42</v>
      </c>
      <c r="R1303" s="7" t="s">
        <v>2272</v>
      </c>
      <c r="S1303" s="7" t="s">
        <v>42</v>
      </c>
    </row>
    <row r="1304" spans="1:19">
      <c r="A1304" s="8">
        <v>1297</v>
      </c>
      <c r="B1304" s="8" t="s">
        <v>1619</v>
      </c>
      <c r="C1304" s="8" t="s">
        <v>1576</v>
      </c>
      <c r="D1304" s="8" t="s">
        <v>652</v>
      </c>
      <c r="E1304" s="8" t="s">
        <v>33</v>
      </c>
      <c r="F1304" s="6" t="s">
        <v>39</v>
      </c>
      <c r="G1304" s="10">
        <v>1</v>
      </c>
      <c r="H1304" s="10">
        <v>1</v>
      </c>
      <c r="I1304" s="13">
        <v>7000.0</v>
      </c>
      <c r="J1304" s="13"/>
      <c r="K1304" s="15">
        <f>IF(I1304&gt;0, J1304/I1304, 0)</f>
        <v>0</v>
      </c>
      <c r="L1304" s="13">
        <v>7000.0</v>
      </c>
      <c r="M1304" s="13"/>
      <c r="N1304" s="13">
        <f>L1304-M1304</f>
        <v>7000</v>
      </c>
      <c r="O1304" s="8" t="s">
        <v>40</v>
      </c>
      <c r="P1304" s="8" t="s">
        <v>41</v>
      </c>
      <c r="Q1304" s="8" t="s">
        <v>42</v>
      </c>
      <c r="R1304" s="6" t="s">
        <v>2088</v>
      </c>
      <c r="S1304" s="6" t="s">
        <v>42</v>
      </c>
    </row>
    <row r="1305" spans="1:19">
      <c r="A1305" s="9">
        <v>1298</v>
      </c>
      <c r="B1305" s="9" t="s">
        <v>1620</v>
      </c>
      <c r="C1305" s="9" t="s">
        <v>1576</v>
      </c>
      <c r="D1305" s="9" t="s">
        <v>652</v>
      </c>
      <c r="E1305" s="9" t="s">
        <v>33</v>
      </c>
      <c r="F1305" s="7" t="s">
        <v>39</v>
      </c>
      <c r="G1305" s="11">
        <v>1</v>
      </c>
      <c r="H1305" s="11">
        <v>1</v>
      </c>
      <c r="I1305" s="14">
        <v>9000.0</v>
      </c>
      <c r="J1305" s="14"/>
      <c r="K1305" s="16">
        <f>IF(I1305&gt;0, J1305/I1305, 0)</f>
        <v>0</v>
      </c>
      <c r="L1305" s="14">
        <v>9000.0</v>
      </c>
      <c r="M1305" s="14"/>
      <c r="N1305" s="14">
        <f>L1305-M1305</f>
        <v>9000</v>
      </c>
      <c r="O1305" s="9" t="s">
        <v>40</v>
      </c>
      <c r="P1305" s="9" t="s">
        <v>41</v>
      </c>
      <c r="Q1305" s="9" t="s">
        <v>42</v>
      </c>
      <c r="R1305" s="7" t="s">
        <v>2133</v>
      </c>
      <c r="S1305" s="7" t="s">
        <v>42</v>
      </c>
    </row>
    <row r="1306" spans="1:19">
      <c r="A1306" s="8">
        <v>1299</v>
      </c>
      <c r="B1306" s="8" t="s">
        <v>1621</v>
      </c>
      <c r="C1306" s="8" t="s">
        <v>1576</v>
      </c>
      <c r="D1306" s="8" t="s">
        <v>652</v>
      </c>
      <c r="E1306" s="8" t="s">
        <v>33</v>
      </c>
      <c r="F1306" s="6" t="s">
        <v>39</v>
      </c>
      <c r="G1306" s="10">
        <v>1</v>
      </c>
      <c r="H1306" s="10">
        <v>1</v>
      </c>
      <c r="I1306" s="13">
        <v>16000.0</v>
      </c>
      <c r="J1306" s="13"/>
      <c r="K1306" s="15">
        <f>IF(I1306&gt;0, J1306/I1306, 0)</f>
        <v>0</v>
      </c>
      <c r="L1306" s="13">
        <v>16000.0</v>
      </c>
      <c r="M1306" s="13"/>
      <c r="N1306" s="13">
        <f>L1306-M1306</f>
        <v>16000</v>
      </c>
      <c r="O1306" s="8" t="s">
        <v>40</v>
      </c>
      <c r="P1306" s="8" t="s">
        <v>41</v>
      </c>
      <c r="Q1306" s="8" t="s">
        <v>42</v>
      </c>
      <c r="R1306" s="6" t="s">
        <v>2086</v>
      </c>
      <c r="S1306" s="6" t="s">
        <v>42</v>
      </c>
    </row>
    <row r="1307" spans="1:19">
      <c r="A1307" s="9">
        <v>1300</v>
      </c>
      <c r="B1307" s="9" t="s">
        <v>1622</v>
      </c>
      <c r="C1307" s="9" t="s">
        <v>1576</v>
      </c>
      <c r="D1307" s="9" t="s">
        <v>652</v>
      </c>
      <c r="E1307" s="9" t="s">
        <v>33</v>
      </c>
      <c r="F1307" s="7" t="s">
        <v>39</v>
      </c>
      <c r="G1307" s="11">
        <v>1</v>
      </c>
      <c r="H1307" s="11">
        <v>2</v>
      </c>
      <c r="I1307" s="14">
        <v>16000.0</v>
      </c>
      <c r="J1307" s="14"/>
      <c r="K1307" s="16">
        <f>IF(I1307&gt;0, J1307/I1307, 0)</f>
        <v>0</v>
      </c>
      <c r="L1307" s="14">
        <v>16000.0</v>
      </c>
      <c r="M1307" s="14"/>
      <c r="N1307" s="14">
        <f>L1307-M1307</f>
        <v>16000</v>
      </c>
      <c r="O1307" s="9" t="s">
        <v>40</v>
      </c>
      <c r="P1307" s="9" t="s">
        <v>41</v>
      </c>
      <c r="Q1307" s="9" t="s">
        <v>42</v>
      </c>
      <c r="R1307" s="7" t="s">
        <v>2236</v>
      </c>
      <c r="S1307" s="7" t="s">
        <v>42</v>
      </c>
    </row>
    <row r="1308" spans="1:19">
      <c r="A1308" s="8">
        <v>1301</v>
      </c>
      <c r="B1308" s="8" t="s">
        <v>1623</v>
      </c>
      <c r="C1308" s="8" t="s">
        <v>1576</v>
      </c>
      <c r="D1308" s="8" t="s">
        <v>652</v>
      </c>
      <c r="E1308" s="8" t="s">
        <v>33</v>
      </c>
      <c r="F1308" s="6" t="s">
        <v>39</v>
      </c>
      <c r="G1308" s="10">
        <v>1</v>
      </c>
      <c r="H1308" s="10">
        <v>1</v>
      </c>
      <c r="I1308" s="13">
        <v>7000.0</v>
      </c>
      <c r="J1308" s="13"/>
      <c r="K1308" s="15">
        <f>IF(I1308&gt;0, J1308/I1308, 0)</f>
        <v>0</v>
      </c>
      <c r="L1308" s="13">
        <v>7000.0</v>
      </c>
      <c r="M1308" s="13"/>
      <c r="N1308" s="13">
        <f>L1308-M1308</f>
        <v>7000</v>
      </c>
      <c r="O1308" s="8" t="s">
        <v>40</v>
      </c>
      <c r="P1308" s="8" t="s">
        <v>41</v>
      </c>
      <c r="Q1308" s="8" t="s">
        <v>42</v>
      </c>
      <c r="R1308" s="6" t="s">
        <v>2131</v>
      </c>
      <c r="S1308" s="6" t="s">
        <v>42</v>
      </c>
    </row>
    <row r="1309" spans="1:19">
      <c r="A1309" s="9">
        <v>1302</v>
      </c>
      <c r="B1309" s="9" t="s">
        <v>1624</v>
      </c>
      <c r="C1309" s="9" t="s">
        <v>1625</v>
      </c>
      <c r="D1309" s="9" t="s">
        <v>652</v>
      </c>
      <c r="E1309" s="9" t="s">
        <v>33</v>
      </c>
      <c r="F1309" s="7" t="s">
        <v>39</v>
      </c>
      <c r="G1309" s="11">
        <v>1</v>
      </c>
      <c r="H1309" s="11">
        <v>1</v>
      </c>
      <c r="I1309" s="14">
        <v>7000.0</v>
      </c>
      <c r="J1309" s="14"/>
      <c r="K1309" s="16">
        <f>IF(I1309&gt;0, J1309/I1309, 0)</f>
        <v>0</v>
      </c>
      <c r="L1309" s="14">
        <v>7000.0</v>
      </c>
      <c r="M1309" s="14"/>
      <c r="N1309" s="14">
        <f>L1309-M1309</f>
        <v>7000</v>
      </c>
      <c r="O1309" s="9" t="s">
        <v>40</v>
      </c>
      <c r="P1309" s="9" t="s">
        <v>41</v>
      </c>
      <c r="Q1309" s="9" t="s">
        <v>42</v>
      </c>
      <c r="R1309" s="7" t="s">
        <v>2155</v>
      </c>
      <c r="S1309" s="7" t="s">
        <v>42</v>
      </c>
    </row>
    <row r="1310" spans="1:19">
      <c r="A1310" s="8">
        <v>1303</v>
      </c>
      <c r="B1310" s="8" t="s">
        <v>1626</v>
      </c>
      <c r="C1310" s="8" t="s">
        <v>1625</v>
      </c>
      <c r="D1310" s="8" t="s">
        <v>652</v>
      </c>
      <c r="E1310" s="8" t="s">
        <v>33</v>
      </c>
      <c r="F1310" s="6" t="s">
        <v>39</v>
      </c>
      <c r="G1310" s="10">
        <v>1</v>
      </c>
      <c r="H1310" s="10">
        <v>1</v>
      </c>
      <c r="I1310" s="13">
        <v>8000.0</v>
      </c>
      <c r="J1310" s="13"/>
      <c r="K1310" s="15">
        <f>IF(I1310&gt;0, J1310/I1310, 0)</f>
        <v>0</v>
      </c>
      <c r="L1310" s="13">
        <v>8000.0</v>
      </c>
      <c r="M1310" s="13"/>
      <c r="N1310" s="13">
        <f>L1310-M1310</f>
        <v>8000</v>
      </c>
      <c r="O1310" s="8" t="s">
        <v>40</v>
      </c>
      <c r="P1310" s="8" t="s">
        <v>41</v>
      </c>
      <c r="Q1310" s="8" t="s">
        <v>42</v>
      </c>
      <c r="R1310" s="6" t="s">
        <v>2082</v>
      </c>
      <c r="S1310" s="6" t="s">
        <v>42</v>
      </c>
    </row>
    <row r="1311" spans="1:19">
      <c r="A1311" s="9">
        <v>1304</v>
      </c>
      <c r="B1311" s="9" t="s">
        <v>1627</v>
      </c>
      <c r="C1311" s="9" t="s">
        <v>1625</v>
      </c>
      <c r="D1311" s="9" t="s">
        <v>652</v>
      </c>
      <c r="E1311" s="9" t="s">
        <v>33</v>
      </c>
      <c r="F1311" s="7" t="s">
        <v>39</v>
      </c>
      <c r="G1311" s="11">
        <v>1</v>
      </c>
      <c r="H1311" s="11">
        <v>1</v>
      </c>
      <c r="I1311" s="14">
        <v>7000.0</v>
      </c>
      <c r="J1311" s="14"/>
      <c r="K1311" s="16">
        <f>IF(I1311&gt;0, J1311/I1311, 0)</f>
        <v>0</v>
      </c>
      <c r="L1311" s="14">
        <v>7000.0</v>
      </c>
      <c r="M1311" s="14"/>
      <c r="N1311" s="14">
        <f>L1311-M1311</f>
        <v>7000</v>
      </c>
      <c r="O1311" s="9" t="s">
        <v>40</v>
      </c>
      <c r="P1311" s="9" t="s">
        <v>41</v>
      </c>
      <c r="Q1311" s="9" t="s">
        <v>42</v>
      </c>
      <c r="R1311" s="7" t="s">
        <v>2109</v>
      </c>
      <c r="S1311" s="7" t="s">
        <v>42</v>
      </c>
    </row>
    <row r="1312" spans="1:19">
      <c r="A1312" s="8">
        <v>1305</v>
      </c>
      <c r="B1312" s="8" t="s">
        <v>1628</v>
      </c>
      <c r="C1312" s="8" t="s">
        <v>1625</v>
      </c>
      <c r="D1312" s="8" t="s">
        <v>652</v>
      </c>
      <c r="E1312" s="8" t="s">
        <v>68</v>
      </c>
      <c r="F1312" s="6" t="s">
        <v>39</v>
      </c>
      <c r="G1312" s="10">
        <v>1</v>
      </c>
      <c r="H1312" s="10">
        <v>2</v>
      </c>
      <c r="I1312" s="13">
        <v>36000.0</v>
      </c>
      <c r="J1312" s="13"/>
      <c r="K1312" s="15">
        <f>IF(I1312&gt;0, J1312/I1312, 0)</f>
        <v>0</v>
      </c>
      <c r="L1312" s="13">
        <v>36000.0</v>
      </c>
      <c r="M1312" s="13"/>
      <c r="N1312" s="13">
        <f>L1312-M1312</f>
        <v>36000</v>
      </c>
      <c r="O1312" s="8" t="s">
        <v>40</v>
      </c>
      <c r="P1312" s="8" t="s">
        <v>71</v>
      </c>
      <c r="Q1312" s="8" t="s">
        <v>42</v>
      </c>
      <c r="R1312" s="6" t="s">
        <v>2273</v>
      </c>
      <c r="S1312" s="6" t="s">
        <v>42</v>
      </c>
    </row>
    <row r="1313" spans="1:19">
      <c r="A1313" s="9">
        <v>1306</v>
      </c>
      <c r="B1313" s="9" t="s">
        <v>1629</v>
      </c>
      <c r="C1313" s="9" t="s">
        <v>1625</v>
      </c>
      <c r="D1313" s="9" t="s">
        <v>652</v>
      </c>
      <c r="E1313" s="9" t="s">
        <v>68</v>
      </c>
      <c r="F1313" s="7" t="s">
        <v>39</v>
      </c>
      <c r="G1313" s="11">
        <v>1</v>
      </c>
      <c r="H1313" s="11">
        <v>2</v>
      </c>
      <c r="I1313" s="14">
        <v>20000.0</v>
      </c>
      <c r="J1313" s="14"/>
      <c r="K1313" s="16">
        <f>IF(I1313&gt;0, J1313/I1313, 0)</f>
        <v>0</v>
      </c>
      <c r="L1313" s="14">
        <v>20000.0</v>
      </c>
      <c r="M1313" s="14"/>
      <c r="N1313" s="14">
        <f>L1313-M1313</f>
        <v>20000</v>
      </c>
      <c r="O1313" s="9" t="s">
        <v>40</v>
      </c>
      <c r="P1313" s="9" t="s">
        <v>71</v>
      </c>
      <c r="Q1313" s="9" t="s">
        <v>42</v>
      </c>
      <c r="R1313" s="7" t="s">
        <v>2104</v>
      </c>
      <c r="S1313" s="7" t="s">
        <v>42</v>
      </c>
    </row>
    <row r="1314" spans="1:19">
      <c r="A1314" s="8">
        <v>1307</v>
      </c>
      <c r="B1314" s="8" t="s">
        <v>1630</v>
      </c>
      <c r="C1314" s="8" t="s">
        <v>1625</v>
      </c>
      <c r="D1314" s="8" t="s">
        <v>652</v>
      </c>
      <c r="E1314" s="8" t="s">
        <v>33</v>
      </c>
      <c r="F1314" s="6" t="s">
        <v>39</v>
      </c>
      <c r="G1314" s="10">
        <v>1</v>
      </c>
      <c r="H1314" s="10">
        <v>1</v>
      </c>
      <c r="I1314" s="13">
        <v>8500.0</v>
      </c>
      <c r="J1314" s="13"/>
      <c r="K1314" s="15">
        <f>IF(I1314&gt;0, J1314/I1314, 0)</f>
        <v>0</v>
      </c>
      <c r="L1314" s="13">
        <v>8500.0</v>
      </c>
      <c r="M1314" s="13"/>
      <c r="N1314" s="13">
        <f>L1314-M1314</f>
        <v>8500</v>
      </c>
      <c r="O1314" s="8" t="s">
        <v>40</v>
      </c>
      <c r="P1314" s="8" t="s">
        <v>41</v>
      </c>
      <c r="Q1314" s="8" t="s">
        <v>42</v>
      </c>
      <c r="R1314" s="6" t="s">
        <v>2076</v>
      </c>
      <c r="S1314" s="6" t="s">
        <v>42</v>
      </c>
    </row>
    <row r="1315" spans="1:19">
      <c r="A1315" s="9">
        <v>1308</v>
      </c>
      <c r="B1315" s="9" t="s">
        <v>1631</v>
      </c>
      <c r="C1315" s="9" t="s">
        <v>1625</v>
      </c>
      <c r="D1315" s="9" t="s">
        <v>652</v>
      </c>
      <c r="E1315" s="9" t="s">
        <v>33</v>
      </c>
      <c r="F1315" s="7" t="s">
        <v>39</v>
      </c>
      <c r="G1315" s="11">
        <v>1</v>
      </c>
      <c r="H1315" s="11">
        <v>2</v>
      </c>
      <c r="I1315" s="14">
        <v>16000.0</v>
      </c>
      <c r="J1315" s="14"/>
      <c r="K1315" s="16">
        <f>IF(I1315&gt;0, J1315/I1315, 0)</f>
        <v>0</v>
      </c>
      <c r="L1315" s="14">
        <v>16000.0</v>
      </c>
      <c r="M1315" s="14"/>
      <c r="N1315" s="14">
        <f>L1315-M1315</f>
        <v>16000</v>
      </c>
      <c r="O1315" s="9" t="s">
        <v>40</v>
      </c>
      <c r="P1315" s="9" t="s">
        <v>41</v>
      </c>
      <c r="Q1315" s="9" t="s">
        <v>42</v>
      </c>
      <c r="R1315" s="7" t="s">
        <v>2145</v>
      </c>
      <c r="S1315" s="7" t="s">
        <v>42</v>
      </c>
    </row>
    <row r="1316" spans="1:19">
      <c r="A1316" s="8">
        <v>1309</v>
      </c>
      <c r="B1316" s="8" t="s">
        <v>1632</v>
      </c>
      <c r="C1316" s="8" t="s">
        <v>1625</v>
      </c>
      <c r="D1316" s="8" t="s">
        <v>652</v>
      </c>
      <c r="E1316" s="8" t="s">
        <v>33</v>
      </c>
      <c r="F1316" s="6" t="s">
        <v>39</v>
      </c>
      <c r="G1316" s="10">
        <v>1</v>
      </c>
      <c r="H1316" s="10">
        <v>1</v>
      </c>
      <c r="I1316" s="13">
        <v>9000.0</v>
      </c>
      <c r="J1316" s="13"/>
      <c r="K1316" s="15">
        <f>IF(I1316&gt;0, J1316/I1316, 0)</f>
        <v>0</v>
      </c>
      <c r="L1316" s="13">
        <v>9000.0</v>
      </c>
      <c r="M1316" s="13"/>
      <c r="N1316" s="13">
        <f>L1316-M1316</f>
        <v>9000</v>
      </c>
      <c r="O1316" s="8" t="s">
        <v>40</v>
      </c>
      <c r="P1316" s="8" t="s">
        <v>41</v>
      </c>
      <c r="Q1316" s="8" t="s">
        <v>42</v>
      </c>
      <c r="R1316" s="6" t="s">
        <v>2081</v>
      </c>
      <c r="S1316" s="6" t="s">
        <v>42</v>
      </c>
    </row>
    <row r="1317" spans="1:19">
      <c r="A1317" s="9">
        <v>1310</v>
      </c>
      <c r="B1317" s="9" t="s">
        <v>1633</v>
      </c>
      <c r="C1317" s="9" t="s">
        <v>1625</v>
      </c>
      <c r="D1317" s="9" t="s">
        <v>652</v>
      </c>
      <c r="E1317" s="9" t="s">
        <v>33</v>
      </c>
      <c r="F1317" s="7" t="s">
        <v>39</v>
      </c>
      <c r="G1317" s="11">
        <v>1</v>
      </c>
      <c r="H1317" s="11">
        <v>1</v>
      </c>
      <c r="I1317" s="14">
        <v>18000.0</v>
      </c>
      <c r="J1317" s="14"/>
      <c r="K1317" s="16">
        <f>IF(I1317&gt;0, J1317/I1317, 0)</f>
        <v>0</v>
      </c>
      <c r="L1317" s="14">
        <v>18000.0</v>
      </c>
      <c r="M1317" s="14"/>
      <c r="N1317" s="14">
        <f>L1317-M1317</f>
        <v>18000</v>
      </c>
      <c r="O1317" s="9" t="s">
        <v>40</v>
      </c>
      <c r="P1317" s="9" t="s">
        <v>41</v>
      </c>
      <c r="Q1317" s="9" t="s">
        <v>42</v>
      </c>
      <c r="R1317" s="7" t="s">
        <v>2169</v>
      </c>
      <c r="S1317" s="7" t="s">
        <v>42</v>
      </c>
    </row>
    <row r="1318" spans="1:19">
      <c r="A1318" s="8">
        <v>1311</v>
      </c>
      <c r="B1318" s="8" t="s">
        <v>1634</v>
      </c>
      <c r="C1318" s="8" t="s">
        <v>1625</v>
      </c>
      <c r="D1318" s="8" t="s">
        <v>652</v>
      </c>
      <c r="E1318" s="8" t="s">
        <v>68</v>
      </c>
      <c r="F1318" s="6" t="s">
        <v>39</v>
      </c>
      <c r="G1318" s="10">
        <v>1</v>
      </c>
      <c r="H1318" s="10">
        <v>2</v>
      </c>
      <c r="I1318" s="13">
        <v>16000.0</v>
      </c>
      <c r="J1318" s="13"/>
      <c r="K1318" s="15">
        <f>IF(I1318&gt;0, J1318/I1318, 0)</f>
        <v>0</v>
      </c>
      <c r="L1318" s="13">
        <v>16000.0</v>
      </c>
      <c r="M1318" s="13"/>
      <c r="N1318" s="13">
        <f>L1318-M1318</f>
        <v>16000</v>
      </c>
      <c r="O1318" s="8" t="s">
        <v>40</v>
      </c>
      <c r="P1318" s="8" t="s">
        <v>71</v>
      </c>
      <c r="Q1318" s="8" t="s">
        <v>42</v>
      </c>
      <c r="R1318" s="6" t="s">
        <v>2145</v>
      </c>
      <c r="S1318" s="6" t="s">
        <v>42</v>
      </c>
    </row>
    <row r="1319" spans="1:19">
      <c r="A1319" s="9">
        <v>1312</v>
      </c>
      <c r="B1319" s="9" t="s">
        <v>1635</v>
      </c>
      <c r="C1319" s="9" t="s">
        <v>1625</v>
      </c>
      <c r="D1319" s="9" t="s">
        <v>652</v>
      </c>
      <c r="E1319" s="9" t="s">
        <v>33</v>
      </c>
      <c r="F1319" s="7" t="s">
        <v>39</v>
      </c>
      <c r="G1319" s="11">
        <v>1</v>
      </c>
      <c r="H1319" s="11">
        <v>1</v>
      </c>
      <c r="I1319" s="14">
        <v>18000.0</v>
      </c>
      <c r="J1319" s="14"/>
      <c r="K1319" s="16">
        <f>IF(I1319&gt;0, J1319/I1319, 0)</f>
        <v>0</v>
      </c>
      <c r="L1319" s="14">
        <v>18000.0</v>
      </c>
      <c r="M1319" s="14"/>
      <c r="N1319" s="14">
        <f>L1319-M1319</f>
        <v>18000</v>
      </c>
      <c r="O1319" s="9" t="s">
        <v>40</v>
      </c>
      <c r="P1319" s="9" t="s">
        <v>41</v>
      </c>
      <c r="Q1319" s="9" t="s">
        <v>42</v>
      </c>
      <c r="R1319" s="7" t="s">
        <v>2180</v>
      </c>
      <c r="S1319" s="7" t="s">
        <v>42</v>
      </c>
    </row>
    <row r="1320" spans="1:19">
      <c r="A1320" s="8">
        <v>1313</v>
      </c>
      <c r="B1320" s="8" t="s">
        <v>1636</v>
      </c>
      <c r="C1320" s="8" t="s">
        <v>1625</v>
      </c>
      <c r="D1320" s="8" t="s">
        <v>652</v>
      </c>
      <c r="E1320" s="8" t="s">
        <v>33</v>
      </c>
      <c r="F1320" s="6" t="s">
        <v>39</v>
      </c>
      <c r="G1320" s="10">
        <v>1</v>
      </c>
      <c r="H1320" s="10">
        <v>1</v>
      </c>
      <c r="I1320" s="13">
        <v>8000.0</v>
      </c>
      <c r="J1320" s="13"/>
      <c r="K1320" s="15">
        <f>IF(I1320&gt;0, J1320/I1320, 0)</f>
        <v>0</v>
      </c>
      <c r="L1320" s="13">
        <v>8000.0</v>
      </c>
      <c r="M1320" s="13"/>
      <c r="N1320" s="13">
        <f>L1320-M1320</f>
        <v>8000</v>
      </c>
      <c r="O1320" s="8" t="s">
        <v>40</v>
      </c>
      <c r="P1320" s="8" t="s">
        <v>41</v>
      </c>
      <c r="Q1320" s="8" t="s">
        <v>42</v>
      </c>
      <c r="R1320" s="6" t="s">
        <v>2084</v>
      </c>
      <c r="S1320" s="6" t="s">
        <v>42</v>
      </c>
    </row>
    <row r="1321" spans="1:19">
      <c r="A1321" s="9">
        <v>1314</v>
      </c>
      <c r="B1321" s="9" t="s">
        <v>1637</v>
      </c>
      <c r="C1321" s="9" t="s">
        <v>1625</v>
      </c>
      <c r="D1321" s="9" t="s">
        <v>652</v>
      </c>
      <c r="E1321" s="9" t="s">
        <v>33</v>
      </c>
      <c r="F1321" s="7" t="s">
        <v>39</v>
      </c>
      <c r="G1321" s="11">
        <v>1</v>
      </c>
      <c r="H1321" s="11">
        <v>1</v>
      </c>
      <c r="I1321" s="14">
        <v>9000.0</v>
      </c>
      <c r="J1321" s="14"/>
      <c r="K1321" s="16">
        <f>IF(I1321&gt;0, J1321/I1321, 0)</f>
        <v>0</v>
      </c>
      <c r="L1321" s="14">
        <v>9000.0</v>
      </c>
      <c r="M1321" s="14"/>
      <c r="N1321" s="14">
        <f>L1321-M1321</f>
        <v>9000</v>
      </c>
      <c r="O1321" s="9" t="s">
        <v>40</v>
      </c>
      <c r="P1321" s="9" t="s">
        <v>41</v>
      </c>
      <c r="Q1321" s="9" t="s">
        <v>42</v>
      </c>
      <c r="R1321" s="7" t="s">
        <v>2137</v>
      </c>
      <c r="S1321" s="7" t="s">
        <v>42</v>
      </c>
    </row>
    <row r="1322" spans="1:19">
      <c r="A1322" s="8">
        <v>1315</v>
      </c>
      <c r="B1322" s="8" t="s">
        <v>1638</v>
      </c>
      <c r="C1322" s="8" t="s">
        <v>1625</v>
      </c>
      <c r="D1322" s="8" t="s">
        <v>652</v>
      </c>
      <c r="E1322" s="8" t="s">
        <v>33</v>
      </c>
      <c r="F1322" s="6" t="s">
        <v>39</v>
      </c>
      <c r="G1322" s="10">
        <v>1</v>
      </c>
      <c r="H1322" s="10">
        <v>2</v>
      </c>
      <c r="I1322" s="13">
        <v>16000.0</v>
      </c>
      <c r="J1322" s="13"/>
      <c r="K1322" s="15">
        <f>IF(I1322&gt;0, J1322/I1322, 0)</f>
        <v>0</v>
      </c>
      <c r="L1322" s="13">
        <v>16000.0</v>
      </c>
      <c r="M1322" s="13"/>
      <c r="N1322" s="13">
        <f>L1322-M1322</f>
        <v>16000</v>
      </c>
      <c r="O1322" s="8" t="s">
        <v>40</v>
      </c>
      <c r="P1322" s="8" t="s">
        <v>41</v>
      </c>
      <c r="Q1322" s="8" t="s">
        <v>42</v>
      </c>
      <c r="R1322" s="6" t="s">
        <v>2097</v>
      </c>
      <c r="S1322" s="6" t="s">
        <v>42</v>
      </c>
    </row>
    <row r="1323" spans="1:19">
      <c r="A1323" s="9">
        <v>1316</v>
      </c>
      <c r="B1323" s="9" t="s">
        <v>1639</v>
      </c>
      <c r="C1323" s="9" t="s">
        <v>1625</v>
      </c>
      <c r="D1323" s="9" t="s">
        <v>652</v>
      </c>
      <c r="E1323" s="9" t="s">
        <v>33</v>
      </c>
      <c r="F1323" s="7" t="s">
        <v>39</v>
      </c>
      <c r="G1323" s="11">
        <v>1</v>
      </c>
      <c r="H1323" s="11">
        <v>2</v>
      </c>
      <c r="I1323" s="14">
        <v>14000.0</v>
      </c>
      <c r="J1323" s="14"/>
      <c r="K1323" s="16">
        <f>IF(I1323&gt;0, J1323/I1323, 0)</f>
        <v>0</v>
      </c>
      <c r="L1323" s="14">
        <v>14000.0</v>
      </c>
      <c r="M1323" s="14"/>
      <c r="N1323" s="14">
        <f>L1323-M1323</f>
        <v>14000</v>
      </c>
      <c r="O1323" s="9" t="s">
        <v>40</v>
      </c>
      <c r="P1323" s="9" t="s">
        <v>41</v>
      </c>
      <c r="Q1323" s="9" t="s">
        <v>42</v>
      </c>
      <c r="R1323" s="7" t="s">
        <v>2102</v>
      </c>
      <c r="S1323" s="7" t="s">
        <v>42</v>
      </c>
    </row>
    <row r="1324" spans="1:19">
      <c r="A1324" s="8">
        <v>1317</v>
      </c>
      <c r="B1324" s="8" t="s">
        <v>1640</v>
      </c>
      <c r="C1324" s="8" t="s">
        <v>1625</v>
      </c>
      <c r="D1324" s="8" t="s">
        <v>652</v>
      </c>
      <c r="E1324" s="8" t="s">
        <v>33</v>
      </c>
      <c r="F1324" s="6" t="s">
        <v>39</v>
      </c>
      <c r="G1324" s="10">
        <v>1</v>
      </c>
      <c r="H1324" s="10">
        <v>1</v>
      </c>
      <c r="I1324" s="13">
        <v>7500.0</v>
      </c>
      <c r="J1324" s="13"/>
      <c r="K1324" s="15">
        <f>IF(I1324&gt;0, J1324/I1324, 0)</f>
        <v>0</v>
      </c>
      <c r="L1324" s="13">
        <v>7500.0</v>
      </c>
      <c r="M1324" s="13"/>
      <c r="N1324" s="13">
        <f>L1324-M1324</f>
        <v>7500</v>
      </c>
      <c r="O1324" s="8" t="s">
        <v>40</v>
      </c>
      <c r="P1324" s="8" t="s">
        <v>41</v>
      </c>
      <c r="Q1324" s="8" t="s">
        <v>42</v>
      </c>
      <c r="R1324" s="6" t="s">
        <v>2077</v>
      </c>
      <c r="S1324" s="6" t="s">
        <v>42</v>
      </c>
    </row>
    <row r="1325" spans="1:19">
      <c r="A1325" s="9">
        <v>1318</v>
      </c>
      <c r="B1325" s="9" t="s">
        <v>1641</v>
      </c>
      <c r="C1325" s="9" t="s">
        <v>1625</v>
      </c>
      <c r="D1325" s="9" t="s">
        <v>652</v>
      </c>
      <c r="E1325" s="9" t="s">
        <v>33</v>
      </c>
      <c r="F1325" s="7" t="s">
        <v>39</v>
      </c>
      <c r="G1325" s="11">
        <v>1</v>
      </c>
      <c r="H1325" s="11">
        <v>1</v>
      </c>
      <c r="I1325" s="14">
        <v>7000.0</v>
      </c>
      <c r="J1325" s="14"/>
      <c r="K1325" s="16">
        <f>IF(I1325&gt;0, J1325/I1325, 0)</f>
        <v>0</v>
      </c>
      <c r="L1325" s="14">
        <v>7000.0</v>
      </c>
      <c r="M1325" s="14"/>
      <c r="N1325" s="14">
        <f>L1325-M1325</f>
        <v>7000</v>
      </c>
      <c r="O1325" s="9" t="s">
        <v>40</v>
      </c>
      <c r="P1325" s="9" t="s">
        <v>41</v>
      </c>
      <c r="Q1325" s="9" t="s">
        <v>42</v>
      </c>
      <c r="R1325" s="7" t="s">
        <v>2161</v>
      </c>
      <c r="S1325" s="7" t="s">
        <v>42</v>
      </c>
    </row>
    <row r="1326" spans="1:19">
      <c r="A1326" s="8">
        <v>1319</v>
      </c>
      <c r="B1326" s="8" t="s">
        <v>1642</v>
      </c>
      <c r="C1326" s="8" t="s">
        <v>1625</v>
      </c>
      <c r="D1326" s="8" t="s">
        <v>652</v>
      </c>
      <c r="E1326" s="8" t="s">
        <v>33</v>
      </c>
      <c r="F1326" s="6" t="s">
        <v>39</v>
      </c>
      <c r="G1326" s="10">
        <v>1</v>
      </c>
      <c r="H1326" s="10">
        <v>1</v>
      </c>
      <c r="I1326" s="13">
        <v>8500.0</v>
      </c>
      <c r="J1326" s="13"/>
      <c r="K1326" s="15">
        <f>IF(I1326&gt;0, J1326/I1326, 0)</f>
        <v>0</v>
      </c>
      <c r="L1326" s="13">
        <v>8500.0</v>
      </c>
      <c r="M1326" s="13"/>
      <c r="N1326" s="13">
        <f>L1326-M1326</f>
        <v>8500</v>
      </c>
      <c r="O1326" s="8" t="s">
        <v>40</v>
      </c>
      <c r="P1326" s="8" t="s">
        <v>41</v>
      </c>
      <c r="Q1326" s="8" t="s">
        <v>42</v>
      </c>
      <c r="R1326" s="6" t="s">
        <v>2213</v>
      </c>
      <c r="S1326" s="6" t="s">
        <v>42</v>
      </c>
    </row>
    <row r="1327" spans="1:19">
      <c r="A1327" s="9">
        <v>1320</v>
      </c>
      <c r="B1327" s="9" t="s">
        <v>1643</v>
      </c>
      <c r="C1327" s="9" t="s">
        <v>1625</v>
      </c>
      <c r="D1327" s="9" t="s">
        <v>652</v>
      </c>
      <c r="E1327" s="9" t="s">
        <v>33</v>
      </c>
      <c r="F1327" s="7" t="s">
        <v>39</v>
      </c>
      <c r="G1327" s="11">
        <v>1</v>
      </c>
      <c r="H1327" s="11">
        <v>1</v>
      </c>
      <c r="I1327" s="14">
        <v>7500.0</v>
      </c>
      <c r="J1327" s="14"/>
      <c r="K1327" s="16">
        <f>IF(I1327&gt;0, J1327/I1327, 0)</f>
        <v>0</v>
      </c>
      <c r="L1327" s="14">
        <v>7500.0</v>
      </c>
      <c r="M1327" s="14"/>
      <c r="N1327" s="14">
        <f>L1327-M1327</f>
        <v>7500</v>
      </c>
      <c r="O1327" s="9" t="s">
        <v>40</v>
      </c>
      <c r="P1327" s="9" t="s">
        <v>41</v>
      </c>
      <c r="Q1327" s="9" t="s">
        <v>42</v>
      </c>
      <c r="R1327" s="7" t="s">
        <v>2251</v>
      </c>
      <c r="S1327" s="7" t="s">
        <v>42</v>
      </c>
    </row>
    <row r="1328" spans="1:19">
      <c r="A1328" s="8">
        <v>1321</v>
      </c>
      <c r="B1328" s="8" t="s">
        <v>1644</v>
      </c>
      <c r="C1328" s="8" t="s">
        <v>1625</v>
      </c>
      <c r="D1328" s="8" t="s">
        <v>652</v>
      </c>
      <c r="E1328" s="8" t="s">
        <v>33</v>
      </c>
      <c r="F1328" s="6" t="s">
        <v>39</v>
      </c>
      <c r="G1328" s="10">
        <v>1</v>
      </c>
      <c r="H1328" s="10">
        <v>1</v>
      </c>
      <c r="I1328" s="13">
        <v>9500.0</v>
      </c>
      <c r="J1328" s="13"/>
      <c r="K1328" s="15">
        <f>IF(I1328&gt;0, J1328/I1328, 0)</f>
        <v>0</v>
      </c>
      <c r="L1328" s="13">
        <v>9500.0</v>
      </c>
      <c r="M1328" s="13"/>
      <c r="N1328" s="13">
        <f>L1328-M1328</f>
        <v>9500</v>
      </c>
      <c r="O1328" s="8" t="s">
        <v>40</v>
      </c>
      <c r="P1328" s="8" t="s">
        <v>41</v>
      </c>
      <c r="Q1328" s="8" t="s">
        <v>42</v>
      </c>
      <c r="R1328" s="6" t="s">
        <v>2114</v>
      </c>
      <c r="S1328" s="6" t="s">
        <v>42</v>
      </c>
    </row>
    <row r="1329" spans="1:19">
      <c r="A1329" s="9">
        <v>1322</v>
      </c>
      <c r="B1329" s="9" t="s">
        <v>1645</v>
      </c>
      <c r="C1329" s="9" t="s">
        <v>1625</v>
      </c>
      <c r="D1329" s="9" t="s">
        <v>652</v>
      </c>
      <c r="E1329" s="9" t="s">
        <v>33</v>
      </c>
      <c r="F1329" s="7" t="s">
        <v>39</v>
      </c>
      <c r="G1329" s="11">
        <v>1</v>
      </c>
      <c r="H1329" s="11">
        <v>2</v>
      </c>
      <c r="I1329" s="14">
        <v>18000.0</v>
      </c>
      <c r="J1329" s="14"/>
      <c r="K1329" s="16">
        <f>IF(I1329&gt;0, J1329/I1329, 0)</f>
        <v>0</v>
      </c>
      <c r="L1329" s="14">
        <v>18000.0</v>
      </c>
      <c r="M1329" s="14"/>
      <c r="N1329" s="14">
        <f>L1329-M1329</f>
        <v>18000</v>
      </c>
      <c r="O1329" s="9" t="s">
        <v>40</v>
      </c>
      <c r="P1329" s="9" t="s">
        <v>41</v>
      </c>
      <c r="Q1329" s="9" t="s">
        <v>42</v>
      </c>
      <c r="R1329" s="7" t="s">
        <v>2274</v>
      </c>
      <c r="S1329" s="7" t="s">
        <v>42</v>
      </c>
    </row>
    <row r="1330" spans="1:19">
      <c r="A1330" s="8">
        <v>1323</v>
      </c>
      <c r="B1330" s="8" t="s">
        <v>1646</v>
      </c>
      <c r="C1330" s="8" t="s">
        <v>1625</v>
      </c>
      <c r="D1330" s="8" t="s">
        <v>652</v>
      </c>
      <c r="E1330" s="8" t="s">
        <v>33</v>
      </c>
      <c r="F1330" s="6" t="s">
        <v>39</v>
      </c>
      <c r="G1330" s="10">
        <v>1</v>
      </c>
      <c r="H1330" s="10">
        <v>1</v>
      </c>
      <c r="I1330" s="13">
        <v>8000.0</v>
      </c>
      <c r="J1330" s="13"/>
      <c r="K1330" s="15">
        <f>IF(I1330&gt;0, J1330/I1330, 0)</f>
        <v>0</v>
      </c>
      <c r="L1330" s="13">
        <v>8000.0</v>
      </c>
      <c r="M1330" s="13"/>
      <c r="N1330" s="13">
        <f>L1330-M1330</f>
        <v>8000</v>
      </c>
      <c r="O1330" s="8" t="s">
        <v>40</v>
      </c>
      <c r="P1330" s="8" t="s">
        <v>41</v>
      </c>
      <c r="Q1330" s="8" t="s">
        <v>42</v>
      </c>
      <c r="R1330" s="6" t="s">
        <v>2239</v>
      </c>
      <c r="S1330" s="6" t="s">
        <v>42</v>
      </c>
    </row>
    <row r="1331" spans="1:19">
      <c r="A1331" s="9">
        <v>1324</v>
      </c>
      <c r="B1331" s="9" t="s">
        <v>1647</v>
      </c>
      <c r="C1331" s="9" t="s">
        <v>1625</v>
      </c>
      <c r="D1331" s="9" t="s">
        <v>652</v>
      </c>
      <c r="E1331" s="9" t="s">
        <v>33</v>
      </c>
      <c r="F1331" s="7" t="s">
        <v>39</v>
      </c>
      <c r="G1331" s="11">
        <v>1</v>
      </c>
      <c r="H1331" s="11">
        <v>1</v>
      </c>
      <c r="I1331" s="14">
        <v>8500.0</v>
      </c>
      <c r="J1331" s="14"/>
      <c r="K1331" s="16">
        <f>IF(I1331&gt;0, J1331/I1331, 0)</f>
        <v>0</v>
      </c>
      <c r="L1331" s="14">
        <v>8500.0</v>
      </c>
      <c r="M1331" s="14"/>
      <c r="N1331" s="14">
        <f>L1331-M1331</f>
        <v>8500</v>
      </c>
      <c r="O1331" s="9" t="s">
        <v>40</v>
      </c>
      <c r="P1331" s="9" t="s">
        <v>41</v>
      </c>
      <c r="Q1331" s="9" t="s">
        <v>42</v>
      </c>
      <c r="R1331" s="7" t="s">
        <v>2078</v>
      </c>
      <c r="S1331" s="7" t="s">
        <v>42</v>
      </c>
    </row>
    <row r="1332" spans="1:19">
      <c r="A1332" s="8">
        <v>1325</v>
      </c>
      <c r="B1332" s="8" t="s">
        <v>1648</v>
      </c>
      <c r="C1332" s="8" t="s">
        <v>1625</v>
      </c>
      <c r="D1332" s="8" t="s">
        <v>652</v>
      </c>
      <c r="E1332" s="8" t="s">
        <v>33</v>
      </c>
      <c r="F1332" s="6" t="s">
        <v>39</v>
      </c>
      <c r="G1332" s="10">
        <v>1</v>
      </c>
      <c r="H1332" s="10">
        <v>1</v>
      </c>
      <c r="I1332" s="13">
        <v>7000.0</v>
      </c>
      <c r="J1332" s="13"/>
      <c r="K1332" s="15">
        <f>IF(I1332&gt;0, J1332/I1332, 0)</f>
        <v>0</v>
      </c>
      <c r="L1332" s="13">
        <v>7000.0</v>
      </c>
      <c r="M1332" s="13"/>
      <c r="N1332" s="13">
        <f>L1332-M1332</f>
        <v>7000</v>
      </c>
      <c r="O1332" s="8" t="s">
        <v>40</v>
      </c>
      <c r="P1332" s="8" t="s">
        <v>41</v>
      </c>
      <c r="Q1332" s="8" t="s">
        <v>42</v>
      </c>
      <c r="R1332" s="6" t="s">
        <v>2077</v>
      </c>
      <c r="S1332" s="6" t="s">
        <v>42</v>
      </c>
    </row>
    <row r="1333" spans="1:19">
      <c r="A1333" s="9">
        <v>1326</v>
      </c>
      <c r="B1333" s="9" t="s">
        <v>1649</v>
      </c>
      <c r="C1333" s="9" t="s">
        <v>1625</v>
      </c>
      <c r="D1333" s="9" t="s">
        <v>652</v>
      </c>
      <c r="E1333" s="9" t="s">
        <v>33</v>
      </c>
      <c r="F1333" s="7" t="s">
        <v>39</v>
      </c>
      <c r="G1333" s="11">
        <v>1</v>
      </c>
      <c r="H1333" s="11">
        <v>2</v>
      </c>
      <c r="I1333" s="14">
        <v>19000.0</v>
      </c>
      <c r="J1333" s="14"/>
      <c r="K1333" s="16">
        <f>IF(I1333&gt;0, J1333/I1333, 0)</f>
        <v>0</v>
      </c>
      <c r="L1333" s="14">
        <v>19000.0</v>
      </c>
      <c r="M1333" s="14"/>
      <c r="N1333" s="14">
        <f>L1333-M1333</f>
        <v>19000</v>
      </c>
      <c r="O1333" s="9" t="s">
        <v>40</v>
      </c>
      <c r="P1333" s="9" t="s">
        <v>41</v>
      </c>
      <c r="Q1333" s="9" t="s">
        <v>42</v>
      </c>
      <c r="R1333" s="7" t="s">
        <v>2176</v>
      </c>
      <c r="S1333" s="7" t="s">
        <v>42</v>
      </c>
    </row>
    <row r="1334" spans="1:19">
      <c r="A1334" s="8">
        <v>1327</v>
      </c>
      <c r="B1334" s="8" t="s">
        <v>1650</v>
      </c>
      <c r="C1334" s="8" t="s">
        <v>1625</v>
      </c>
      <c r="D1334" s="8" t="s">
        <v>652</v>
      </c>
      <c r="E1334" s="8" t="s">
        <v>33</v>
      </c>
      <c r="F1334" s="6" t="s">
        <v>39</v>
      </c>
      <c r="G1334" s="10">
        <v>1</v>
      </c>
      <c r="H1334" s="10">
        <v>2</v>
      </c>
      <c r="I1334" s="13">
        <v>18000.0</v>
      </c>
      <c r="J1334" s="13"/>
      <c r="K1334" s="15">
        <f>IF(I1334&gt;0, J1334/I1334, 0)</f>
        <v>0</v>
      </c>
      <c r="L1334" s="13">
        <v>18000.0</v>
      </c>
      <c r="M1334" s="13"/>
      <c r="N1334" s="13">
        <f>L1334-M1334</f>
        <v>18000</v>
      </c>
      <c r="O1334" s="8" t="s">
        <v>40</v>
      </c>
      <c r="P1334" s="8" t="s">
        <v>41</v>
      </c>
      <c r="Q1334" s="8" t="s">
        <v>42</v>
      </c>
      <c r="R1334" s="6" t="s">
        <v>2221</v>
      </c>
      <c r="S1334" s="6" t="s">
        <v>42</v>
      </c>
    </row>
    <row r="1335" spans="1:19">
      <c r="A1335" s="9">
        <v>1328</v>
      </c>
      <c r="B1335" s="9" t="s">
        <v>1651</v>
      </c>
      <c r="C1335" s="9" t="s">
        <v>1625</v>
      </c>
      <c r="D1335" s="9" t="s">
        <v>652</v>
      </c>
      <c r="E1335" s="9" t="s">
        <v>68</v>
      </c>
      <c r="F1335" s="7" t="s">
        <v>39</v>
      </c>
      <c r="G1335" s="11">
        <v>1</v>
      </c>
      <c r="H1335" s="11">
        <v>1</v>
      </c>
      <c r="I1335" s="14">
        <v>10000.0</v>
      </c>
      <c r="J1335" s="14"/>
      <c r="K1335" s="16">
        <f>IF(I1335&gt;0, J1335/I1335, 0)</f>
        <v>0</v>
      </c>
      <c r="L1335" s="14">
        <v>10000.0</v>
      </c>
      <c r="M1335" s="14"/>
      <c r="N1335" s="14">
        <f>L1335-M1335</f>
        <v>10000</v>
      </c>
      <c r="O1335" s="9" t="s">
        <v>40</v>
      </c>
      <c r="P1335" s="9" t="s">
        <v>71</v>
      </c>
      <c r="Q1335" s="9" t="s">
        <v>42</v>
      </c>
      <c r="R1335" s="7" t="s">
        <v>2112</v>
      </c>
      <c r="S1335" s="7" t="s">
        <v>42</v>
      </c>
    </row>
    <row r="1336" spans="1:19">
      <c r="A1336" s="8">
        <v>1329</v>
      </c>
      <c r="B1336" s="8" t="s">
        <v>1653</v>
      </c>
      <c r="C1336" s="8" t="s">
        <v>1625</v>
      </c>
      <c r="D1336" s="8" t="s">
        <v>652</v>
      </c>
      <c r="E1336" s="8" t="s">
        <v>33</v>
      </c>
      <c r="F1336" s="6" t="s">
        <v>39</v>
      </c>
      <c r="G1336" s="10">
        <v>1</v>
      </c>
      <c r="H1336" s="10">
        <v>1</v>
      </c>
      <c r="I1336" s="13">
        <v>8000.0</v>
      </c>
      <c r="J1336" s="13"/>
      <c r="K1336" s="15">
        <f>IF(I1336&gt;0, J1336/I1336, 0)</f>
        <v>0</v>
      </c>
      <c r="L1336" s="13">
        <v>8000.0</v>
      </c>
      <c r="M1336" s="13"/>
      <c r="N1336" s="13">
        <f>L1336-M1336</f>
        <v>8000</v>
      </c>
      <c r="O1336" s="8" t="s">
        <v>40</v>
      </c>
      <c r="P1336" s="8" t="s">
        <v>41</v>
      </c>
      <c r="Q1336" s="8" t="s">
        <v>42</v>
      </c>
      <c r="R1336" s="6" t="s">
        <v>2074</v>
      </c>
      <c r="S1336" s="6" t="s">
        <v>42</v>
      </c>
    </row>
    <row r="1337" spans="1:19">
      <c r="A1337" s="9">
        <v>1330</v>
      </c>
      <c r="B1337" s="9" t="s">
        <v>1654</v>
      </c>
      <c r="C1337" s="9" t="s">
        <v>1625</v>
      </c>
      <c r="D1337" s="9" t="s">
        <v>652</v>
      </c>
      <c r="E1337" s="9" t="s">
        <v>33</v>
      </c>
      <c r="F1337" s="7" t="s">
        <v>39</v>
      </c>
      <c r="G1337" s="11">
        <v>1</v>
      </c>
      <c r="H1337" s="11">
        <v>1</v>
      </c>
      <c r="I1337" s="14">
        <v>7000.0</v>
      </c>
      <c r="J1337" s="14"/>
      <c r="K1337" s="16">
        <f>IF(I1337&gt;0, J1337/I1337, 0)</f>
        <v>0</v>
      </c>
      <c r="L1337" s="14">
        <v>7000.0</v>
      </c>
      <c r="M1337" s="14"/>
      <c r="N1337" s="14">
        <f>L1337-M1337</f>
        <v>7000</v>
      </c>
      <c r="O1337" s="9" t="s">
        <v>40</v>
      </c>
      <c r="P1337" s="9" t="s">
        <v>41</v>
      </c>
      <c r="Q1337" s="9" t="s">
        <v>42</v>
      </c>
      <c r="R1337" s="7" t="s">
        <v>2231</v>
      </c>
      <c r="S1337" s="7" t="s">
        <v>42</v>
      </c>
    </row>
    <row r="1338" spans="1:19">
      <c r="A1338" s="8">
        <v>1331</v>
      </c>
      <c r="B1338" s="8" t="s">
        <v>1655</v>
      </c>
      <c r="C1338" s="8" t="s">
        <v>1625</v>
      </c>
      <c r="D1338" s="8" t="s">
        <v>652</v>
      </c>
      <c r="E1338" s="8" t="s">
        <v>33</v>
      </c>
      <c r="F1338" s="6" t="s">
        <v>39</v>
      </c>
      <c r="G1338" s="10">
        <v>1</v>
      </c>
      <c r="H1338" s="10">
        <v>1</v>
      </c>
      <c r="I1338" s="13">
        <v>8000.0</v>
      </c>
      <c r="J1338" s="13"/>
      <c r="K1338" s="15">
        <f>IF(I1338&gt;0, J1338/I1338, 0)</f>
        <v>0</v>
      </c>
      <c r="L1338" s="13">
        <v>8000.0</v>
      </c>
      <c r="M1338" s="13"/>
      <c r="N1338" s="13">
        <f>L1338-M1338</f>
        <v>8000</v>
      </c>
      <c r="O1338" s="8" t="s">
        <v>40</v>
      </c>
      <c r="P1338" s="8" t="s">
        <v>41</v>
      </c>
      <c r="Q1338" s="8" t="s">
        <v>42</v>
      </c>
      <c r="R1338" s="6" t="s">
        <v>2167</v>
      </c>
      <c r="S1338" s="6" t="s">
        <v>42</v>
      </c>
    </row>
    <row r="1339" spans="1:19">
      <c r="A1339" s="9">
        <v>1332</v>
      </c>
      <c r="B1339" s="9" t="s">
        <v>1656</v>
      </c>
      <c r="C1339" s="9" t="s">
        <v>1625</v>
      </c>
      <c r="D1339" s="9" t="s">
        <v>652</v>
      </c>
      <c r="E1339" s="9" t="s">
        <v>33</v>
      </c>
      <c r="F1339" s="7" t="s">
        <v>39</v>
      </c>
      <c r="G1339" s="11">
        <v>1</v>
      </c>
      <c r="H1339" s="11">
        <v>2</v>
      </c>
      <c r="I1339" s="14">
        <v>16000.0</v>
      </c>
      <c r="J1339" s="14"/>
      <c r="K1339" s="16">
        <f>IF(I1339&gt;0, J1339/I1339, 0)</f>
        <v>0</v>
      </c>
      <c r="L1339" s="14">
        <v>16000.0</v>
      </c>
      <c r="M1339" s="14"/>
      <c r="N1339" s="14">
        <f>L1339-M1339</f>
        <v>16000</v>
      </c>
      <c r="O1339" s="9" t="s">
        <v>40</v>
      </c>
      <c r="P1339" s="9" t="s">
        <v>41</v>
      </c>
      <c r="Q1339" s="9" t="s">
        <v>42</v>
      </c>
      <c r="R1339" s="7" t="s">
        <v>2139</v>
      </c>
      <c r="S1339" s="7" t="s">
        <v>42</v>
      </c>
    </row>
    <row r="1340" spans="1:19">
      <c r="A1340" s="8">
        <v>1333</v>
      </c>
      <c r="B1340" s="8" t="s">
        <v>1658</v>
      </c>
      <c r="C1340" s="8" t="s">
        <v>1625</v>
      </c>
      <c r="D1340" s="8" t="s">
        <v>652</v>
      </c>
      <c r="E1340" s="8" t="s">
        <v>33</v>
      </c>
      <c r="F1340" s="6" t="s">
        <v>39</v>
      </c>
      <c r="G1340" s="10">
        <v>1</v>
      </c>
      <c r="H1340" s="10">
        <v>2</v>
      </c>
      <c r="I1340" s="13">
        <v>14000.0</v>
      </c>
      <c r="J1340" s="13"/>
      <c r="K1340" s="15">
        <f>IF(I1340&gt;0, J1340/I1340, 0)</f>
        <v>0</v>
      </c>
      <c r="L1340" s="13">
        <v>14000.0</v>
      </c>
      <c r="M1340" s="13"/>
      <c r="N1340" s="13">
        <f>L1340-M1340</f>
        <v>14000</v>
      </c>
      <c r="O1340" s="8" t="s">
        <v>40</v>
      </c>
      <c r="P1340" s="8" t="s">
        <v>41</v>
      </c>
      <c r="Q1340" s="8" t="s">
        <v>42</v>
      </c>
      <c r="R1340" s="6" t="s">
        <v>2117</v>
      </c>
      <c r="S1340" s="6" t="s">
        <v>42</v>
      </c>
    </row>
    <row r="1341" spans="1:19">
      <c r="A1341" s="9">
        <v>1334</v>
      </c>
      <c r="B1341" s="9" t="s">
        <v>1659</v>
      </c>
      <c r="C1341" s="9" t="s">
        <v>1625</v>
      </c>
      <c r="D1341" s="9" t="s">
        <v>652</v>
      </c>
      <c r="E1341" s="9" t="s">
        <v>68</v>
      </c>
      <c r="F1341" s="7" t="s">
        <v>39</v>
      </c>
      <c r="G1341" s="11">
        <v>1</v>
      </c>
      <c r="H1341" s="11">
        <v>2</v>
      </c>
      <c r="I1341" s="14">
        <v>36000.0</v>
      </c>
      <c r="J1341" s="14"/>
      <c r="K1341" s="16">
        <f>IF(I1341&gt;0, J1341/I1341, 0)</f>
        <v>0</v>
      </c>
      <c r="L1341" s="14">
        <v>36000.0</v>
      </c>
      <c r="M1341" s="14"/>
      <c r="N1341" s="14">
        <f>L1341-M1341</f>
        <v>36000</v>
      </c>
      <c r="O1341" s="9" t="s">
        <v>40</v>
      </c>
      <c r="P1341" s="9" t="s">
        <v>71</v>
      </c>
      <c r="Q1341" s="9" t="s">
        <v>42</v>
      </c>
      <c r="R1341" s="7" t="s">
        <v>2233</v>
      </c>
      <c r="S1341" s="7" t="s">
        <v>42</v>
      </c>
    </row>
    <row r="1342" spans="1:19">
      <c r="A1342" s="8">
        <v>1335</v>
      </c>
      <c r="B1342" s="8" t="s">
        <v>1660</v>
      </c>
      <c r="C1342" s="8" t="s">
        <v>1625</v>
      </c>
      <c r="D1342" s="8" t="s">
        <v>652</v>
      </c>
      <c r="E1342" s="8" t="s">
        <v>68</v>
      </c>
      <c r="F1342" s="6" t="s">
        <v>39</v>
      </c>
      <c r="G1342" s="10">
        <v>1</v>
      </c>
      <c r="H1342" s="10">
        <v>1</v>
      </c>
      <c r="I1342" s="13">
        <v>9000.0</v>
      </c>
      <c r="J1342" s="13"/>
      <c r="K1342" s="15">
        <f>IF(I1342&gt;0, J1342/I1342, 0)</f>
        <v>0</v>
      </c>
      <c r="L1342" s="13">
        <v>9000.0</v>
      </c>
      <c r="M1342" s="13"/>
      <c r="N1342" s="13">
        <f>L1342-M1342</f>
        <v>9000</v>
      </c>
      <c r="O1342" s="8" t="s">
        <v>40</v>
      </c>
      <c r="P1342" s="8" t="s">
        <v>71</v>
      </c>
      <c r="Q1342" s="8" t="s">
        <v>42</v>
      </c>
      <c r="R1342" s="6" t="s">
        <v>2154</v>
      </c>
      <c r="S1342" s="6" t="s">
        <v>42</v>
      </c>
    </row>
    <row r="1343" spans="1:19">
      <c r="A1343" s="9">
        <v>1336</v>
      </c>
      <c r="B1343" s="9" t="s">
        <v>1661</v>
      </c>
      <c r="C1343" s="9" t="s">
        <v>1625</v>
      </c>
      <c r="D1343" s="9" t="s">
        <v>652</v>
      </c>
      <c r="E1343" s="9" t="s">
        <v>33</v>
      </c>
      <c r="F1343" s="7" t="s">
        <v>39</v>
      </c>
      <c r="G1343" s="11">
        <v>1</v>
      </c>
      <c r="H1343" s="11">
        <v>2</v>
      </c>
      <c r="I1343" s="14">
        <v>34000.0</v>
      </c>
      <c r="J1343" s="14"/>
      <c r="K1343" s="16">
        <f>IF(I1343&gt;0, J1343/I1343, 0)</f>
        <v>0</v>
      </c>
      <c r="L1343" s="14">
        <v>34000.0</v>
      </c>
      <c r="M1343" s="14"/>
      <c r="N1343" s="14">
        <f>L1343-M1343</f>
        <v>34000</v>
      </c>
      <c r="O1343" s="9" t="s">
        <v>40</v>
      </c>
      <c r="P1343" s="9" t="s">
        <v>41</v>
      </c>
      <c r="Q1343" s="9" t="s">
        <v>42</v>
      </c>
      <c r="R1343" s="7" t="s">
        <v>2123</v>
      </c>
      <c r="S1343" s="7" t="s">
        <v>42</v>
      </c>
    </row>
    <row r="1344" spans="1:19">
      <c r="A1344" s="8">
        <v>1337</v>
      </c>
      <c r="B1344" s="8" t="s">
        <v>1662</v>
      </c>
      <c r="C1344" s="8" t="s">
        <v>1625</v>
      </c>
      <c r="D1344" s="8" t="s">
        <v>652</v>
      </c>
      <c r="E1344" s="8" t="s">
        <v>33</v>
      </c>
      <c r="F1344" s="6" t="s">
        <v>39</v>
      </c>
      <c r="G1344" s="10">
        <v>1</v>
      </c>
      <c r="H1344" s="10">
        <v>2</v>
      </c>
      <c r="I1344" s="13">
        <v>32000.0</v>
      </c>
      <c r="J1344" s="13"/>
      <c r="K1344" s="15">
        <f>IF(I1344&gt;0, J1344/I1344, 0)</f>
        <v>0</v>
      </c>
      <c r="L1344" s="13">
        <v>32000.0</v>
      </c>
      <c r="M1344" s="13"/>
      <c r="N1344" s="13">
        <f>L1344-M1344</f>
        <v>32000</v>
      </c>
      <c r="O1344" s="8" t="s">
        <v>40</v>
      </c>
      <c r="P1344" s="8" t="s">
        <v>41</v>
      </c>
      <c r="Q1344" s="8" t="s">
        <v>42</v>
      </c>
      <c r="R1344" s="6" t="s">
        <v>2168</v>
      </c>
      <c r="S1344" s="6" t="s">
        <v>42</v>
      </c>
    </row>
    <row r="1345" spans="1:19">
      <c r="A1345" s="9">
        <v>1338</v>
      </c>
      <c r="B1345" s="9" t="s">
        <v>1663</v>
      </c>
      <c r="C1345" s="9" t="s">
        <v>1625</v>
      </c>
      <c r="D1345" s="9" t="s">
        <v>652</v>
      </c>
      <c r="E1345" s="9" t="s">
        <v>68</v>
      </c>
      <c r="F1345" s="7" t="s">
        <v>39</v>
      </c>
      <c r="G1345" s="11">
        <v>1</v>
      </c>
      <c r="H1345" s="11">
        <v>1</v>
      </c>
      <c r="I1345" s="14">
        <v>10000.0</v>
      </c>
      <c r="J1345" s="14"/>
      <c r="K1345" s="16">
        <f>IF(I1345&gt;0, J1345/I1345, 0)</f>
        <v>0</v>
      </c>
      <c r="L1345" s="14">
        <v>10000.0</v>
      </c>
      <c r="M1345" s="14"/>
      <c r="N1345" s="14">
        <f>L1345-M1345</f>
        <v>10000</v>
      </c>
      <c r="O1345" s="9" t="s">
        <v>40</v>
      </c>
      <c r="P1345" s="9" t="s">
        <v>71</v>
      </c>
      <c r="Q1345" s="9" t="s">
        <v>42</v>
      </c>
      <c r="R1345" s="7" t="s">
        <v>2275</v>
      </c>
      <c r="S1345" s="7" t="s">
        <v>42</v>
      </c>
    </row>
    <row r="1346" spans="1:19">
      <c r="A1346" s="8">
        <v>1339</v>
      </c>
      <c r="B1346" s="8" t="s">
        <v>1665</v>
      </c>
      <c r="C1346" s="8" t="s">
        <v>1625</v>
      </c>
      <c r="D1346" s="8" t="s">
        <v>652</v>
      </c>
      <c r="E1346" s="8" t="s">
        <v>33</v>
      </c>
      <c r="F1346" s="6" t="s">
        <v>39</v>
      </c>
      <c r="G1346" s="10">
        <v>1</v>
      </c>
      <c r="H1346" s="10">
        <v>2</v>
      </c>
      <c r="I1346" s="13">
        <v>34000.0</v>
      </c>
      <c r="J1346" s="13"/>
      <c r="K1346" s="15">
        <f>IF(I1346&gt;0, J1346/I1346, 0)</f>
        <v>0</v>
      </c>
      <c r="L1346" s="13">
        <v>34000.0</v>
      </c>
      <c r="M1346" s="13"/>
      <c r="N1346" s="13">
        <f>L1346-M1346</f>
        <v>34000</v>
      </c>
      <c r="O1346" s="8" t="s">
        <v>40</v>
      </c>
      <c r="P1346" s="8" t="s">
        <v>41</v>
      </c>
      <c r="Q1346" s="8" t="s">
        <v>42</v>
      </c>
      <c r="R1346" s="6" t="s">
        <v>2229</v>
      </c>
      <c r="S1346" s="6" t="s">
        <v>42</v>
      </c>
    </row>
    <row r="1347" spans="1:19">
      <c r="A1347" s="9">
        <v>1340</v>
      </c>
      <c r="B1347" s="9" t="s">
        <v>1666</v>
      </c>
      <c r="C1347" s="9" t="s">
        <v>1625</v>
      </c>
      <c r="D1347" s="9" t="s">
        <v>652</v>
      </c>
      <c r="E1347" s="9" t="s">
        <v>68</v>
      </c>
      <c r="F1347" s="7" t="s">
        <v>39</v>
      </c>
      <c r="G1347" s="11">
        <v>1</v>
      </c>
      <c r="H1347" s="11">
        <v>1</v>
      </c>
      <c r="I1347" s="14">
        <v>8000.0</v>
      </c>
      <c r="J1347" s="14"/>
      <c r="K1347" s="16">
        <f>IF(I1347&gt;0, J1347/I1347, 0)</f>
        <v>0</v>
      </c>
      <c r="L1347" s="14">
        <v>8000.0</v>
      </c>
      <c r="M1347" s="14"/>
      <c r="N1347" s="14">
        <f>L1347-M1347</f>
        <v>8000</v>
      </c>
      <c r="O1347" s="9" t="s">
        <v>40</v>
      </c>
      <c r="P1347" s="9" t="s">
        <v>71</v>
      </c>
      <c r="Q1347" s="9" t="s">
        <v>42</v>
      </c>
      <c r="R1347" s="7" t="s">
        <v>2216</v>
      </c>
      <c r="S1347" s="7" t="s">
        <v>42</v>
      </c>
    </row>
    <row r="1348" spans="1:19">
      <c r="A1348" s="8">
        <v>1341</v>
      </c>
      <c r="B1348" s="8" t="s">
        <v>1667</v>
      </c>
      <c r="C1348" s="8" t="s">
        <v>1625</v>
      </c>
      <c r="D1348" s="8" t="s">
        <v>652</v>
      </c>
      <c r="E1348" s="8" t="s">
        <v>68</v>
      </c>
      <c r="F1348" s="6" t="s">
        <v>39</v>
      </c>
      <c r="G1348" s="10">
        <v>1</v>
      </c>
      <c r="H1348" s="10">
        <v>2</v>
      </c>
      <c r="I1348" s="13">
        <v>20000.0</v>
      </c>
      <c r="J1348" s="13"/>
      <c r="K1348" s="15">
        <f>IF(I1348&gt;0, J1348/I1348, 0)</f>
        <v>0</v>
      </c>
      <c r="L1348" s="13">
        <v>20000.0</v>
      </c>
      <c r="M1348" s="13"/>
      <c r="N1348" s="13">
        <f>L1348-M1348</f>
        <v>20000</v>
      </c>
      <c r="O1348" s="8" t="s">
        <v>40</v>
      </c>
      <c r="P1348" s="8" t="s">
        <v>71</v>
      </c>
      <c r="Q1348" s="8" t="s">
        <v>42</v>
      </c>
      <c r="R1348" s="6" t="s">
        <v>2228</v>
      </c>
      <c r="S1348" s="6" t="s">
        <v>42</v>
      </c>
    </row>
    <row r="1349" spans="1:19">
      <c r="A1349" s="9">
        <v>1342</v>
      </c>
      <c r="B1349" s="9" t="s">
        <v>1668</v>
      </c>
      <c r="C1349" s="9" t="s">
        <v>1625</v>
      </c>
      <c r="D1349" s="9" t="s">
        <v>652</v>
      </c>
      <c r="E1349" s="9" t="s">
        <v>33</v>
      </c>
      <c r="F1349" s="7" t="s">
        <v>39</v>
      </c>
      <c r="G1349" s="11">
        <v>1</v>
      </c>
      <c r="H1349" s="11">
        <v>1</v>
      </c>
      <c r="I1349" s="14">
        <v>8000.0</v>
      </c>
      <c r="J1349" s="14"/>
      <c r="K1349" s="16">
        <f>IF(I1349&gt;0, J1349/I1349, 0)</f>
        <v>0</v>
      </c>
      <c r="L1349" s="14">
        <v>8000.0</v>
      </c>
      <c r="M1349" s="14"/>
      <c r="N1349" s="14">
        <f>L1349-M1349</f>
        <v>8000</v>
      </c>
      <c r="O1349" s="9" t="s">
        <v>40</v>
      </c>
      <c r="P1349" s="9" t="s">
        <v>41</v>
      </c>
      <c r="Q1349" s="9" t="s">
        <v>42</v>
      </c>
      <c r="R1349" s="7" t="s">
        <v>2141</v>
      </c>
      <c r="S1349" s="7" t="s">
        <v>42</v>
      </c>
    </row>
    <row r="1350" spans="1:19">
      <c r="A1350" s="8">
        <v>1343</v>
      </c>
      <c r="B1350" s="8" t="s">
        <v>1669</v>
      </c>
      <c r="C1350" s="8" t="s">
        <v>1625</v>
      </c>
      <c r="D1350" s="8" t="s">
        <v>652</v>
      </c>
      <c r="E1350" s="8" t="s">
        <v>33</v>
      </c>
      <c r="F1350" s="6" t="s">
        <v>39</v>
      </c>
      <c r="G1350" s="10">
        <v>1</v>
      </c>
      <c r="H1350" s="10">
        <v>2</v>
      </c>
      <c r="I1350" s="13">
        <v>14000.0</v>
      </c>
      <c r="J1350" s="13"/>
      <c r="K1350" s="15">
        <f>IF(I1350&gt;0, J1350/I1350, 0)</f>
        <v>0</v>
      </c>
      <c r="L1350" s="13">
        <v>14000.0</v>
      </c>
      <c r="M1350" s="13"/>
      <c r="N1350" s="13">
        <f>L1350-M1350</f>
        <v>14000</v>
      </c>
      <c r="O1350" s="8" t="s">
        <v>40</v>
      </c>
      <c r="P1350" s="8" t="s">
        <v>41</v>
      </c>
      <c r="Q1350" s="8" t="s">
        <v>42</v>
      </c>
      <c r="R1350" s="6" t="s">
        <v>2198</v>
      </c>
      <c r="S1350" s="6" t="s">
        <v>42</v>
      </c>
    </row>
    <row r="1351" spans="1:19">
      <c r="A1351" s="9">
        <v>1344</v>
      </c>
      <c r="B1351" s="9" t="s">
        <v>1670</v>
      </c>
      <c r="C1351" s="9" t="s">
        <v>1625</v>
      </c>
      <c r="D1351" s="9" t="s">
        <v>652</v>
      </c>
      <c r="E1351" s="9" t="s">
        <v>68</v>
      </c>
      <c r="F1351" s="7" t="s">
        <v>39</v>
      </c>
      <c r="G1351" s="11">
        <v>1</v>
      </c>
      <c r="H1351" s="11">
        <v>1</v>
      </c>
      <c r="I1351" s="14">
        <v>18000.0</v>
      </c>
      <c r="J1351" s="14"/>
      <c r="K1351" s="16">
        <f>IF(I1351&gt;0, J1351/I1351, 0)</f>
        <v>0</v>
      </c>
      <c r="L1351" s="14">
        <v>18000.0</v>
      </c>
      <c r="M1351" s="14"/>
      <c r="N1351" s="14">
        <f>L1351-M1351</f>
        <v>18000</v>
      </c>
      <c r="O1351" s="9" t="s">
        <v>40</v>
      </c>
      <c r="P1351" s="9" t="s">
        <v>71</v>
      </c>
      <c r="Q1351" s="9" t="s">
        <v>42</v>
      </c>
      <c r="R1351" s="7" t="s">
        <v>2080</v>
      </c>
      <c r="S1351" s="7" t="s">
        <v>42</v>
      </c>
    </row>
    <row r="1352" spans="1:19">
      <c r="A1352" s="8">
        <v>1345</v>
      </c>
      <c r="B1352" s="8" t="s">
        <v>1671</v>
      </c>
      <c r="C1352" s="8" t="s">
        <v>1625</v>
      </c>
      <c r="D1352" s="8" t="s">
        <v>652</v>
      </c>
      <c r="E1352" s="8" t="s">
        <v>33</v>
      </c>
      <c r="F1352" s="6" t="s">
        <v>39</v>
      </c>
      <c r="G1352" s="10">
        <v>1</v>
      </c>
      <c r="H1352" s="10">
        <v>2</v>
      </c>
      <c r="I1352" s="13">
        <v>19000.0</v>
      </c>
      <c r="J1352" s="13"/>
      <c r="K1352" s="15">
        <f>IF(I1352&gt;0, J1352/I1352, 0)</f>
        <v>0</v>
      </c>
      <c r="L1352" s="13">
        <v>19000.0</v>
      </c>
      <c r="M1352" s="13"/>
      <c r="N1352" s="13">
        <f>L1352-M1352</f>
        <v>19000</v>
      </c>
      <c r="O1352" s="8" t="s">
        <v>40</v>
      </c>
      <c r="P1352" s="8" t="s">
        <v>41</v>
      </c>
      <c r="Q1352" s="8" t="s">
        <v>42</v>
      </c>
      <c r="R1352" s="6" t="s">
        <v>2176</v>
      </c>
      <c r="S1352" s="6" t="s">
        <v>42</v>
      </c>
    </row>
    <row r="1353" spans="1:19">
      <c r="A1353" s="9">
        <v>1346</v>
      </c>
      <c r="B1353" s="9" t="s">
        <v>1672</v>
      </c>
      <c r="C1353" s="9" t="s">
        <v>1625</v>
      </c>
      <c r="D1353" s="9" t="s">
        <v>652</v>
      </c>
      <c r="E1353" s="9" t="s">
        <v>33</v>
      </c>
      <c r="F1353" s="7" t="s">
        <v>39</v>
      </c>
      <c r="G1353" s="11">
        <v>1</v>
      </c>
      <c r="H1353" s="11">
        <v>1</v>
      </c>
      <c r="I1353" s="14">
        <v>8500.0</v>
      </c>
      <c r="J1353" s="14"/>
      <c r="K1353" s="16">
        <f>IF(I1353&gt;0, J1353/I1353, 0)</f>
        <v>0</v>
      </c>
      <c r="L1353" s="14">
        <v>8500.0</v>
      </c>
      <c r="M1353" s="14"/>
      <c r="N1353" s="14">
        <f>L1353-M1353</f>
        <v>8500</v>
      </c>
      <c r="O1353" s="9" t="s">
        <v>40</v>
      </c>
      <c r="P1353" s="9" t="s">
        <v>41</v>
      </c>
      <c r="Q1353" s="9" t="s">
        <v>42</v>
      </c>
      <c r="R1353" s="7" t="s">
        <v>2169</v>
      </c>
      <c r="S1353" s="7" t="s">
        <v>42</v>
      </c>
    </row>
    <row r="1354" spans="1:19">
      <c r="A1354" s="8">
        <v>1347</v>
      </c>
      <c r="B1354" s="8" t="s">
        <v>1673</v>
      </c>
      <c r="C1354" s="8" t="s">
        <v>1625</v>
      </c>
      <c r="D1354" s="8" t="s">
        <v>652</v>
      </c>
      <c r="E1354" s="8" t="s">
        <v>33</v>
      </c>
      <c r="F1354" s="6" t="s">
        <v>39</v>
      </c>
      <c r="G1354" s="10">
        <v>1</v>
      </c>
      <c r="H1354" s="10">
        <v>1</v>
      </c>
      <c r="I1354" s="13">
        <v>7500.0</v>
      </c>
      <c r="J1354" s="13"/>
      <c r="K1354" s="15">
        <f>IF(I1354&gt;0, J1354/I1354, 0)</f>
        <v>0</v>
      </c>
      <c r="L1354" s="13">
        <v>7500.0</v>
      </c>
      <c r="M1354" s="13"/>
      <c r="N1354" s="13">
        <f>L1354-M1354</f>
        <v>7500</v>
      </c>
      <c r="O1354" s="8" t="s">
        <v>40</v>
      </c>
      <c r="P1354" s="8" t="s">
        <v>41</v>
      </c>
      <c r="Q1354" s="8" t="s">
        <v>42</v>
      </c>
      <c r="R1354" s="6" t="s">
        <v>2078</v>
      </c>
      <c r="S1354" s="6" t="s">
        <v>42</v>
      </c>
    </row>
    <row r="1355" spans="1:19">
      <c r="A1355" s="9">
        <v>1348</v>
      </c>
      <c r="B1355" s="9" t="s">
        <v>1674</v>
      </c>
      <c r="C1355" s="9" t="s">
        <v>1625</v>
      </c>
      <c r="D1355" s="9" t="s">
        <v>652</v>
      </c>
      <c r="E1355" s="9" t="s">
        <v>33</v>
      </c>
      <c r="F1355" s="7" t="s">
        <v>39</v>
      </c>
      <c r="G1355" s="11">
        <v>1</v>
      </c>
      <c r="H1355" s="11">
        <v>1</v>
      </c>
      <c r="I1355" s="14">
        <v>7500.0</v>
      </c>
      <c r="J1355" s="14"/>
      <c r="K1355" s="16">
        <f>IF(I1355&gt;0, J1355/I1355, 0)</f>
        <v>0</v>
      </c>
      <c r="L1355" s="14">
        <v>7500.0</v>
      </c>
      <c r="M1355" s="14"/>
      <c r="N1355" s="14">
        <f>L1355-M1355</f>
        <v>7500</v>
      </c>
      <c r="O1355" s="9" t="s">
        <v>40</v>
      </c>
      <c r="P1355" s="9" t="s">
        <v>41</v>
      </c>
      <c r="Q1355" s="9" t="s">
        <v>42</v>
      </c>
      <c r="R1355" s="7" t="s">
        <v>2077</v>
      </c>
      <c r="S1355" s="7" t="s">
        <v>42</v>
      </c>
    </row>
    <row r="1356" spans="1:19">
      <c r="A1356" s="8">
        <v>1349</v>
      </c>
      <c r="B1356" s="8" t="s">
        <v>1675</v>
      </c>
      <c r="C1356" s="8" t="s">
        <v>1625</v>
      </c>
      <c r="D1356" s="8" t="s">
        <v>652</v>
      </c>
      <c r="E1356" s="8" t="s">
        <v>33</v>
      </c>
      <c r="F1356" s="6" t="s">
        <v>39</v>
      </c>
      <c r="G1356" s="10">
        <v>1</v>
      </c>
      <c r="H1356" s="10">
        <v>1</v>
      </c>
      <c r="I1356" s="13">
        <v>9000.0</v>
      </c>
      <c r="J1356" s="13"/>
      <c r="K1356" s="15">
        <f>IF(I1356&gt;0, J1356/I1356, 0)</f>
        <v>0</v>
      </c>
      <c r="L1356" s="13">
        <v>9000.0</v>
      </c>
      <c r="M1356" s="13"/>
      <c r="N1356" s="13">
        <f>L1356-M1356</f>
        <v>9000</v>
      </c>
      <c r="O1356" s="8" t="s">
        <v>40</v>
      </c>
      <c r="P1356" s="8" t="s">
        <v>41</v>
      </c>
      <c r="Q1356" s="8" t="s">
        <v>42</v>
      </c>
      <c r="R1356" s="6" t="s">
        <v>2081</v>
      </c>
      <c r="S1356" s="6" t="s">
        <v>42</v>
      </c>
    </row>
    <row r="1357" spans="1:19">
      <c r="A1357" s="9">
        <v>1350</v>
      </c>
      <c r="B1357" s="9" t="s">
        <v>1676</v>
      </c>
      <c r="C1357" s="9" t="s">
        <v>1625</v>
      </c>
      <c r="D1357" s="9" t="s">
        <v>652</v>
      </c>
      <c r="E1357" s="9" t="s">
        <v>33</v>
      </c>
      <c r="F1357" s="7" t="s">
        <v>39</v>
      </c>
      <c r="G1357" s="11">
        <v>1</v>
      </c>
      <c r="H1357" s="11">
        <v>2</v>
      </c>
      <c r="I1357" s="14">
        <v>16000.0</v>
      </c>
      <c r="J1357" s="14"/>
      <c r="K1357" s="16">
        <f>IF(I1357&gt;0, J1357/I1357, 0)</f>
        <v>0</v>
      </c>
      <c r="L1357" s="14">
        <v>16000.0</v>
      </c>
      <c r="M1357" s="14"/>
      <c r="N1357" s="14">
        <f>L1357-M1357</f>
        <v>16000</v>
      </c>
      <c r="O1357" s="9" t="s">
        <v>40</v>
      </c>
      <c r="P1357" s="9" t="s">
        <v>41</v>
      </c>
      <c r="Q1357" s="9" t="s">
        <v>42</v>
      </c>
      <c r="R1357" s="7" t="s">
        <v>2145</v>
      </c>
      <c r="S1357" s="7" t="s">
        <v>42</v>
      </c>
    </row>
    <row r="1358" spans="1:19">
      <c r="A1358" s="8">
        <v>1351</v>
      </c>
      <c r="B1358" s="8" t="s">
        <v>1677</v>
      </c>
      <c r="C1358" s="8" t="s">
        <v>1678</v>
      </c>
      <c r="D1358" s="8" t="s">
        <v>652</v>
      </c>
      <c r="E1358" s="8" t="s">
        <v>33</v>
      </c>
      <c r="F1358" s="6" t="s">
        <v>39</v>
      </c>
      <c r="G1358" s="10">
        <v>1</v>
      </c>
      <c r="H1358" s="10">
        <v>1</v>
      </c>
      <c r="I1358" s="13">
        <v>9000.0</v>
      </c>
      <c r="J1358" s="13"/>
      <c r="K1358" s="15">
        <f>IF(I1358&gt;0, J1358/I1358, 0)</f>
        <v>0</v>
      </c>
      <c r="L1358" s="13">
        <v>9000.0</v>
      </c>
      <c r="M1358" s="13"/>
      <c r="N1358" s="13">
        <f>L1358-M1358</f>
        <v>9000</v>
      </c>
      <c r="O1358" s="8" t="s">
        <v>40</v>
      </c>
      <c r="P1358" s="8" t="s">
        <v>41</v>
      </c>
      <c r="Q1358" s="8" t="s">
        <v>42</v>
      </c>
      <c r="R1358" s="6" t="s">
        <v>2081</v>
      </c>
      <c r="S1358" s="6" t="s">
        <v>42</v>
      </c>
    </row>
    <row r="1359" spans="1:19">
      <c r="A1359" s="9">
        <v>1352</v>
      </c>
      <c r="B1359" s="9" t="s">
        <v>1679</v>
      </c>
      <c r="C1359" s="9" t="s">
        <v>1678</v>
      </c>
      <c r="D1359" s="9" t="s">
        <v>652</v>
      </c>
      <c r="E1359" s="9" t="s">
        <v>33</v>
      </c>
      <c r="F1359" s="7" t="s">
        <v>39</v>
      </c>
      <c r="G1359" s="11">
        <v>1</v>
      </c>
      <c r="H1359" s="11">
        <v>1</v>
      </c>
      <c r="I1359" s="14">
        <v>8000.0</v>
      </c>
      <c r="J1359" s="14"/>
      <c r="K1359" s="16">
        <f>IF(I1359&gt;0, J1359/I1359, 0)</f>
        <v>0</v>
      </c>
      <c r="L1359" s="14">
        <v>8000.0</v>
      </c>
      <c r="M1359" s="14"/>
      <c r="N1359" s="14">
        <f>L1359-M1359</f>
        <v>8000</v>
      </c>
      <c r="O1359" s="9" t="s">
        <v>40</v>
      </c>
      <c r="P1359" s="9" t="s">
        <v>41</v>
      </c>
      <c r="Q1359" s="9" t="s">
        <v>42</v>
      </c>
      <c r="R1359" s="7" t="s">
        <v>2082</v>
      </c>
      <c r="S1359" s="7" t="s">
        <v>42</v>
      </c>
    </row>
    <row r="1360" spans="1:19">
      <c r="A1360" s="8">
        <v>1353</v>
      </c>
      <c r="B1360" s="8" t="s">
        <v>1680</v>
      </c>
      <c r="C1360" s="8" t="s">
        <v>1678</v>
      </c>
      <c r="D1360" s="8" t="s">
        <v>652</v>
      </c>
      <c r="E1360" s="8" t="s">
        <v>68</v>
      </c>
      <c r="F1360" s="6" t="s">
        <v>39</v>
      </c>
      <c r="G1360" s="10">
        <v>1</v>
      </c>
      <c r="H1360" s="10">
        <v>1</v>
      </c>
      <c r="I1360" s="13">
        <v>18000.0</v>
      </c>
      <c r="J1360" s="13"/>
      <c r="K1360" s="15">
        <f>IF(I1360&gt;0, J1360/I1360, 0)</f>
        <v>0</v>
      </c>
      <c r="L1360" s="13">
        <v>18000.0</v>
      </c>
      <c r="M1360" s="13"/>
      <c r="N1360" s="13">
        <f>L1360-M1360</f>
        <v>18000</v>
      </c>
      <c r="O1360" s="8" t="s">
        <v>40</v>
      </c>
      <c r="P1360" s="8" t="s">
        <v>71</v>
      </c>
      <c r="Q1360" s="8" t="s">
        <v>42</v>
      </c>
      <c r="R1360" s="6" t="s">
        <v>2093</v>
      </c>
      <c r="S1360" s="6" t="s">
        <v>42</v>
      </c>
    </row>
    <row r="1361" spans="1:19">
      <c r="A1361" s="9">
        <v>1354</v>
      </c>
      <c r="B1361" s="9" t="s">
        <v>1681</v>
      </c>
      <c r="C1361" s="9" t="s">
        <v>1678</v>
      </c>
      <c r="D1361" s="9" t="s">
        <v>652</v>
      </c>
      <c r="E1361" s="9" t="s">
        <v>68</v>
      </c>
      <c r="F1361" s="7" t="s">
        <v>39</v>
      </c>
      <c r="G1361" s="11">
        <v>1</v>
      </c>
      <c r="H1361" s="11">
        <v>2</v>
      </c>
      <c r="I1361" s="14">
        <v>22000.0</v>
      </c>
      <c r="J1361" s="14"/>
      <c r="K1361" s="16">
        <f>IF(I1361&gt;0, J1361/I1361, 0)</f>
        <v>0</v>
      </c>
      <c r="L1361" s="14">
        <v>22000.0</v>
      </c>
      <c r="M1361" s="14"/>
      <c r="N1361" s="14">
        <f>L1361-M1361</f>
        <v>22000</v>
      </c>
      <c r="O1361" s="9" t="s">
        <v>40</v>
      </c>
      <c r="P1361" s="9" t="s">
        <v>71</v>
      </c>
      <c r="Q1361" s="9" t="s">
        <v>42</v>
      </c>
      <c r="R1361" s="7" t="s">
        <v>2151</v>
      </c>
      <c r="S1361" s="7" t="s">
        <v>42</v>
      </c>
    </row>
    <row r="1362" spans="1:19">
      <c r="A1362" s="8">
        <v>1355</v>
      </c>
      <c r="B1362" s="8" t="s">
        <v>1682</v>
      </c>
      <c r="C1362" s="8" t="s">
        <v>1678</v>
      </c>
      <c r="D1362" s="8" t="s">
        <v>652</v>
      </c>
      <c r="E1362" s="8" t="s">
        <v>33</v>
      </c>
      <c r="F1362" s="6" t="s">
        <v>39</v>
      </c>
      <c r="G1362" s="10">
        <v>1</v>
      </c>
      <c r="H1362" s="10">
        <v>1</v>
      </c>
      <c r="I1362" s="13">
        <v>7500.0</v>
      </c>
      <c r="J1362" s="13"/>
      <c r="K1362" s="15">
        <f>IF(I1362&gt;0, J1362/I1362, 0)</f>
        <v>0</v>
      </c>
      <c r="L1362" s="13">
        <v>7500.0</v>
      </c>
      <c r="M1362" s="13"/>
      <c r="N1362" s="13">
        <f>L1362-M1362</f>
        <v>7500</v>
      </c>
      <c r="O1362" s="8" t="s">
        <v>40</v>
      </c>
      <c r="P1362" s="8" t="s">
        <v>41</v>
      </c>
      <c r="Q1362" s="8" t="s">
        <v>42</v>
      </c>
      <c r="R1362" s="6" t="s">
        <v>2140</v>
      </c>
      <c r="S1362" s="6" t="s">
        <v>42</v>
      </c>
    </row>
    <row r="1363" spans="1:19">
      <c r="A1363" s="9">
        <v>1356</v>
      </c>
      <c r="B1363" s="9" t="s">
        <v>1683</v>
      </c>
      <c r="C1363" s="9" t="s">
        <v>1678</v>
      </c>
      <c r="D1363" s="9" t="s">
        <v>652</v>
      </c>
      <c r="E1363" s="9" t="s">
        <v>33</v>
      </c>
      <c r="F1363" s="7" t="s">
        <v>39</v>
      </c>
      <c r="G1363" s="11">
        <v>1</v>
      </c>
      <c r="H1363" s="11">
        <v>2</v>
      </c>
      <c r="I1363" s="14">
        <v>16000.0</v>
      </c>
      <c r="J1363" s="14"/>
      <c r="K1363" s="16">
        <f>IF(I1363&gt;0, J1363/I1363, 0)</f>
        <v>0</v>
      </c>
      <c r="L1363" s="14">
        <v>16000.0</v>
      </c>
      <c r="M1363" s="14"/>
      <c r="N1363" s="14">
        <f>L1363-M1363</f>
        <v>16000</v>
      </c>
      <c r="O1363" s="9" t="s">
        <v>40</v>
      </c>
      <c r="P1363" s="9" t="s">
        <v>41</v>
      </c>
      <c r="Q1363" s="9" t="s">
        <v>42</v>
      </c>
      <c r="R1363" s="7" t="s">
        <v>2098</v>
      </c>
      <c r="S1363" s="7" t="s">
        <v>42</v>
      </c>
    </row>
    <row r="1364" spans="1:19">
      <c r="A1364" s="8">
        <v>1357</v>
      </c>
      <c r="B1364" s="8" t="s">
        <v>1684</v>
      </c>
      <c r="C1364" s="8" t="s">
        <v>1678</v>
      </c>
      <c r="D1364" s="8" t="s">
        <v>652</v>
      </c>
      <c r="E1364" s="8" t="s">
        <v>33</v>
      </c>
      <c r="F1364" s="6" t="s">
        <v>39</v>
      </c>
      <c r="G1364" s="10">
        <v>1</v>
      </c>
      <c r="H1364" s="10">
        <v>1</v>
      </c>
      <c r="I1364" s="13">
        <v>7500.0</v>
      </c>
      <c r="J1364" s="13"/>
      <c r="K1364" s="15">
        <f>IF(I1364&gt;0, J1364/I1364, 0)</f>
        <v>0</v>
      </c>
      <c r="L1364" s="13">
        <v>7500.0</v>
      </c>
      <c r="M1364" s="13"/>
      <c r="N1364" s="13">
        <f>L1364-M1364</f>
        <v>7500</v>
      </c>
      <c r="O1364" s="8" t="s">
        <v>40</v>
      </c>
      <c r="P1364" s="8" t="s">
        <v>41</v>
      </c>
      <c r="Q1364" s="8" t="s">
        <v>42</v>
      </c>
      <c r="R1364" s="6" t="s">
        <v>2100</v>
      </c>
      <c r="S1364" s="6" t="s">
        <v>42</v>
      </c>
    </row>
    <row r="1365" spans="1:19">
      <c r="A1365" s="9">
        <v>1358</v>
      </c>
      <c r="B1365" s="9" t="s">
        <v>1685</v>
      </c>
      <c r="C1365" s="9" t="s">
        <v>1678</v>
      </c>
      <c r="D1365" s="9" t="s">
        <v>652</v>
      </c>
      <c r="E1365" s="9" t="s">
        <v>33</v>
      </c>
      <c r="F1365" s="7" t="s">
        <v>39</v>
      </c>
      <c r="G1365" s="11">
        <v>1</v>
      </c>
      <c r="H1365" s="11">
        <v>1</v>
      </c>
      <c r="I1365" s="14">
        <v>8500.0</v>
      </c>
      <c r="J1365" s="14"/>
      <c r="K1365" s="16">
        <f>IF(I1365&gt;0, J1365/I1365, 0)</f>
        <v>0</v>
      </c>
      <c r="L1365" s="14">
        <v>8500.0</v>
      </c>
      <c r="M1365" s="14"/>
      <c r="N1365" s="14">
        <f>L1365-M1365</f>
        <v>8500</v>
      </c>
      <c r="O1365" s="9" t="s">
        <v>40</v>
      </c>
      <c r="P1365" s="9" t="s">
        <v>41</v>
      </c>
      <c r="Q1365" s="9" t="s">
        <v>42</v>
      </c>
      <c r="R1365" s="7" t="s">
        <v>2078</v>
      </c>
      <c r="S1365" s="7" t="s">
        <v>42</v>
      </c>
    </row>
    <row r="1366" spans="1:19">
      <c r="A1366" s="8">
        <v>1359</v>
      </c>
      <c r="B1366" s="8" t="s">
        <v>1686</v>
      </c>
      <c r="C1366" s="8" t="s">
        <v>1678</v>
      </c>
      <c r="D1366" s="8" t="s">
        <v>652</v>
      </c>
      <c r="E1366" s="8" t="s">
        <v>33</v>
      </c>
      <c r="F1366" s="6" t="s">
        <v>39</v>
      </c>
      <c r="G1366" s="10">
        <v>1</v>
      </c>
      <c r="H1366" s="10">
        <v>1</v>
      </c>
      <c r="I1366" s="13">
        <v>18000.0</v>
      </c>
      <c r="J1366" s="13"/>
      <c r="K1366" s="15">
        <f>IF(I1366&gt;0, J1366/I1366, 0)</f>
        <v>0</v>
      </c>
      <c r="L1366" s="13">
        <v>18000.0</v>
      </c>
      <c r="M1366" s="13"/>
      <c r="N1366" s="13">
        <f>L1366-M1366</f>
        <v>18000</v>
      </c>
      <c r="O1366" s="8" t="s">
        <v>40</v>
      </c>
      <c r="P1366" s="8" t="s">
        <v>41</v>
      </c>
      <c r="Q1366" s="8" t="s">
        <v>42</v>
      </c>
      <c r="R1366" s="6" t="s">
        <v>2075</v>
      </c>
      <c r="S1366" s="6" t="s">
        <v>42</v>
      </c>
    </row>
    <row r="1367" spans="1:19">
      <c r="A1367" s="9">
        <v>1360</v>
      </c>
      <c r="B1367" s="9" t="s">
        <v>1687</v>
      </c>
      <c r="C1367" s="9" t="s">
        <v>1678</v>
      </c>
      <c r="D1367" s="9" t="s">
        <v>652</v>
      </c>
      <c r="E1367" s="9" t="s">
        <v>33</v>
      </c>
      <c r="F1367" s="7" t="s">
        <v>39</v>
      </c>
      <c r="G1367" s="11">
        <v>1</v>
      </c>
      <c r="H1367" s="11">
        <v>1</v>
      </c>
      <c r="I1367" s="14">
        <v>7500.0</v>
      </c>
      <c r="J1367" s="14"/>
      <c r="K1367" s="16">
        <f>IF(I1367&gt;0, J1367/I1367, 0)</f>
        <v>0</v>
      </c>
      <c r="L1367" s="14">
        <v>7500.0</v>
      </c>
      <c r="M1367" s="14"/>
      <c r="N1367" s="14">
        <f>L1367-M1367</f>
        <v>7500</v>
      </c>
      <c r="O1367" s="9" t="s">
        <v>40</v>
      </c>
      <c r="P1367" s="9" t="s">
        <v>41</v>
      </c>
      <c r="Q1367" s="9" t="s">
        <v>42</v>
      </c>
      <c r="R1367" s="7" t="s">
        <v>2100</v>
      </c>
      <c r="S1367" s="7" t="s">
        <v>42</v>
      </c>
    </row>
    <row r="1368" spans="1:19">
      <c r="A1368" s="8">
        <v>1361</v>
      </c>
      <c r="B1368" s="8" t="s">
        <v>1688</v>
      </c>
      <c r="C1368" s="8" t="s">
        <v>1678</v>
      </c>
      <c r="D1368" s="8" t="s">
        <v>652</v>
      </c>
      <c r="E1368" s="8" t="s">
        <v>33</v>
      </c>
      <c r="F1368" s="6" t="s">
        <v>39</v>
      </c>
      <c r="G1368" s="10">
        <v>1</v>
      </c>
      <c r="H1368" s="10">
        <v>1</v>
      </c>
      <c r="I1368" s="13">
        <v>8500.0</v>
      </c>
      <c r="J1368" s="13"/>
      <c r="K1368" s="15">
        <f>IF(I1368&gt;0, J1368/I1368, 0)</f>
        <v>0</v>
      </c>
      <c r="L1368" s="13">
        <v>8500.0</v>
      </c>
      <c r="M1368" s="13"/>
      <c r="N1368" s="13">
        <f>L1368-M1368</f>
        <v>8500</v>
      </c>
      <c r="O1368" s="8" t="s">
        <v>40</v>
      </c>
      <c r="P1368" s="8" t="s">
        <v>41</v>
      </c>
      <c r="Q1368" s="8" t="s">
        <v>42</v>
      </c>
      <c r="R1368" s="6" t="s">
        <v>2099</v>
      </c>
      <c r="S1368" s="6" t="s">
        <v>42</v>
      </c>
    </row>
    <row r="1369" spans="1:19">
      <c r="A1369" s="9">
        <v>1362</v>
      </c>
      <c r="B1369" s="9" t="s">
        <v>1689</v>
      </c>
      <c r="C1369" s="9" t="s">
        <v>1678</v>
      </c>
      <c r="D1369" s="9" t="s">
        <v>652</v>
      </c>
      <c r="E1369" s="9" t="s">
        <v>33</v>
      </c>
      <c r="F1369" s="7" t="s">
        <v>39</v>
      </c>
      <c r="G1369" s="11">
        <v>1</v>
      </c>
      <c r="H1369" s="11">
        <v>2</v>
      </c>
      <c r="I1369" s="14">
        <v>16000.0</v>
      </c>
      <c r="J1369" s="14"/>
      <c r="K1369" s="16">
        <f>IF(I1369&gt;0, J1369/I1369, 0)</f>
        <v>0</v>
      </c>
      <c r="L1369" s="14">
        <v>16000.0</v>
      </c>
      <c r="M1369" s="14"/>
      <c r="N1369" s="14">
        <f>L1369-M1369</f>
        <v>16000</v>
      </c>
      <c r="O1369" s="9" t="s">
        <v>40</v>
      </c>
      <c r="P1369" s="9" t="s">
        <v>41</v>
      </c>
      <c r="Q1369" s="9" t="s">
        <v>42</v>
      </c>
      <c r="R1369" s="7" t="s">
        <v>2168</v>
      </c>
      <c r="S1369" s="7" t="s">
        <v>42</v>
      </c>
    </row>
    <row r="1370" spans="1:19">
      <c r="A1370" s="8">
        <v>1363</v>
      </c>
      <c r="B1370" s="8" t="s">
        <v>1690</v>
      </c>
      <c r="C1370" s="8" t="s">
        <v>1678</v>
      </c>
      <c r="D1370" s="8" t="s">
        <v>652</v>
      </c>
      <c r="E1370" s="8" t="s">
        <v>68</v>
      </c>
      <c r="F1370" s="6" t="s">
        <v>39</v>
      </c>
      <c r="G1370" s="10">
        <v>1</v>
      </c>
      <c r="H1370" s="10">
        <v>2</v>
      </c>
      <c r="I1370" s="13">
        <v>16000.0</v>
      </c>
      <c r="J1370" s="13"/>
      <c r="K1370" s="15">
        <f>IF(I1370&gt;0, J1370/I1370, 0)</f>
        <v>0</v>
      </c>
      <c r="L1370" s="13">
        <v>16000.0</v>
      </c>
      <c r="M1370" s="13"/>
      <c r="N1370" s="13">
        <f>L1370-M1370</f>
        <v>16000</v>
      </c>
      <c r="O1370" s="8" t="s">
        <v>40</v>
      </c>
      <c r="P1370" s="8" t="s">
        <v>71</v>
      </c>
      <c r="Q1370" s="8" t="s">
        <v>42</v>
      </c>
      <c r="R1370" s="6" t="s">
        <v>2268</v>
      </c>
      <c r="S1370" s="6" t="s">
        <v>42</v>
      </c>
    </row>
    <row r="1371" spans="1:19">
      <c r="A1371" s="9">
        <v>1364</v>
      </c>
      <c r="B1371" s="9" t="s">
        <v>1691</v>
      </c>
      <c r="C1371" s="9" t="s">
        <v>1678</v>
      </c>
      <c r="D1371" s="9" t="s">
        <v>652</v>
      </c>
      <c r="E1371" s="9" t="s">
        <v>33</v>
      </c>
      <c r="F1371" s="7" t="s">
        <v>39</v>
      </c>
      <c r="G1371" s="11">
        <v>1</v>
      </c>
      <c r="H1371" s="11">
        <v>2</v>
      </c>
      <c r="I1371" s="14">
        <v>34000.0</v>
      </c>
      <c r="J1371" s="14"/>
      <c r="K1371" s="16">
        <f>IF(I1371&gt;0, J1371/I1371, 0)</f>
        <v>0</v>
      </c>
      <c r="L1371" s="14">
        <v>34000.0</v>
      </c>
      <c r="M1371" s="14"/>
      <c r="N1371" s="14">
        <f>L1371-M1371</f>
        <v>34000</v>
      </c>
      <c r="O1371" s="9" t="s">
        <v>40</v>
      </c>
      <c r="P1371" s="9" t="s">
        <v>41</v>
      </c>
      <c r="Q1371" s="9" t="s">
        <v>42</v>
      </c>
      <c r="R1371" s="7" t="s">
        <v>2254</v>
      </c>
      <c r="S1371" s="7" t="s">
        <v>42</v>
      </c>
    </row>
    <row r="1372" spans="1:19">
      <c r="A1372" s="8">
        <v>1365</v>
      </c>
      <c r="B1372" s="8" t="s">
        <v>1692</v>
      </c>
      <c r="C1372" s="8" t="s">
        <v>1678</v>
      </c>
      <c r="D1372" s="8" t="s">
        <v>652</v>
      </c>
      <c r="E1372" s="8" t="s">
        <v>33</v>
      </c>
      <c r="F1372" s="6" t="s">
        <v>39</v>
      </c>
      <c r="G1372" s="10">
        <v>1</v>
      </c>
      <c r="H1372" s="10">
        <v>3</v>
      </c>
      <c r="I1372" s="13">
        <v>27000.0</v>
      </c>
      <c r="J1372" s="13"/>
      <c r="K1372" s="15">
        <f>IF(I1372&gt;0, J1372/I1372, 0)</f>
        <v>0</v>
      </c>
      <c r="L1372" s="13">
        <v>27000.0</v>
      </c>
      <c r="M1372" s="13"/>
      <c r="N1372" s="13">
        <f>L1372-M1372</f>
        <v>27000</v>
      </c>
      <c r="O1372" s="8" t="s">
        <v>40</v>
      </c>
      <c r="P1372" s="8" t="s">
        <v>41</v>
      </c>
      <c r="Q1372" s="8" t="s">
        <v>42</v>
      </c>
      <c r="R1372" s="6" t="s">
        <v>2276</v>
      </c>
      <c r="S1372" s="6" t="s">
        <v>42</v>
      </c>
    </row>
    <row r="1373" spans="1:19">
      <c r="A1373" s="9">
        <v>1366</v>
      </c>
      <c r="B1373" s="9" t="s">
        <v>1693</v>
      </c>
      <c r="C1373" s="9" t="s">
        <v>1678</v>
      </c>
      <c r="D1373" s="9" t="s">
        <v>652</v>
      </c>
      <c r="E1373" s="9" t="s">
        <v>33</v>
      </c>
      <c r="F1373" s="7" t="s">
        <v>39</v>
      </c>
      <c r="G1373" s="11">
        <v>1</v>
      </c>
      <c r="H1373" s="11">
        <v>3</v>
      </c>
      <c r="I1373" s="14">
        <v>24000.0</v>
      </c>
      <c r="J1373" s="14"/>
      <c r="K1373" s="16">
        <f>IF(I1373&gt;0, J1373/I1373, 0)</f>
        <v>0</v>
      </c>
      <c r="L1373" s="14">
        <v>24000.0</v>
      </c>
      <c r="M1373" s="14"/>
      <c r="N1373" s="14">
        <f>L1373-M1373</f>
        <v>24000</v>
      </c>
      <c r="O1373" s="9" t="s">
        <v>40</v>
      </c>
      <c r="P1373" s="9" t="s">
        <v>41</v>
      </c>
      <c r="Q1373" s="9" t="s">
        <v>42</v>
      </c>
      <c r="R1373" s="7" t="s">
        <v>2277</v>
      </c>
      <c r="S1373" s="7" t="s">
        <v>42</v>
      </c>
    </row>
    <row r="1374" spans="1:19">
      <c r="A1374" s="8">
        <v>1367</v>
      </c>
      <c r="B1374" s="8" t="s">
        <v>1694</v>
      </c>
      <c r="C1374" s="8" t="s">
        <v>1678</v>
      </c>
      <c r="D1374" s="8" t="s">
        <v>652</v>
      </c>
      <c r="E1374" s="8" t="s">
        <v>33</v>
      </c>
      <c r="F1374" s="6" t="s">
        <v>39</v>
      </c>
      <c r="G1374" s="10">
        <v>1</v>
      </c>
      <c r="H1374" s="10">
        <v>1</v>
      </c>
      <c r="I1374" s="13">
        <v>18000.0</v>
      </c>
      <c r="J1374" s="13"/>
      <c r="K1374" s="15">
        <f>IF(I1374&gt;0, J1374/I1374, 0)</f>
        <v>0</v>
      </c>
      <c r="L1374" s="13">
        <v>18000.0</v>
      </c>
      <c r="M1374" s="13"/>
      <c r="N1374" s="13">
        <f>L1374-M1374</f>
        <v>18000</v>
      </c>
      <c r="O1374" s="8" t="s">
        <v>40</v>
      </c>
      <c r="P1374" s="8" t="s">
        <v>41</v>
      </c>
      <c r="Q1374" s="8" t="s">
        <v>42</v>
      </c>
      <c r="R1374" s="6" t="s">
        <v>2120</v>
      </c>
      <c r="S1374" s="6" t="s">
        <v>42</v>
      </c>
    </row>
    <row r="1375" spans="1:19">
      <c r="A1375" s="9">
        <v>1368</v>
      </c>
      <c r="B1375" s="9" t="s">
        <v>1695</v>
      </c>
      <c r="C1375" s="9" t="s">
        <v>1678</v>
      </c>
      <c r="D1375" s="9" t="s">
        <v>652</v>
      </c>
      <c r="E1375" s="9" t="s">
        <v>33</v>
      </c>
      <c r="F1375" s="7" t="s">
        <v>39</v>
      </c>
      <c r="G1375" s="11">
        <v>1</v>
      </c>
      <c r="H1375" s="11">
        <v>3</v>
      </c>
      <c r="I1375" s="14">
        <v>24000.0</v>
      </c>
      <c r="J1375" s="14"/>
      <c r="K1375" s="16">
        <f>IF(I1375&gt;0, J1375/I1375, 0)</f>
        <v>0</v>
      </c>
      <c r="L1375" s="14">
        <v>24000.0</v>
      </c>
      <c r="M1375" s="14"/>
      <c r="N1375" s="14">
        <f>L1375-M1375</f>
        <v>24000</v>
      </c>
      <c r="O1375" s="9" t="s">
        <v>40</v>
      </c>
      <c r="P1375" s="9" t="s">
        <v>41</v>
      </c>
      <c r="Q1375" s="9" t="s">
        <v>42</v>
      </c>
      <c r="R1375" s="7" t="s">
        <v>2278</v>
      </c>
      <c r="S1375" s="7" t="s">
        <v>42</v>
      </c>
    </row>
    <row r="1376" spans="1:19">
      <c r="A1376" s="8">
        <v>1369</v>
      </c>
      <c r="B1376" s="8" t="s">
        <v>1696</v>
      </c>
      <c r="C1376" s="8" t="s">
        <v>1678</v>
      </c>
      <c r="D1376" s="8" t="s">
        <v>652</v>
      </c>
      <c r="E1376" s="8" t="s">
        <v>33</v>
      </c>
      <c r="F1376" s="6" t="s">
        <v>39</v>
      </c>
      <c r="G1376" s="10">
        <v>1</v>
      </c>
      <c r="H1376" s="10">
        <v>3</v>
      </c>
      <c r="I1376" s="13">
        <v>21000.0</v>
      </c>
      <c r="J1376" s="13"/>
      <c r="K1376" s="15">
        <f>IF(I1376&gt;0, J1376/I1376, 0)</f>
        <v>0</v>
      </c>
      <c r="L1376" s="13">
        <v>21000.0</v>
      </c>
      <c r="M1376" s="13"/>
      <c r="N1376" s="13">
        <f>L1376-M1376</f>
        <v>21000</v>
      </c>
      <c r="O1376" s="8" t="s">
        <v>40</v>
      </c>
      <c r="P1376" s="8" t="s">
        <v>41</v>
      </c>
      <c r="Q1376" s="8" t="s">
        <v>42</v>
      </c>
      <c r="R1376" s="6" t="s">
        <v>2279</v>
      </c>
      <c r="S1376" s="6" t="s">
        <v>42</v>
      </c>
    </row>
    <row r="1377" spans="1:19">
      <c r="A1377" s="9">
        <v>1370</v>
      </c>
      <c r="B1377" s="9" t="s">
        <v>1697</v>
      </c>
      <c r="C1377" s="9" t="s">
        <v>1678</v>
      </c>
      <c r="D1377" s="9" t="s">
        <v>652</v>
      </c>
      <c r="E1377" s="9" t="s">
        <v>33</v>
      </c>
      <c r="F1377" s="7" t="s">
        <v>39</v>
      </c>
      <c r="G1377" s="11">
        <v>1</v>
      </c>
      <c r="H1377" s="11">
        <v>2</v>
      </c>
      <c r="I1377" s="14">
        <v>34000.0</v>
      </c>
      <c r="J1377" s="14"/>
      <c r="K1377" s="16">
        <f>IF(I1377&gt;0, J1377/I1377, 0)</f>
        <v>0</v>
      </c>
      <c r="L1377" s="14">
        <v>34000.0</v>
      </c>
      <c r="M1377" s="14"/>
      <c r="N1377" s="14">
        <f>L1377-M1377</f>
        <v>34000</v>
      </c>
      <c r="O1377" s="9" t="s">
        <v>40</v>
      </c>
      <c r="P1377" s="9" t="s">
        <v>41</v>
      </c>
      <c r="Q1377" s="9" t="s">
        <v>42</v>
      </c>
      <c r="R1377" s="7" t="s">
        <v>2229</v>
      </c>
      <c r="S1377" s="7" t="s">
        <v>42</v>
      </c>
    </row>
    <row r="1378" spans="1:19">
      <c r="A1378" s="8">
        <v>1371</v>
      </c>
      <c r="B1378" s="8" t="s">
        <v>1698</v>
      </c>
      <c r="C1378" s="8" t="s">
        <v>1678</v>
      </c>
      <c r="D1378" s="8" t="s">
        <v>652</v>
      </c>
      <c r="E1378" s="8" t="s">
        <v>68</v>
      </c>
      <c r="F1378" s="6" t="s">
        <v>39</v>
      </c>
      <c r="G1378" s="10">
        <v>1</v>
      </c>
      <c r="H1378" s="10">
        <v>3</v>
      </c>
      <c r="I1378" s="13">
        <v>30000.0</v>
      </c>
      <c r="J1378" s="13"/>
      <c r="K1378" s="15">
        <f>IF(I1378&gt;0, J1378/I1378, 0)</f>
        <v>0</v>
      </c>
      <c r="L1378" s="13">
        <v>30000.0</v>
      </c>
      <c r="M1378" s="13"/>
      <c r="N1378" s="13">
        <f>L1378-M1378</f>
        <v>30000</v>
      </c>
      <c r="O1378" s="8" t="s">
        <v>40</v>
      </c>
      <c r="P1378" s="8" t="s">
        <v>71</v>
      </c>
      <c r="Q1378" s="8" t="s">
        <v>42</v>
      </c>
      <c r="R1378" s="6" t="s">
        <v>2280</v>
      </c>
      <c r="S1378" s="6" t="s">
        <v>42</v>
      </c>
    </row>
    <row r="1379" spans="1:19">
      <c r="A1379" s="9">
        <v>1372</v>
      </c>
      <c r="B1379" s="9" t="s">
        <v>1699</v>
      </c>
      <c r="C1379" s="9" t="s">
        <v>1678</v>
      </c>
      <c r="D1379" s="9" t="s">
        <v>652</v>
      </c>
      <c r="E1379" s="9" t="s">
        <v>33</v>
      </c>
      <c r="F1379" s="7" t="s">
        <v>39</v>
      </c>
      <c r="G1379" s="11">
        <v>1</v>
      </c>
      <c r="H1379" s="11">
        <v>2</v>
      </c>
      <c r="I1379" s="14">
        <v>14000.0</v>
      </c>
      <c r="J1379" s="14"/>
      <c r="K1379" s="16">
        <f>IF(I1379&gt;0, J1379/I1379, 0)</f>
        <v>0</v>
      </c>
      <c r="L1379" s="14">
        <v>14000.0</v>
      </c>
      <c r="M1379" s="14"/>
      <c r="N1379" s="14">
        <f>L1379-M1379</f>
        <v>14000</v>
      </c>
      <c r="O1379" s="9" t="s">
        <v>40</v>
      </c>
      <c r="P1379" s="9" t="s">
        <v>41</v>
      </c>
      <c r="Q1379" s="9" t="s">
        <v>42</v>
      </c>
      <c r="R1379" s="7" t="s">
        <v>2281</v>
      </c>
      <c r="S1379" s="7" t="s">
        <v>42</v>
      </c>
    </row>
    <row r="1380" spans="1:19">
      <c r="A1380" s="8">
        <v>1373</v>
      </c>
      <c r="B1380" s="8" t="s">
        <v>1700</v>
      </c>
      <c r="C1380" s="8" t="s">
        <v>1678</v>
      </c>
      <c r="D1380" s="8" t="s">
        <v>652</v>
      </c>
      <c r="E1380" s="8" t="s">
        <v>33</v>
      </c>
      <c r="F1380" s="6" t="s">
        <v>39</v>
      </c>
      <c r="G1380" s="10">
        <v>1</v>
      </c>
      <c r="H1380" s="10">
        <v>1</v>
      </c>
      <c r="I1380" s="13">
        <v>18000.0</v>
      </c>
      <c r="J1380" s="13"/>
      <c r="K1380" s="15">
        <f>IF(I1380&gt;0, J1380/I1380, 0)</f>
        <v>0</v>
      </c>
      <c r="L1380" s="13">
        <v>18000.0</v>
      </c>
      <c r="M1380" s="13"/>
      <c r="N1380" s="13">
        <f>L1380-M1380</f>
        <v>18000</v>
      </c>
      <c r="O1380" s="8" t="s">
        <v>40</v>
      </c>
      <c r="P1380" s="8" t="s">
        <v>41</v>
      </c>
      <c r="Q1380" s="8" t="s">
        <v>42</v>
      </c>
      <c r="R1380" s="6" t="s">
        <v>2103</v>
      </c>
      <c r="S1380" s="6" t="s">
        <v>42</v>
      </c>
    </row>
    <row r="1381" spans="1:19">
      <c r="A1381" s="9">
        <v>1374</v>
      </c>
      <c r="B1381" s="9" t="s">
        <v>1701</v>
      </c>
      <c r="C1381" s="9" t="s">
        <v>1678</v>
      </c>
      <c r="D1381" s="9" t="s">
        <v>652</v>
      </c>
      <c r="E1381" s="9" t="s">
        <v>33</v>
      </c>
      <c r="F1381" s="7" t="s">
        <v>39</v>
      </c>
      <c r="G1381" s="11">
        <v>1</v>
      </c>
      <c r="H1381" s="11">
        <v>3</v>
      </c>
      <c r="I1381" s="14">
        <v>24000.0</v>
      </c>
      <c r="J1381" s="14"/>
      <c r="K1381" s="16">
        <f>IF(I1381&gt;0, J1381/I1381, 0)</f>
        <v>0</v>
      </c>
      <c r="L1381" s="14">
        <v>24000.0</v>
      </c>
      <c r="M1381" s="14"/>
      <c r="N1381" s="14">
        <f>L1381-M1381</f>
        <v>24000</v>
      </c>
      <c r="O1381" s="9" t="s">
        <v>40</v>
      </c>
      <c r="P1381" s="9" t="s">
        <v>41</v>
      </c>
      <c r="Q1381" s="9" t="s">
        <v>42</v>
      </c>
      <c r="R1381" s="7" t="s">
        <v>2282</v>
      </c>
      <c r="S1381" s="7" t="s">
        <v>42</v>
      </c>
    </row>
    <row r="1382" spans="1:19">
      <c r="A1382" s="8">
        <v>1375</v>
      </c>
      <c r="B1382" s="8" t="s">
        <v>1702</v>
      </c>
      <c r="C1382" s="8" t="s">
        <v>1678</v>
      </c>
      <c r="D1382" s="8" t="s">
        <v>652</v>
      </c>
      <c r="E1382" s="8" t="s">
        <v>33</v>
      </c>
      <c r="F1382" s="6" t="s">
        <v>39</v>
      </c>
      <c r="G1382" s="10">
        <v>1</v>
      </c>
      <c r="H1382" s="10">
        <v>3</v>
      </c>
      <c r="I1382" s="13">
        <v>24000.0</v>
      </c>
      <c r="J1382" s="13"/>
      <c r="K1382" s="15">
        <f>IF(I1382&gt;0, J1382/I1382, 0)</f>
        <v>0</v>
      </c>
      <c r="L1382" s="13">
        <v>24000.0</v>
      </c>
      <c r="M1382" s="13"/>
      <c r="N1382" s="13">
        <f>L1382-M1382</f>
        <v>24000</v>
      </c>
      <c r="O1382" s="8" t="s">
        <v>40</v>
      </c>
      <c r="P1382" s="8" t="s">
        <v>41</v>
      </c>
      <c r="Q1382" s="8" t="s">
        <v>42</v>
      </c>
      <c r="R1382" s="6" t="s">
        <v>2242</v>
      </c>
      <c r="S1382" s="6" t="s">
        <v>42</v>
      </c>
    </row>
    <row r="1383" spans="1:19">
      <c r="A1383" s="9">
        <v>1376</v>
      </c>
      <c r="B1383" s="9" t="s">
        <v>1703</v>
      </c>
      <c r="C1383" s="9" t="s">
        <v>1678</v>
      </c>
      <c r="D1383" s="9" t="s">
        <v>652</v>
      </c>
      <c r="E1383" s="9" t="s">
        <v>33</v>
      </c>
      <c r="F1383" s="7" t="s">
        <v>39</v>
      </c>
      <c r="G1383" s="11">
        <v>1</v>
      </c>
      <c r="H1383" s="11">
        <v>3</v>
      </c>
      <c r="I1383" s="14">
        <v>21000.0</v>
      </c>
      <c r="J1383" s="14"/>
      <c r="K1383" s="16">
        <f>IF(I1383&gt;0, J1383/I1383, 0)</f>
        <v>0</v>
      </c>
      <c r="L1383" s="14">
        <v>21000.0</v>
      </c>
      <c r="M1383" s="14"/>
      <c r="N1383" s="14">
        <f>L1383-M1383</f>
        <v>21000</v>
      </c>
      <c r="O1383" s="9" t="s">
        <v>40</v>
      </c>
      <c r="P1383" s="9" t="s">
        <v>41</v>
      </c>
      <c r="Q1383" s="9" t="s">
        <v>42</v>
      </c>
      <c r="R1383" s="7" t="s">
        <v>2150</v>
      </c>
      <c r="S1383" s="7" t="s">
        <v>42</v>
      </c>
    </row>
    <row r="1384" spans="1:19">
      <c r="A1384" s="8">
        <v>1377</v>
      </c>
      <c r="B1384" s="8" t="s">
        <v>1704</v>
      </c>
      <c r="C1384" s="8" t="s">
        <v>1678</v>
      </c>
      <c r="D1384" s="8" t="s">
        <v>652</v>
      </c>
      <c r="E1384" s="8" t="s">
        <v>33</v>
      </c>
      <c r="F1384" s="6" t="s">
        <v>39</v>
      </c>
      <c r="G1384" s="10">
        <v>1</v>
      </c>
      <c r="H1384" s="10">
        <v>1</v>
      </c>
      <c r="I1384" s="13">
        <v>7000.0</v>
      </c>
      <c r="J1384" s="13"/>
      <c r="K1384" s="15">
        <f>IF(I1384&gt;0, J1384/I1384, 0)</f>
        <v>0</v>
      </c>
      <c r="L1384" s="13">
        <v>7000.0</v>
      </c>
      <c r="M1384" s="13"/>
      <c r="N1384" s="13">
        <f>L1384-M1384</f>
        <v>7000</v>
      </c>
      <c r="O1384" s="8" t="s">
        <v>40</v>
      </c>
      <c r="P1384" s="8" t="s">
        <v>41</v>
      </c>
      <c r="Q1384" s="8" t="s">
        <v>42</v>
      </c>
      <c r="R1384" s="6" t="s">
        <v>2194</v>
      </c>
      <c r="S1384" s="6" t="s">
        <v>42</v>
      </c>
    </row>
    <row r="1385" spans="1:19">
      <c r="A1385" s="9">
        <v>1378</v>
      </c>
      <c r="B1385" s="9" t="s">
        <v>1705</v>
      </c>
      <c r="C1385" s="9" t="s">
        <v>1678</v>
      </c>
      <c r="D1385" s="9" t="s">
        <v>652</v>
      </c>
      <c r="E1385" s="9" t="s">
        <v>33</v>
      </c>
      <c r="F1385" s="7" t="s">
        <v>39</v>
      </c>
      <c r="G1385" s="11">
        <v>1</v>
      </c>
      <c r="H1385" s="11">
        <v>1</v>
      </c>
      <c r="I1385" s="14">
        <v>8000.0</v>
      </c>
      <c r="J1385" s="14"/>
      <c r="K1385" s="16">
        <f>IF(I1385&gt;0, J1385/I1385, 0)</f>
        <v>0</v>
      </c>
      <c r="L1385" s="14">
        <v>8000.0</v>
      </c>
      <c r="M1385" s="14"/>
      <c r="N1385" s="14">
        <f>L1385-M1385</f>
        <v>8000</v>
      </c>
      <c r="O1385" s="9" t="s">
        <v>40</v>
      </c>
      <c r="P1385" s="9" t="s">
        <v>41</v>
      </c>
      <c r="Q1385" s="9" t="s">
        <v>42</v>
      </c>
      <c r="R1385" s="7" t="s">
        <v>2159</v>
      </c>
      <c r="S1385" s="7" t="s">
        <v>42</v>
      </c>
    </row>
    <row r="1386" spans="1:19">
      <c r="A1386" s="8">
        <v>1379</v>
      </c>
      <c r="B1386" s="8" t="s">
        <v>1706</v>
      </c>
      <c r="C1386" s="8" t="s">
        <v>1678</v>
      </c>
      <c r="D1386" s="8" t="s">
        <v>652</v>
      </c>
      <c r="E1386" s="8" t="s">
        <v>33</v>
      </c>
      <c r="F1386" s="6" t="s">
        <v>39</v>
      </c>
      <c r="G1386" s="10">
        <v>1</v>
      </c>
      <c r="H1386" s="10">
        <v>1</v>
      </c>
      <c r="I1386" s="13">
        <v>7000.0</v>
      </c>
      <c r="J1386" s="13"/>
      <c r="K1386" s="15">
        <f>IF(I1386&gt;0, J1386/I1386, 0)</f>
        <v>0</v>
      </c>
      <c r="L1386" s="13">
        <v>7000.0</v>
      </c>
      <c r="M1386" s="13"/>
      <c r="N1386" s="13">
        <f>L1386-M1386</f>
        <v>7000</v>
      </c>
      <c r="O1386" s="8" t="s">
        <v>40</v>
      </c>
      <c r="P1386" s="8" t="s">
        <v>41</v>
      </c>
      <c r="Q1386" s="8" t="s">
        <v>42</v>
      </c>
      <c r="R1386" s="6" t="s">
        <v>2142</v>
      </c>
      <c r="S1386" s="6" t="s">
        <v>42</v>
      </c>
    </row>
    <row r="1387" spans="1:19">
      <c r="A1387" s="9">
        <v>1380</v>
      </c>
      <c r="B1387" s="9" t="s">
        <v>1707</v>
      </c>
      <c r="C1387" s="9" t="s">
        <v>1678</v>
      </c>
      <c r="D1387" s="9" t="s">
        <v>652</v>
      </c>
      <c r="E1387" s="9" t="s">
        <v>33</v>
      </c>
      <c r="F1387" s="7" t="s">
        <v>39</v>
      </c>
      <c r="G1387" s="11">
        <v>1</v>
      </c>
      <c r="H1387" s="11">
        <v>1</v>
      </c>
      <c r="I1387" s="14">
        <v>18000.0</v>
      </c>
      <c r="J1387" s="14"/>
      <c r="K1387" s="16">
        <f>IF(I1387&gt;0, J1387/I1387, 0)</f>
        <v>0</v>
      </c>
      <c r="L1387" s="14">
        <v>18000.0</v>
      </c>
      <c r="M1387" s="14"/>
      <c r="N1387" s="14">
        <f>L1387-M1387</f>
        <v>18000</v>
      </c>
      <c r="O1387" s="9" t="s">
        <v>40</v>
      </c>
      <c r="P1387" s="9" t="s">
        <v>41</v>
      </c>
      <c r="Q1387" s="9" t="s">
        <v>42</v>
      </c>
      <c r="R1387" s="7" t="s">
        <v>2193</v>
      </c>
      <c r="S1387" s="7" t="s">
        <v>42</v>
      </c>
    </row>
    <row r="1388" spans="1:19">
      <c r="A1388" s="8">
        <v>1381</v>
      </c>
      <c r="B1388" s="8" t="s">
        <v>1708</v>
      </c>
      <c r="C1388" s="8" t="s">
        <v>1678</v>
      </c>
      <c r="D1388" s="8" t="s">
        <v>652</v>
      </c>
      <c r="E1388" s="8" t="s">
        <v>33</v>
      </c>
      <c r="F1388" s="6" t="s">
        <v>39</v>
      </c>
      <c r="G1388" s="10">
        <v>1</v>
      </c>
      <c r="H1388" s="10">
        <v>1</v>
      </c>
      <c r="I1388" s="13">
        <v>16000.0</v>
      </c>
      <c r="J1388" s="13"/>
      <c r="K1388" s="15">
        <f>IF(I1388&gt;0, J1388/I1388, 0)</f>
        <v>0</v>
      </c>
      <c r="L1388" s="13">
        <v>16000.0</v>
      </c>
      <c r="M1388" s="13"/>
      <c r="N1388" s="13">
        <f>L1388-M1388</f>
        <v>16000</v>
      </c>
      <c r="O1388" s="8" t="s">
        <v>40</v>
      </c>
      <c r="P1388" s="8" t="s">
        <v>41</v>
      </c>
      <c r="Q1388" s="8" t="s">
        <v>42</v>
      </c>
      <c r="R1388" s="6" t="s">
        <v>2086</v>
      </c>
      <c r="S1388" s="6" t="s">
        <v>42</v>
      </c>
    </row>
    <row r="1389" spans="1:19">
      <c r="A1389" s="9">
        <v>1382</v>
      </c>
      <c r="B1389" s="9" t="s">
        <v>1709</v>
      </c>
      <c r="C1389" s="9" t="s">
        <v>1678</v>
      </c>
      <c r="D1389" s="9" t="s">
        <v>652</v>
      </c>
      <c r="E1389" s="9" t="s">
        <v>33</v>
      </c>
      <c r="F1389" s="7" t="s">
        <v>39</v>
      </c>
      <c r="G1389" s="11">
        <v>1</v>
      </c>
      <c r="H1389" s="11">
        <v>1</v>
      </c>
      <c r="I1389" s="14">
        <v>7000.0</v>
      </c>
      <c r="J1389" s="14"/>
      <c r="K1389" s="16">
        <f>IF(I1389&gt;0, J1389/I1389, 0)</f>
        <v>0</v>
      </c>
      <c r="L1389" s="14">
        <v>7000.0</v>
      </c>
      <c r="M1389" s="14"/>
      <c r="N1389" s="14">
        <f>L1389-M1389</f>
        <v>7000</v>
      </c>
      <c r="O1389" s="9" t="s">
        <v>40</v>
      </c>
      <c r="P1389" s="9" t="s">
        <v>41</v>
      </c>
      <c r="Q1389" s="9" t="s">
        <v>42</v>
      </c>
      <c r="R1389" s="7" t="s">
        <v>2092</v>
      </c>
      <c r="S1389" s="7" t="s">
        <v>42</v>
      </c>
    </row>
    <row r="1390" spans="1:19">
      <c r="A1390" s="8">
        <v>1383</v>
      </c>
      <c r="B1390" s="8" t="s">
        <v>1710</v>
      </c>
      <c r="C1390" s="8" t="s">
        <v>1678</v>
      </c>
      <c r="D1390" s="8" t="s">
        <v>652</v>
      </c>
      <c r="E1390" s="8" t="s">
        <v>33</v>
      </c>
      <c r="F1390" s="6" t="s">
        <v>39</v>
      </c>
      <c r="G1390" s="10">
        <v>1</v>
      </c>
      <c r="H1390" s="10">
        <v>1</v>
      </c>
      <c r="I1390" s="13">
        <v>18000.0</v>
      </c>
      <c r="J1390" s="13"/>
      <c r="K1390" s="15">
        <f>IF(I1390&gt;0, J1390/I1390, 0)</f>
        <v>0</v>
      </c>
      <c r="L1390" s="13">
        <v>18000.0</v>
      </c>
      <c r="M1390" s="13"/>
      <c r="N1390" s="13">
        <f>L1390-M1390</f>
        <v>18000</v>
      </c>
      <c r="O1390" s="8" t="s">
        <v>40</v>
      </c>
      <c r="P1390" s="8" t="s">
        <v>41</v>
      </c>
      <c r="Q1390" s="8" t="s">
        <v>42</v>
      </c>
      <c r="R1390" s="6" t="s">
        <v>2222</v>
      </c>
      <c r="S1390" s="6" t="s">
        <v>42</v>
      </c>
    </row>
    <row r="1391" spans="1:19">
      <c r="A1391" s="9">
        <v>1384</v>
      </c>
      <c r="B1391" s="9" t="s">
        <v>1711</v>
      </c>
      <c r="C1391" s="9" t="s">
        <v>1678</v>
      </c>
      <c r="D1391" s="9" t="s">
        <v>652</v>
      </c>
      <c r="E1391" s="9" t="s">
        <v>33</v>
      </c>
      <c r="F1391" s="7" t="s">
        <v>39</v>
      </c>
      <c r="G1391" s="11">
        <v>1</v>
      </c>
      <c r="H1391" s="11">
        <v>1</v>
      </c>
      <c r="I1391" s="14">
        <v>9500.0</v>
      </c>
      <c r="J1391" s="14"/>
      <c r="K1391" s="16">
        <f>IF(I1391&gt;0, J1391/I1391, 0)</f>
        <v>0</v>
      </c>
      <c r="L1391" s="14">
        <v>9500.0</v>
      </c>
      <c r="M1391" s="14"/>
      <c r="N1391" s="14">
        <f>L1391-M1391</f>
        <v>9500</v>
      </c>
      <c r="O1391" s="9" t="s">
        <v>40</v>
      </c>
      <c r="P1391" s="9" t="s">
        <v>41</v>
      </c>
      <c r="Q1391" s="9" t="s">
        <v>42</v>
      </c>
      <c r="R1391" s="7" t="s">
        <v>2214</v>
      </c>
      <c r="S1391" s="7" t="s">
        <v>42</v>
      </c>
    </row>
    <row r="1392" spans="1:19">
      <c r="A1392" s="8">
        <v>1385</v>
      </c>
      <c r="B1392" s="8" t="s">
        <v>1712</v>
      </c>
      <c r="C1392" s="8" t="s">
        <v>1678</v>
      </c>
      <c r="D1392" s="8" t="s">
        <v>652</v>
      </c>
      <c r="E1392" s="8" t="s">
        <v>33</v>
      </c>
      <c r="F1392" s="6" t="s">
        <v>39</v>
      </c>
      <c r="G1392" s="10">
        <v>1</v>
      </c>
      <c r="H1392" s="10">
        <v>1</v>
      </c>
      <c r="I1392" s="13">
        <v>7500.0</v>
      </c>
      <c r="J1392" s="13"/>
      <c r="K1392" s="15">
        <f>IF(I1392&gt;0, J1392/I1392, 0)</f>
        <v>0</v>
      </c>
      <c r="L1392" s="13">
        <v>7500.0</v>
      </c>
      <c r="M1392" s="13"/>
      <c r="N1392" s="13">
        <f>L1392-M1392</f>
        <v>7500</v>
      </c>
      <c r="O1392" s="8" t="s">
        <v>40</v>
      </c>
      <c r="P1392" s="8" t="s">
        <v>41</v>
      </c>
      <c r="Q1392" s="8" t="s">
        <v>42</v>
      </c>
      <c r="R1392" s="6" t="s">
        <v>2203</v>
      </c>
      <c r="S1392" s="6" t="s">
        <v>42</v>
      </c>
    </row>
    <row r="1393" spans="1:19">
      <c r="A1393" s="9">
        <v>1386</v>
      </c>
      <c r="B1393" s="9" t="s">
        <v>1713</v>
      </c>
      <c r="C1393" s="9" t="s">
        <v>1678</v>
      </c>
      <c r="D1393" s="9" t="s">
        <v>652</v>
      </c>
      <c r="E1393" s="9" t="s">
        <v>33</v>
      </c>
      <c r="F1393" s="7" t="s">
        <v>39</v>
      </c>
      <c r="G1393" s="11">
        <v>1</v>
      </c>
      <c r="H1393" s="11">
        <v>1</v>
      </c>
      <c r="I1393" s="14">
        <v>16500.0</v>
      </c>
      <c r="J1393" s="14"/>
      <c r="K1393" s="16">
        <f>IF(I1393&gt;0, J1393/I1393, 0)</f>
        <v>0</v>
      </c>
      <c r="L1393" s="14">
        <v>16500.0</v>
      </c>
      <c r="M1393" s="14"/>
      <c r="N1393" s="14">
        <f>L1393-M1393</f>
        <v>16500</v>
      </c>
      <c r="O1393" s="9" t="s">
        <v>40</v>
      </c>
      <c r="P1393" s="9" t="s">
        <v>41</v>
      </c>
      <c r="Q1393" s="9" t="s">
        <v>42</v>
      </c>
      <c r="R1393" s="7" t="s">
        <v>2227</v>
      </c>
      <c r="S1393" s="7" t="s">
        <v>42</v>
      </c>
    </row>
    <row r="1394" spans="1:19">
      <c r="A1394" s="8">
        <v>1387</v>
      </c>
      <c r="B1394" s="8" t="s">
        <v>1714</v>
      </c>
      <c r="C1394" s="8" t="s">
        <v>1678</v>
      </c>
      <c r="D1394" s="8" t="s">
        <v>652</v>
      </c>
      <c r="E1394" s="8" t="s">
        <v>33</v>
      </c>
      <c r="F1394" s="6" t="s">
        <v>39</v>
      </c>
      <c r="G1394" s="10">
        <v>1</v>
      </c>
      <c r="H1394" s="10">
        <v>1</v>
      </c>
      <c r="I1394" s="13">
        <v>8500.0</v>
      </c>
      <c r="J1394" s="13"/>
      <c r="K1394" s="15">
        <f>IF(I1394&gt;0, J1394/I1394, 0)</f>
        <v>0</v>
      </c>
      <c r="L1394" s="13">
        <v>8500.0</v>
      </c>
      <c r="M1394" s="13"/>
      <c r="N1394" s="13">
        <f>L1394-M1394</f>
        <v>8500</v>
      </c>
      <c r="O1394" s="8" t="s">
        <v>40</v>
      </c>
      <c r="P1394" s="8" t="s">
        <v>41</v>
      </c>
      <c r="Q1394" s="8" t="s">
        <v>42</v>
      </c>
      <c r="R1394" s="6" t="s">
        <v>2157</v>
      </c>
      <c r="S1394" s="6" t="s">
        <v>42</v>
      </c>
    </row>
    <row r="1395" spans="1:19">
      <c r="A1395" s="9">
        <v>1388</v>
      </c>
      <c r="B1395" s="9" t="s">
        <v>1715</v>
      </c>
      <c r="C1395" s="9" t="s">
        <v>1678</v>
      </c>
      <c r="D1395" s="9" t="s">
        <v>652</v>
      </c>
      <c r="E1395" s="9" t="s">
        <v>33</v>
      </c>
      <c r="F1395" s="7" t="s">
        <v>39</v>
      </c>
      <c r="G1395" s="11">
        <v>1</v>
      </c>
      <c r="H1395" s="11">
        <v>1</v>
      </c>
      <c r="I1395" s="14">
        <v>9000.0</v>
      </c>
      <c r="J1395" s="14"/>
      <c r="K1395" s="16">
        <f>IF(I1395&gt;0, J1395/I1395, 0)</f>
        <v>0</v>
      </c>
      <c r="L1395" s="14">
        <v>9000.0</v>
      </c>
      <c r="M1395" s="14"/>
      <c r="N1395" s="14">
        <f>L1395-M1395</f>
        <v>9000</v>
      </c>
      <c r="O1395" s="9" t="s">
        <v>40</v>
      </c>
      <c r="P1395" s="9" t="s">
        <v>41</v>
      </c>
      <c r="Q1395" s="9" t="s">
        <v>42</v>
      </c>
      <c r="R1395" s="7" t="s">
        <v>2162</v>
      </c>
      <c r="S1395" s="7" t="s">
        <v>42</v>
      </c>
    </row>
    <row r="1396" spans="1:19">
      <c r="A1396" s="8">
        <v>1389</v>
      </c>
      <c r="B1396" s="8" t="s">
        <v>1716</v>
      </c>
      <c r="C1396" s="8" t="s">
        <v>1678</v>
      </c>
      <c r="D1396" s="8" t="s">
        <v>652</v>
      </c>
      <c r="E1396" s="8" t="s">
        <v>33</v>
      </c>
      <c r="F1396" s="6" t="s">
        <v>39</v>
      </c>
      <c r="G1396" s="10">
        <v>1</v>
      </c>
      <c r="H1396" s="10">
        <v>1</v>
      </c>
      <c r="I1396" s="13">
        <v>8000.0</v>
      </c>
      <c r="J1396" s="13"/>
      <c r="K1396" s="15">
        <f>IF(I1396&gt;0, J1396/I1396, 0)</f>
        <v>0</v>
      </c>
      <c r="L1396" s="13">
        <v>8000.0</v>
      </c>
      <c r="M1396" s="13"/>
      <c r="N1396" s="13">
        <f>L1396-M1396</f>
        <v>8000</v>
      </c>
      <c r="O1396" s="8" t="s">
        <v>40</v>
      </c>
      <c r="P1396" s="8" t="s">
        <v>41</v>
      </c>
      <c r="Q1396" s="8" t="s">
        <v>42</v>
      </c>
      <c r="R1396" s="6" t="s">
        <v>2158</v>
      </c>
      <c r="S1396" s="6" t="s">
        <v>42</v>
      </c>
    </row>
    <row r="1397" spans="1:19">
      <c r="A1397" s="9">
        <v>1390</v>
      </c>
      <c r="B1397" s="9" t="s">
        <v>1717</v>
      </c>
      <c r="C1397" s="9" t="s">
        <v>1718</v>
      </c>
      <c r="D1397" s="9" t="s">
        <v>652</v>
      </c>
      <c r="E1397" s="9" t="s">
        <v>33</v>
      </c>
      <c r="F1397" s="7" t="s">
        <v>39</v>
      </c>
      <c r="G1397" s="11">
        <v>1</v>
      </c>
      <c r="H1397" s="11">
        <v>1</v>
      </c>
      <c r="I1397" s="14">
        <v>17000.0</v>
      </c>
      <c r="J1397" s="14"/>
      <c r="K1397" s="16">
        <f>IF(I1397&gt;0, J1397/I1397, 0)</f>
        <v>0</v>
      </c>
      <c r="L1397" s="14">
        <v>17000.0</v>
      </c>
      <c r="M1397" s="14"/>
      <c r="N1397" s="14">
        <f>L1397-M1397</f>
        <v>17000</v>
      </c>
      <c r="O1397" s="9" t="s">
        <v>40</v>
      </c>
      <c r="P1397" s="9" t="s">
        <v>41</v>
      </c>
      <c r="Q1397" s="9" t="s">
        <v>42</v>
      </c>
      <c r="R1397" s="7" t="s">
        <v>2127</v>
      </c>
      <c r="S1397" s="7" t="s">
        <v>42</v>
      </c>
    </row>
    <row r="1398" spans="1:19">
      <c r="A1398" s="8">
        <v>1391</v>
      </c>
      <c r="B1398" s="8" t="s">
        <v>1719</v>
      </c>
      <c r="C1398" s="8" t="s">
        <v>1718</v>
      </c>
      <c r="D1398" s="8" t="s">
        <v>652</v>
      </c>
      <c r="E1398" s="8" t="s">
        <v>33</v>
      </c>
      <c r="F1398" s="6" t="s">
        <v>39</v>
      </c>
      <c r="G1398" s="10">
        <v>1</v>
      </c>
      <c r="H1398" s="10">
        <v>1</v>
      </c>
      <c r="I1398" s="13">
        <v>8000.0</v>
      </c>
      <c r="J1398" s="13"/>
      <c r="K1398" s="15">
        <f>IF(I1398&gt;0, J1398/I1398, 0)</f>
        <v>0</v>
      </c>
      <c r="L1398" s="13">
        <v>8000.0</v>
      </c>
      <c r="M1398" s="13"/>
      <c r="N1398" s="13">
        <f>L1398-M1398</f>
        <v>8000</v>
      </c>
      <c r="O1398" s="8" t="s">
        <v>40</v>
      </c>
      <c r="P1398" s="8" t="s">
        <v>41</v>
      </c>
      <c r="Q1398" s="8" t="s">
        <v>42</v>
      </c>
      <c r="R1398" s="6" t="s">
        <v>2116</v>
      </c>
      <c r="S1398" s="6" t="s">
        <v>42</v>
      </c>
    </row>
    <row r="1399" spans="1:19">
      <c r="A1399" s="9">
        <v>1392</v>
      </c>
      <c r="B1399" s="9" t="s">
        <v>1720</v>
      </c>
      <c r="C1399" s="9" t="s">
        <v>1718</v>
      </c>
      <c r="D1399" s="9" t="s">
        <v>652</v>
      </c>
      <c r="E1399" s="9" t="s">
        <v>33</v>
      </c>
      <c r="F1399" s="7" t="s">
        <v>39</v>
      </c>
      <c r="G1399" s="11">
        <v>1</v>
      </c>
      <c r="H1399" s="11">
        <v>1</v>
      </c>
      <c r="I1399" s="14">
        <v>8000.0</v>
      </c>
      <c r="J1399" s="14"/>
      <c r="K1399" s="16">
        <f>IF(I1399&gt;0, J1399/I1399, 0)</f>
        <v>0</v>
      </c>
      <c r="L1399" s="14">
        <v>8000.0</v>
      </c>
      <c r="M1399" s="14"/>
      <c r="N1399" s="14">
        <f>L1399-M1399</f>
        <v>8000</v>
      </c>
      <c r="O1399" s="9" t="s">
        <v>40</v>
      </c>
      <c r="P1399" s="9" t="s">
        <v>41</v>
      </c>
      <c r="Q1399" s="9" t="s">
        <v>42</v>
      </c>
      <c r="R1399" s="7" t="s">
        <v>2105</v>
      </c>
      <c r="S1399" s="7" t="s">
        <v>42</v>
      </c>
    </row>
    <row r="1400" spans="1:19">
      <c r="A1400" s="8">
        <v>1393</v>
      </c>
      <c r="B1400" s="8" t="s">
        <v>1721</v>
      </c>
      <c r="C1400" s="8" t="s">
        <v>1718</v>
      </c>
      <c r="D1400" s="8" t="s">
        <v>652</v>
      </c>
      <c r="E1400" s="8" t="s">
        <v>33</v>
      </c>
      <c r="F1400" s="6" t="s">
        <v>39</v>
      </c>
      <c r="G1400" s="10">
        <v>1</v>
      </c>
      <c r="H1400" s="10">
        <v>1</v>
      </c>
      <c r="I1400" s="13">
        <v>7000.0</v>
      </c>
      <c r="J1400" s="13"/>
      <c r="K1400" s="15">
        <f>IF(I1400&gt;0, J1400/I1400, 0)</f>
        <v>0</v>
      </c>
      <c r="L1400" s="13">
        <v>7000.0</v>
      </c>
      <c r="M1400" s="13"/>
      <c r="N1400" s="13">
        <f>L1400-M1400</f>
        <v>7000</v>
      </c>
      <c r="O1400" s="8" t="s">
        <v>40</v>
      </c>
      <c r="P1400" s="8" t="s">
        <v>41</v>
      </c>
      <c r="Q1400" s="8" t="s">
        <v>42</v>
      </c>
      <c r="R1400" s="6" t="s">
        <v>2155</v>
      </c>
      <c r="S1400" s="6" t="s">
        <v>42</v>
      </c>
    </row>
    <row r="1401" spans="1:19">
      <c r="A1401" s="9">
        <v>1394</v>
      </c>
      <c r="B1401" s="9" t="s">
        <v>1722</v>
      </c>
      <c r="C1401" s="9" t="s">
        <v>1718</v>
      </c>
      <c r="D1401" s="9" t="s">
        <v>652</v>
      </c>
      <c r="E1401" s="9" t="s">
        <v>33</v>
      </c>
      <c r="F1401" s="7" t="s">
        <v>39</v>
      </c>
      <c r="G1401" s="11">
        <v>1</v>
      </c>
      <c r="H1401" s="11">
        <v>1</v>
      </c>
      <c r="I1401" s="14">
        <v>8000.0</v>
      </c>
      <c r="J1401" s="14"/>
      <c r="K1401" s="16">
        <f>IF(I1401&gt;0, J1401/I1401, 0)</f>
        <v>0</v>
      </c>
      <c r="L1401" s="14">
        <v>8000.0</v>
      </c>
      <c r="M1401" s="14"/>
      <c r="N1401" s="14">
        <f>L1401-M1401</f>
        <v>8000</v>
      </c>
      <c r="O1401" s="9" t="s">
        <v>40</v>
      </c>
      <c r="P1401" s="9" t="s">
        <v>41</v>
      </c>
      <c r="Q1401" s="9" t="s">
        <v>42</v>
      </c>
      <c r="R1401" s="7" t="s">
        <v>2078</v>
      </c>
      <c r="S1401" s="7" t="s">
        <v>42</v>
      </c>
    </row>
    <row r="1402" spans="1:19">
      <c r="A1402" s="8">
        <v>1395</v>
      </c>
      <c r="B1402" s="8" t="s">
        <v>1723</v>
      </c>
      <c r="C1402" s="8" t="s">
        <v>1718</v>
      </c>
      <c r="D1402" s="8" t="s">
        <v>652</v>
      </c>
      <c r="E1402" s="8" t="s">
        <v>33</v>
      </c>
      <c r="F1402" s="6" t="s">
        <v>39</v>
      </c>
      <c r="G1402" s="10">
        <v>1</v>
      </c>
      <c r="H1402" s="10">
        <v>1</v>
      </c>
      <c r="I1402" s="13">
        <v>8000.0</v>
      </c>
      <c r="J1402" s="13"/>
      <c r="K1402" s="15">
        <f>IF(I1402&gt;0, J1402/I1402, 0)</f>
        <v>0</v>
      </c>
      <c r="L1402" s="13">
        <v>8000.0</v>
      </c>
      <c r="M1402" s="13"/>
      <c r="N1402" s="13">
        <f>L1402-M1402</f>
        <v>8000</v>
      </c>
      <c r="O1402" s="8" t="s">
        <v>40</v>
      </c>
      <c r="P1402" s="8" t="s">
        <v>41</v>
      </c>
      <c r="Q1402" s="8" t="s">
        <v>42</v>
      </c>
      <c r="R1402" s="6" t="s">
        <v>2105</v>
      </c>
      <c r="S1402" s="6" t="s">
        <v>42</v>
      </c>
    </row>
    <row r="1403" spans="1:19">
      <c r="A1403" s="9">
        <v>1396</v>
      </c>
      <c r="B1403" s="9" t="s">
        <v>1724</v>
      </c>
      <c r="C1403" s="9" t="s">
        <v>1718</v>
      </c>
      <c r="D1403" s="9" t="s">
        <v>652</v>
      </c>
      <c r="E1403" s="9" t="s">
        <v>33</v>
      </c>
      <c r="F1403" s="7" t="s">
        <v>39</v>
      </c>
      <c r="G1403" s="11">
        <v>1</v>
      </c>
      <c r="H1403" s="11">
        <v>1</v>
      </c>
      <c r="I1403" s="14">
        <v>7000.0</v>
      </c>
      <c r="J1403" s="14"/>
      <c r="K1403" s="16">
        <f>IF(I1403&gt;0, J1403/I1403, 0)</f>
        <v>0</v>
      </c>
      <c r="L1403" s="14">
        <v>7000.0</v>
      </c>
      <c r="M1403" s="14"/>
      <c r="N1403" s="14">
        <f>L1403-M1403</f>
        <v>7000</v>
      </c>
      <c r="O1403" s="9" t="s">
        <v>40</v>
      </c>
      <c r="P1403" s="9" t="s">
        <v>41</v>
      </c>
      <c r="Q1403" s="9" t="s">
        <v>42</v>
      </c>
      <c r="R1403" s="7" t="s">
        <v>2131</v>
      </c>
      <c r="S1403" s="7" t="s">
        <v>42</v>
      </c>
    </row>
    <row r="1404" spans="1:19">
      <c r="A1404" s="8">
        <v>1397</v>
      </c>
      <c r="B1404" s="8" t="s">
        <v>1725</v>
      </c>
      <c r="C1404" s="8" t="s">
        <v>1718</v>
      </c>
      <c r="D1404" s="8" t="s">
        <v>652</v>
      </c>
      <c r="E1404" s="8" t="s">
        <v>33</v>
      </c>
      <c r="F1404" s="6" t="s">
        <v>39</v>
      </c>
      <c r="G1404" s="10">
        <v>1</v>
      </c>
      <c r="H1404" s="10">
        <v>1</v>
      </c>
      <c r="I1404" s="13">
        <v>18000.0</v>
      </c>
      <c r="J1404" s="13"/>
      <c r="K1404" s="15">
        <f>IF(I1404&gt;0, J1404/I1404, 0)</f>
        <v>0</v>
      </c>
      <c r="L1404" s="13">
        <v>18000.0</v>
      </c>
      <c r="M1404" s="13"/>
      <c r="N1404" s="13">
        <f>L1404-M1404</f>
        <v>18000</v>
      </c>
      <c r="O1404" s="8" t="s">
        <v>40</v>
      </c>
      <c r="P1404" s="8" t="s">
        <v>41</v>
      </c>
      <c r="Q1404" s="8" t="s">
        <v>42</v>
      </c>
      <c r="R1404" s="6" t="s">
        <v>2170</v>
      </c>
      <c r="S1404" s="6" t="s">
        <v>42</v>
      </c>
    </row>
    <row r="1405" spans="1:19">
      <c r="A1405" s="9">
        <v>1398</v>
      </c>
      <c r="B1405" s="9" t="s">
        <v>1727</v>
      </c>
      <c r="C1405" s="9" t="s">
        <v>1718</v>
      </c>
      <c r="D1405" s="9" t="s">
        <v>652</v>
      </c>
      <c r="E1405" s="9" t="s">
        <v>33</v>
      </c>
      <c r="F1405" s="7" t="s">
        <v>39</v>
      </c>
      <c r="G1405" s="11">
        <v>1</v>
      </c>
      <c r="H1405" s="11">
        <v>1</v>
      </c>
      <c r="I1405" s="14">
        <v>18000.0</v>
      </c>
      <c r="J1405" s="14"/>
      <c r="K1405" s="16">
        <f>IF(I1405&gt;0, J1405/I1405, 0)</f>
        <v>0</v>
      </c>
      <c r="L1405" s="14">
        <v>18000.0</v>
      </c>
      <c r="M1405" s="14"/>
      <c r="N1405" s="14">
        <f>L1405-M1405</f>
        <v>18000</v>
      </c>
      <c r="O1405" s="9" t="s">
        <v>40</v>
      </c>
      <c r="P1405" s="9" t="s">
        <v>41</v>
      </c>
      <c r="Q1405" s="9" t="s">
        <v>42</v>
      </c>
      <c r="R1405" s="7" t="s">
        <v>2169</v>
      </c>
      <c r="S1405" s="7" t="s">
        <v>42</v>
      </c>
    </row>
    <row r="1406" spans="1:19">
      <c r="A1406" s="8">
        <v>1399</v>
      </c>
      <c r="B1406" s="8" t="s">
        <v>1728</v>
      </c>
      <c r="C1406" s="8" t="s">
        <v>1718</v>
      </c>
      <c r="D1406" s="8" t="s">
        <v>652</v>
      </c>
      <c r="E1406" s="8" t="s">
        <v>33</v>
      </c>
      <c r="F1406" s="6" t="s">
        <v>39</v>
      </c>
      <c r="G1406" s="10">
        <v>1</v>
      </c>
      <c r="H1406" s="10">
        <v>1</v>
      </c>
      <c r="I1406" s="13">
        <v>8500.0</v>
      </c>
      <c r="J1406" s="13"/>
      <c r="K1406" s="15">
        <f>IF(I1406&gt;0, J1406/I1406, 0)</f>
        <v>0</v>
      </c>
      <c r="L1406" s="13">
        <v>8500.0</v>
      </c>
      <c r="M1406" s="13"/>
      <c r="N1406" s="13">
        <f>L1406-M1406</f>
        <v>8500</v>
      </c>
      <c r="O1406" s="8" t="s">
        <v>40</v>
      </c>
      <c r="P1406" s="8" t="s">
        <v>41</v>
      </c>
      <c r="Q1406" s="8" t="s">
        <v>42</v>
      </c>
      <c r="R1406" s="6" t="s">
        <v>2099</v>
      </c>
      <c r="S1406" s="6" t="s">
        <v>42</v>
      </c>
    </row>
    <row r="1407" spans="1:19">
      <c r="A1407" s="9">
        <v>1400</v>
      </c>
      <c r="B1407" s="9" t="s">
        <v>1729</v>
      </c>
      <c r="C1407" s="9" t="s">
        <v>1718</v>
      </c>
      <c r="D1407" s="9" t="s">
        <v>652</v>
      </c>
      <c r="E1407" s="9" t="s">
        <v>33</v>
      </c>
      <c r="F1407" s="7" t="s">
        <v>39</v>
      </c>
      <c r="G1407" s="11">
        <v>1</v>
      </c>
      <c r="H1407" s="11">
        <v>3</v>
      </c>
      <c r="I1407" s="14">
        <v>24000.0</v>
      </c>
      <c r="J1407" s="14"/>
      <c r="K1407" s="16">
        <f>IF(I1407&gt;0, J1407/I1407, 0)</f>
        <v>0</v>
      </c>
      <c r="L1407" s="14">
        <v>24000.0</v>
      </c>
      <c r="M1407" s="14"/>
      <c r="N1407" s="14">
        <f>L1407-M1407</f>
        <v>24000</v>
      </c>
      <c r="O1407" s="9" t="s">
        <v>40</v>
      </c>
      <c r="P1407" s="9" t="s">
        <v>41</v>
      </c>
      <c r="Q1407" s="9" t="s">
        <v>42</v>
      </c>
      <c r="R1407" s="7" t="s">
        <v>2215</v>
      </c>
      <c r="S1407" s="7" t="s">
        <v>42</v>
      </c>
    </row>
    <row r="1408" spans="1:19">
      <c r="A1408" s="8">
        <v>1401</v>
      </c>
      <c r="B1408" s="8" t="s">
        <v>1730</v>
      </c>
      <c r="C1408" s="8" t="s">
        <v>1718</v>
      </c>
      <c r="D1408" s="8" t="s">
        <v>652</v>
      </c>
      <c r="E1408" s="8" t="s">
        <v>33</v>
      </c>
      <c r="F1408" s="6" t="s">
        <v>39</v>
      </c>
      <c r="G1408" s="10">
        <v>1</v>
      </c>
      <c r="H1408" s="10">
        <v>2</v>
      </c>
      <c r="I1408" s="13">
        <v>33000.0</v>
      </c>
      <c r="J1408" s="13"/>
      <c r="K1408" s="15">
        <f>IF(I1408&gt;0, J1408/I1408, 0)</f>
        <v>0</v>
      </c>
      <c r="L1408" s="13">
        <v>33000.0</v>
      </c>
      <c r="M1408" s="13"/>
      <c r="N1408" s="13">
        <f>L1408-M1408</f>
        <v>33000</v>
      </c>
      <c r="O1408" s="8" t="s">
        <v>40</v>
      </c>
      <c r="P1408" s="8" t="s">
        <v>41</v>
      </c>
      <c r="Q1408" s="8" t="s">
        <v>42</v>
      </c>
      <c r="R1408" s="6" t="s">
        <v>2262</v>
      </c>
      <c r="S1408" s="6" t="s">
        <v>42</v>
      </c>
    </row>
    <row r="1409" spans="1:19">
      <c r="A1409" s="9">
        <v>1402</v>
      </c>
      <c r="B1409" s="9" t="s">
        <v>1731</v>
      </c>
      <c r="C1409" s="9" t="s">
        <v>1718</v>
      </c>
      <c r="D1409" s="9" t="s">
        <v>652</v>
      </c>
      <c r="E1409" s="9" t="s">
        <v>33</v>
      </c>
      <c r="F1409" s="7" t="s">
        <v>39</v>
      </c>
      <c r="G1409" s="11">
        <v>1</v>
      </c>
      <c r="H1409" s="11">
        <v>2</v>
      </c>
      <c r="I1409" s="14">
        <v>17000.0</v>
      </c>
      <c r="J1409" s="14"/>
      <c r="K1409" s="16">
        <f>IF(I1409&gt;0, J1409/I1409, 0)</f>
        <v>0</v>
      </c>
      <c r="L1409" s="14">
        <v>17000.0</v>
      </c>
      <c r="M1409" s="14"/>
      <c r="N1409" s="14">
        <f>L1409-M1409</f>
        <v>17000</v>
      </c>
      <c r="O1409" s="9" t="s">
        <v>40</v>
      </c>
      <c r="P1409" s="9" t="s">
        <v>41</v>
      </c>
      <c r="Q1409" s="9" t="s">
        <v>42</v>
      </c>
      <c r="R1409" s="7" t="s">
        <v>2237</v>
      </c>
      <c r="S1409" s="7" t="s">
        <v>42</v>
      </c>
    </row>
    <row r="1410" spans="1:19">
      <c r="A1410" s="8">
        <v>1403</v>
      </c>
      <c r="B1410" s="8" t="s">
        <v>1732</v>
      </c>
      <c r="C1410" s="8" t="s">
        <v>1718</v>
      </c>
      <c r="D1410" s="8" t="s">
        <v>652</v>
      </c>
      <c r="E1410" s="8" t="s">
        <v>33</v>
      </c>
      <c r="F1410" s="6" t="s">
        <v>39</v>
      </c>
      <c r="G1410" s="10">
        <v>1</v>
      </c>
      <c r="H1410" s="10">
        <v>2</v>
      </c>
      <c r="I1410" s="13">
        <v>18000.0</v>
      </c>
      <c r="J1410" s="13"/>
      <c r="K1410" s="15">
        <f>IF(I1410&gt;0, J1410/I1410, 0)</f>
        <v>0</v>
      </c>
      <c r="L1410" s="13">
        <v>18000.0</v>
      </c>
      <c r="M1410" s="13"/>
      <c r="N1410" s="13">
        <f>L1410-M1410</f>
        <v>18000</v>
      </c>
      <c r="O1410" s="8" t="s">
        <v>40</v>
      </c>
      <c r="P1410" s="8" t="s">
        <v>41</v>
      </c>
      <c r="Q1410" s="8" t="s">
        <v>42</v>
      </c>
      <c r="R1410" s="6" t="s">
        <v>2183</v>
      </c>
      <c r="S1410" s="6" t="s">
        <v>42</v>
      </c>
    </row>
    <row r="1411" spans="1:19">
      <c r="A1411" s="9">
        <v>1404</v>
      </c>
      <c r="B1411" s="9" t="s">
        <v>1733</v>
      </c>
      <c r="C1411" s="9" t="s">
        <v>1718</v>
      </c>
      <c r="D1411" s="9" t="s">
        <v>652</v>
      </c>
      <c r="E1411" s="9" t="s">
        <v>33</v>
      </c>
      <c r="F1411" s="7" t="s">
        <v>39</v>
      </c>
      <c r="G1411" s="11">
        <v>1</v>
      </c>
      <c r="H1411" s="11">
        <v>3</v>
      </c>
      <c r="I1411" s="14">
        <v>21000.0</v>
      </c>
      <c r="J1411" s="14"/>
      <c r="K1411" s="16">
        <f>IF(I1411&gt;0, J1411/I1411, 0)</f>
        <v>0</v>
      </c>
      <c r="L1411" s="14">
        <v>21000.0</v>
      </c>
      <c r="M1411" s="14"/>
      <c r="N1411" s="14">
        <f>L1411-M1411</f>
        <v>21000</v>
      </c>
      <c r="O1411" s="9" t="s">
        <v>40</v>
      </c>
      <c r="P1411" s="9" t="s">
        <v>41</v>
      </c>
      <c r="Q1411" s="9" t="s">
        <v>42</v>
      </c>
      <c r="R1411" s="7" t="s">
        <v>2283</v>
      </c>
      <c r="S1411" s="7" t="s">
        <v>42</v>
      </c>
    </row>
    <row r="1412" spans="1:19">
      <c r="A1412" s="8">
        <v>1405</v>
      </c>
      <c r="B1412" s="8" t="s">
        <v>1734</v>
      </c>
      <c r="C1412" s="8" t="s">
        <v>1735</v>
      </c>
      <c r="D1412" s="8" t="s">
        <v>652</v>
      </c>
      <c r="E1412" s="8" t="s">
        <v>33</v>
      </c>
      <c r="F1412" s="6" t="s">
        <v>39</v>
      </c>
      <c r="G1412" s="10">
        <v>1</v>
      </c>
      <c r="H1412" s="10">
        <v>2</v>
      </c>
      <c r="I1412" s="13">
        <v>16000.0</v>
      </c>
      <c r="J1412" s="13"/>
      <c r="K1412" s="15">
        <f>IF(I1412&gt;0, J1412/I1412, 0)</f>
        <v>0</v>
      </c>
      <c r="L1412" s="13">
        <v>16000.0</v>
      </c>
      <c r="M1412" s="13"/>
      <c r="N1412" s="13">
        <f>L1412-M1412</f>
        <v>16000</v>
      </c>
      <c r="O1412" s="8" t="s">
        <v>40</v>
      </c>
      <c r="P1412" s="8" t="s">
        <v>41</v>
      </c>
      <c r="Q1412" s="8" t="s">
        <v>42</v>
      </c>
      <c r="R1412" s="6" t="s">
        <v>2184</v>
      </c>
      <c r="S1412" s="6" t="s">
        <v>42</v>
      </c>
    </row>
    <row r="1413" spans="1:19">
      <c r="A1413" s="9">
        <v>1406</v>
      </c>
      <c r="B1413" s="9" t="s">
        <v>1736</v>
      </c>
      <c r="C1413" s="9" t="s">
        <v>1735</v>
      </c>
      <c r="D1413" s="9" t="s">
        <v>652</v>
      </c>
      <c r="E1413" s="9" t="s">
        <v>68</v>
      </c>
      <c r="F1413" s="7" t="s">
        <v>39</v>
      </c>
      <c r="G1413" s="11">
        <v>1</v>
      </c>
      <c r="H1413" s="11">
        <v>1</v>
      </c>
      <c r="I1413" s="14">
        <v>9000.0</v>
      </c>
      <c r="J1413" s="14"/>
      <c r="K1413" s="16">
        <f>IF(I1413&gt;0, J1413/I1413, 0)</f>
        <v>0</v>
      </c>
      <c r="L1413" s="14">
        <v>9000.0</v>
      </c>
      <c r="M1413" s="14"/>
      <c r="N1413" s="14">
        <f>L1413-M1413</f>
        <v>9000</v>
      </c>
      <c r="O1413" s="9" t="s">
        <v>40</v>
      </c>
      <c r="P1413" s="9" t="s">
        <v>71</v>
      </c>
      <c r="Q1413" s="9" t="s">
        <v>42</v>
      </c>
      <c r="R1413" s="7" t="s">
        <v>2284</v>
      </c>
      <c r="S1413" s="7" t="s">
        <v>42</v>
      </c>
    </row>
    <row r="1414" spans="1:19">
      <c r="A1414" s="8">
        <v>1407</v>
      </c>
      <c r="B1414" s="8" t="s">
        <v>1739</v>
      </c>
      <c r="C1414" s="8" t="s">
        <v>1735</v>
      </c>
      <c r="D1414" s="8" t="s">
        <v>652</v>
      </c>
      <c r="E1414" s="8" t="s">
        <v>33</v>
      </c>
      <c r="F1414" s="6" t="s">
        <v>39</v>
      </c>
      <c r="G1414" s="10">
        <v>1</v>
      </c>
      <c r="H1414" s="10">
        <v>1</v>
      </c>
      <c r="I1414" s="13">
        <v>17000.0</v>
      </c>
      <c r="J1414" s="13"/>
      <c r="K1414" s="15">
        <f>IF(I1414&gt;0, J1414/I1414, 0)</f>
        <v>0</v>
      </c>
      <c r="L1414" s="13">
        <v>17000.0</v>
      </c>
      <c r="M1414" s="13"/>
      <c r="N1414" s="13">
        <f>L1414-M1414</f>
        <v>17000</v>
      </c>
      <c r="O1414" s="8" t="s">
        <v>40</v>
      </c>
      <c r="P1414" s="8" t="s">
        <v>41</v>
      </c>
      <c r="Q1414" s="8" t="s">
        <v>42</v>
      </c>
      <c r="R1414" s="6" t="s">
        <v>2132</v>
      </c>
      <c r="S1414" s="6" t="s">
        <v>42</v>
      </c>
    </row>
    <row r="1415" spans="1:19">
      <c r="A1415" s="9">
        <v>1408</v>
      </c>
      <c r="B1415" s="9" t="s">
        <v>1740</v>
      </c>
      <c r="C1415" s="9" t="s">
        <v>1735</v>
      </c>
      <c r="D1415" s="9" t="s">
        <v>652</v>
      </c>
      <c r="E1415" s="9" t="s">
        <v>33</v>
      </c>
      <c r="F1415" s="7" t="s">
        <v>39</v>
      </c>
      <c r="G1415" s="11">
        <v>1</v>
      </c>
      <c r="H1415" s="11">
        <v>2</v>
      </c>
      <c r="I1415" s="14">
        <v>34000.0</v>
      </c>
      <c r="J1415" s="14"/>
      <c r="K1415" s="16">
        <f>IF(I1415&gt;0, J1415/I1415, 0)</f>
        <v>0</v>
      </c>
      <c r="L1415" s="14">
        <v>34000.0</v>
      </c>
      <c r="M1415" s="14"/>
      <c r="N1415" s="14">
        <f>L1415-M1415</f>
        <v>34000</v>
      </c>
      <c r="O1415" s="9" t="s">
        <v>40</v>
      </c>
      <c r="P1415" s="9" t="s">
        <v>41</v>
      </c>
      <c r="Q1415" s="9" t="s">
        <v>42</v>
      </c>
      <c r="R1415" s="7" t="s">
        <v>2272</v>
      </c>
      <c r="S1415" s="7" t="s">
        <v>42</v>
      </c>
    </row>
    <row r="1416" spans="1:19">
      <c r="A1416" s="8">
        <v>1409</v>
      </c>
      <c r="B1416" s="8" t="s">
        <v>1741</v>
      </c>
      <c r="C1416" s="8" t="s">
        <v>1735</v>
      </c>
      <c r="D1416" s="8" t="s">
        <v>652</v>
      </c>
      <c r="E1416" s="8" t="s">
        <v>33</v>
      </c>
      <c r="F1416" s="6" t="s">
        <v>39</v>
      </c>
      <c r="G1416" s="10">
        <v>1</v>
      </c>
      <c r="H1416" s="10">
        <v>1</v>
      </c>
      <c r="I1416" s="13">
        <v>17000.0</v>
      </c>
      <c r="J1416" s="13"/>
      <c r="K1416" s="15">
        <f>IF(I1416&gt;0, J1416/I1416, 0)</f>
        <v>0</v>
      </c>
      <c r="L1416" s="13">
        <v>17000.0</v>
      </c>
      <c r="M1416" s="13"/>
      <c r="N1416" s="13">
        <f>L1416-M1416</f>
        <v>17000</v>
      </c>
      <c r="O1416" s="8" t="s">
        <v>40</v>
      </c>
      <c r="P1416" s="8" t="s">
        <v>41</v>
      </c>
      <c r="Q1416" s="8" t="s">
        <v>42</v>
      </c>
      <c r="R1416" s="6" t="s">
        <v>2094</v>
      </c>
      <c r="S1416" s="6" t="s">
        <v>42</v>
      </c>
    </row>
    <row r="1417" spans="1:19">
      <c r="A1417" s="9">
        <v>1410</v>
      </c>
      <c r="B1417" s="9" t="s">
        <v>1742</v>
      </c>
      <c r="C1417" s="9" t="s">
        <v>1735</v>
      </c>
      <c r="D1417" s="9" t="s">
        <v>652</v>
      </c>
      <c r="E1417" s="9" t="s">
        <v>33</v>
      </c>
      <c r="F1417" s="7" t="s">
        <v>39</v>
      </c>
      <c r="G1417" s="11">
        <v>1</v>
      </c>
      <c r="H1417" s="11">
        <v>2</v>
      </c>
      <c r="I1417" s="14">
        <v>16000.0</v>
      </c>
      <c r="J1417" s="14"/>
      <c r="K1417" s="16">
        <f>IF(I1417&gt;0, J1417/I1417, 0)</f>
        <v>0</v>
      </c>
      <c r="L1417" s="14">
        <v>16000.0</v>
      </c>
      <c r="M1417" s="14"/>
      <c r="N1417" s="14">
        <f>L1417-M1417</f>
        <v>16000</v>
      </c>
      <c r="O1417" s="9" t="s">
        <v>40</v>
      </c>
      <c r="P1417" s="9" t="s">
        <v>41</v>
      </c>
      <c r="Q1417" s="9" t="s">
        <v>42</v>
      </c>
      <c r="R1417" s="7" t="s">
        <v>2285</v>
      </c>
      <c r="S1417" s="7" t="s">
        <v>42</v>
      </c>
    </row>
    <row r="1418" spans="1:19">
      <c r="A1418" s="8">
        <v>1411</v>
      </c>
      <c r="B1418" s="8" t="s">
        <v>1743</v>
      </c>
      <c r="C1418" s="8" t="s">
        <v>1735</v>
      </c>
      <c r="D1418" s="8" t="s">
        <v>652</v>
      </c>
      <c r="E1418" s="8" t="s">
        <v>33</v>
      </c>
      <c r="F1418" s="6" t="s">
        <v>39</v>
      </c>
      <c r="G1418" s="10">
        <v>1</v>
      </c>
      <c r="H1418" s="10">
        <v>1</v>
      </c>
      <c r="I1418" s="13">
        <v>8000.0</v>
      </c>
      <c r="J1418" s="13"/>
      <c r="K1418" s="15">
        <f>IF(I1418&gt;0, J1418/I1418, 0)</f>
        <v>0</v>
      </c>
      <c r="L1418" s="13">
        <v>8000.0</v>
      </c>
      <c r="M1418" s="13"/>
      <c r="N1418" s="13">
        <f>L1418-M1418</f>
        <v>8000</v>
      </c>
      <c r="O1418" s="8" t="s">
        <v>40</v>
      </c>
      <c r="P1418" s="8" t="s">
        <v>41</v>
      </c>
      <c r="Q1418" s="8" t="s">
        <v>42</v>
      </c>
      <c r="R1418" s="6" t="s">
        <v>2121</v>
      </c>
      <c r="S1418" s="6" t="s">
        <v>42</v>
      </c>
    </row>
    <row r="1419" spans="1:19">
      <c r="A1419" s="9">
        <v>1412</v>
      </c>
      <c r="B1419" s="9" t="s">
        <v>1744</v>
      </c>
      <c r="C1419" s="9" t="s">
        <v>1735</v>
      </c>
      <c r="D1419" s="9" t="s">
        <v>652</v>
      </c>
      <c r="E1419" s="9" t="s">
        <v>33</v>
      </c>
      <c r="F1419" s="7" t="s">
        <v>39</v>
      </c>
      <c r="G1419" s="11">
        <v>1</v>
      </c>
      <c r="H1419" s="11">
        <v>2</v>
      </c>
      <c r="I1419" s="14">
        <v>16000.0</v>
      </c>
      <c r="J1419" s="14"/>
      <c r="K1419" s="16">
        <f>IF(I1419&gt;0, J1419/I1419, 0)</f>
        <v>0</v>
      </c>
      <c r="L1419" s="14">
        <v>16000.0</v>
      </c>
      <c r="M1419" s="14"/>
      <c r="N1419" s="14">
        <f>L1419-M1419</f>
        <v>16000</v>
      </c>
      <c r="O1419" s="9" t="s">
        <v>40</v>
      </c>
      <c r="P1419" s="9" t="s">
        <v>41</v>
      </c>
      <c r="Q1419" s="9" t="s">
        <v>42</v>
      </c>
      <c r="R1419" s="7" t="s">
        <v>2236</v>
      </c>
      <c r="S1419" s="7" t="s">
        <v>42</v>
      </c>
    </row>
    <row r="1420" spans="1:19">
      <c r="A1420" s="8">
        <v>1413</v>
      </c>
      <c r="B1420" s="8" t="s">
        <v>1745</v>
      </c>
      <c r="C1420" s="8" t="s">
        <v>1735</v>
      </c>
      <c r="D1420" s="8" t="s">
        <v>652</v>
      </c>
      <c r="E1420" s="8" t="s">
        <v>33</v>
      </c>
      <c r="F1420" s="6" t="s">
        <v>39</v>
      </c>
      <c r="G1420" s="10">
        <v>1</v>
      </c>
      <c r="H1420" s="10">
        <v>2</v>
      </c>
      <c r="I1420" s="13">
        <v>17800.0</v>
      </c>
      <c r="J1420" s="13"/>
      <c r="K1420" s="15">
        <f>IF(I1420&gt;0, J1420/I1420, 0)</f>
        <v>0</v>
      </c>
      <c r="L1420" s="13">
        <v>17800.0</v>
      </c>
      <c r="M1420" s="13"/>
      <c r="N1420" s="13">
        <f>L1420-M1420</f>
        <v>17800</v>
      </c>
      <c r="O1420" s="8" t="s">
        <v>40</v>
      </c>
      <c r="P1420" s="8" t="s">
        <v>41</v>
      </c>
      <c r="Q1420" s="8" t="s">
        <v>42</v>
      </c>
      <c r="R1420" s="6" t="s">
        <v>2236</v>
      </c>
      <c r="S1420" s="6" t="s">
        <v>42</v>
      </c>
    </row>
    <row r="1421" spans="1:19">
      <c r="A1421" s="9">
        <v>1414</v>
      </c>
      <c r="B1421" s="9" t="s">
        <v>1746</v>
      </c>
      <c r="C1421" s="9" t="s">
        <v>1735</v>
      </c>
      <c r="D1421" s="9" t="s">
        <v>652</v>
      </c>
      <c r="E1421" s="9" t="s">
        <v>33</v>
      </c>
      <c r="F1421" s="7" t="s">
        <v>39</v>
      </c>
      <c r="G1421" s="11">
        <v>1</v>
      </c>
      <c r="H1421" s="11">
        <v>3</v>
      </c>
      <c r="I1421" s="14">
        <v>21000.0</v>
      </c>
      <c r="J1421" s="14"/>
      <c r="K1421" s="16">
        <f>IF(I1421&gt;0, J1421/I1421, 0)</f>
        <v>0</v>
      </c>
      <c r="L1421" s="14">
        <v>21000.0</v>
      </c>
      <c r="M1421" s="14"/>
      <c r="N1421" s="14">
        <f>L1421-M1421</f>
        <v>21000</v>
      </c>
      <c r="O1421" s="9" t="s">
        <v>40</v>
      </c>
      <c r="P1421" s="9" t="s">
        <v>41</v>
      </c>
      <c r="Q1421" s="9" t="s">
        <v>42</v>
      </c>
      <c r="R1421" s="7" t="s">
        <v>2235</v>
      </c>
      <c r="S1421" s="7" t="s">
        <v>42</v>
      </c>
    </row>
    <row r="1422" spans="1:19">
      <c r="A1422" s="8">
        <v>1415</v>
      </c>
      <c r="B1422" s="8" t="s">
        <v>1747</v>
      </c>
      <c r="C1422" s="8" t="s">
        <v>1735</v>
      </c>
      <c r="D1422" s="8" t="s">
        <v>652</v>
      </c>
      <c r="E1422" s="8" t="s">
        <v>68</v>
      </c>
      <c r="F1422" s="6" t="s">
        <v>39</v>
      </c>
      <c r="G1422" s="10">
        <v>1</v>
      </c>
      <c r="H1422" s="10">
        <v>1</v>
      </c>
      <c r="I1422" s="13">
        <v>8000.0</v>
      </c>
      <c r="J1422" s="13"/>
      <c r="K1422" s="15">
        <f>IF(I1422&gt;0, J1422/I1422, 0)</f>
        <v>0</v>
      </c>
      <c r="L1422" s="13">
        <v>8000.0</v>
      </c>
      <c r="M1422" s="13"/>
      <c r="N1422" s="13">
        <f>L1422-M1422</f>
        <v>8000</v>
      </c>
      <c r="O1422" s="8" t="s">
        <v>40</v>
      </c>
      <c r="P1422" s="8" t="s">
        <v>71</v>
      </c>
      <c r="Q1422" s="8" t="s">
        <v>42</v>
      </c>
      <c r="R1422" s="6" t="s">
        <v>2191</v>
      </c>
      <c r="S1422" s="6" t="s">
        <v>42</v>
      </c>
    </row>
    <row r="1423" spans="1:19">
      <c r="A1423" s="9">
        <v>1416</v>
      </c>
      <c r="B1423" s="9" t="s">
        <v>1748</v>
      </c>
      <c r="C1423" s="9" t="s">
        <v>1735</v>
      </c>
      <c r="D1423" s="9" t="s">
        <v>652</v>
      </c>
      <c r="E1423" s="9" t="s">
        <v>33</v>
      </c>
      <c r="F1423" s="7" t="s">
        <v>39</v>
      </c>
      <c r="G1423" s="11">
        <v>1</v>
      </c>
      <c r="H1423" s="11">
        <v>1</v>
      </c>
      <c r="I1423" s="14">
        <v>17000.0</v>
      </c>
      <c r="J1423" s="14"/>
      <c r="K1423" s="16">
        <f>IF(I1423&gt;0, J1423/I1423, 0)</f>
        <v>0</v>
      </c>
      <c r="L1423" s="14">
        <v>17000.0</v>
      </c>
      <c r="M1423" s="14"/>
      <c r="N1423" s="14">
        <f>L1423-M1423</f>
        <v>17000</v>
      </c>
      <c r="O1423" s="9" t="s">
        <v>40</v>
      </c>
      <c r="P1423" s="9" t="s">
        <v>41</v>
      </c>
      <c r="Q1423" s="9" t="s">
        <v>42</v>
      </c>
      <c r="R1423" s="7" t="s">
        <v>2127</v>
      </c>
      <c r="S1423" s="7" t="s">
        <v>42</v>
      </c>
    </row>
    <row r="1424" spans="1:19">
      <c r="A1424" s="8">
        <v>1417</v>
      </c>
      <c r="B1424" s="8" t="s">
        <v>1749</v>
      </c>
      <c r="C1424" s="8" t="s">
        <v>1735</v>
      </c>
      <c r="D1424" s="8" t="s">
        <v>652</v>
      </c>
      <c r="E1424" s="8" t="s">
        <v>33</v>
      </c>
      <c r="F1424" s="6" t="s">
        <v>39</v>
      </c>
      <c r="G1424" s="10">
        <v>1</v>
      </c>
      <c r="H1424" s="10">
        <v>1</v>
      </c>
      <c r="I1424" s="13">
        <v>18000.0</v>
      </c>
      <c r="J1424" s="13"/>
      <c r="K1424" s="15">
        <f>IF(I1424&gt;0, J1424/I1424, 0)</f>
        <v>0</v>
      </c>
      <c r="L1424" s="13">
        <v>18000.0</v>
      </c>
      <c r="M1424" s="13"/>
      <c r="N1424" s="13">
        <f>L1424-M1424</f>
        <v>18000</v>
      </c>
      <c r="O1424" s="8" t="s">
        <v>40</v>
      </c>
      <c r="P1424" s="8" t="s">
        <v>41</v>
      </c>
      <c r="Q1424" s="8" t="s">
        <v>42</v>
      </c>
      <c r="R1424" s="6" t="s">
        <v>2166</v>
      </c>
      <c r="S1424" s="6" t="s">
        <v>42</v>
      </c>
    </row>
    <row r="1425" spans="1:19">
      <c r="A1425" s="9">
        <v>1418</v>
      </c>
      <c r="B1425" s="9" t="s">
        <v>1750</v>
      </c>
      <c r="C1425" s="9" t="s">
        <v>1735</v>
      </c>
      <c r="D1425" s="9" t="s">
        <v>652</v>
      </c>
      <c r="E1425" s="9" t="s">
        <v>33</v>
      </c>
      <c r="F1425" s="7" t="s">
        <v>39</v>
      </c>
      <c r="G1425" s="11">
        <v>1</v>
      </c>
      <c r="H1425" s="11">
        <v>1</v>
      </c>
      <c r="I1425" s="14">
        <v>9000.0</v>
      </c>
      <c r="J1425" s="14"/>
      <c r="K1425" s="16">
        <f>IF(I1425&gt;0, J1425/I1425, 0)</f>
        <v>0</v>
      </c>
      <c r="L1425" s="14">
        <v>9000.0</v>
      </c>
      <c r="M1425" s="14"/>
      <c r="N1425" s="14">
        <f>L1425-M1425</f>
        <v>9000</v>
      </c>
      <c r="O1425" s="9" t="s">
        <v>40</v>
      </c>
      <c r="P1425" s="9" t="s">
        <v>41</v>
      </c>
      <c r="Q1425" s="9" t="s">
        <v>42</v>
      </c>
      <c r="R1425" s="7" t="s">
        <v>2116</v>
      </c>
      <c r="S1425" s="7" t="s">
        <v>42</v>
      </c>
    </row>
    <row r="1426" spans="1:19">
      <c r="A1426" s="8">
        <v>1419</v>
      </c>
      <c r="B1426" s="8" t="s">
        <v>1751</v>
      </c>
      <c r="C1426" s="8" t="s">
        <v>1735</v>
      </c>
      <c r="D1426" s="8" t="s">
        <v>652</v>
      </c>
      <c r="E1426" s="8" t="s">
        <v>33</v>
      </c>
      <c r="F1426" s="6" t="s">
        <v>39</v>
      </c>
      <c r="G1426" s="10">
        <v>1</v>
      </c>
      <c r="H1426" s="10">
        <v>2</v>
      </c>
      <c r="I1426" s="13">
        <v>16000.0</v>
      </c>
      <c r="J1426" s="13"/>
      <c r="K1426" s="15">
        <f>IF(I1426&gt;0, J1426/I1426, 0)</f>
        <v>0</v>
      </c>
      <c r="L1426" s="13">
        <v>16000.0</v>
      </c>
      <c r="M1426" s="13"/>
      <c r="N1426" s="13">
        <f>L1426-M1426</f>
        <v>16000</v>
      </c>
      <c r="O1426" s="8" t="s">
        <v>40</v>
      </c>
      <c r="P1426" s="8" t="s">
        <v>41</v>
      </c>
      <c r="Q1426" s="8" t="s">
        <v>42</v>
      </c>
      <c r="R1426" s="6" t="s">
        <v>2209</v>
      </c>
      <c r="S1426" s="6" t="s">
        <v>42</v>
      </c>
    </row>
    <row r="1427" spans="1:19">
      <c r="A1427" s="9">
        <v>1420</v>
      </c>
      <c r="B1427" s="9" t="s">
        <v>1752</v>
      </c>
      <c r="C1427" s="9" t="s">
        <v>1735</v>
      </c>
      <c r="D1427" s="9" t="s">
        <v>652</v>
      </c>
      <c r="E1427" s="9" t="s">
        <v>33</v>
      </c>
      <c r="F1427" s="7" t="s">
        <v>39</v>
      </c>
      <c r="G1427" s="11">
        <v>1</v>
      </c>
      <c r="H1427" s="11">
        <v>2</v>
      </c>
      <c r="I1427" s="14">
        <v>14000.0</v>
      </c>
      <c r="J1427" s="14"/>
      <c r="K1427" s="16">
        <f>IF(I1427&gt;0, J1427/I1427, 0)</f>
        <v>0</v>
      </c>
      <c r="L1427" s="14">
        <v>14000.0</v>
      </c>
      <c r="M1427" s="14"/>
      <c r="N1427" s="14">
        <f>L1427-M1427</f>
        <v>14000</v>
      </c>
      <c r="O1427" s="9" t="s">
        <v>40</v>
      </c>
      <c r="P1427" s="9" t="s">
        <v>41</v>
      </c>
      <c r="Q1427" s="9" t="s">
        <v>42</v>
      </c>
      <c r="R1427" s="7" t="s">
        <v>2192</v>
      </c>
      <c r="S1427" s="7" t="s">
        <v>42</v>
      </c>
    </row>
    <row r="1428" spans="1:19">
      <c r="A1428" s="8">
        <v>1421</v>
      </c>
      <c r="B1428" s="8" t="s">
        <v>1753</v>
      </c>
      <c r="C1428" s="8" t="s">
        <v>1735</v>
      </c>
      <c r="D1428" s="8" t="s">
        <v>652</v>
      </c>
      <c r="E1428" s="8" t="s">
        <v>33</v>
      </c>
      <c r="F1428" s="6" t="s">
        <v>39</v>
      </c>
      <c r="G1428" s="10">
        <v>1</v>
      </c>
      <c r="H1428" s="10">
        <v>1</v>
      </c>
      <c r="I1428" s="13">
        <v>17000.0</v>
      </c>
      <c r="J1428" s="13"/>
      <c r="K1428" s="15">
        <f>IF(I1428&gt;0, J1428/I1428, 0)</f>
        <v>0</v>
      </c>
      <c r="L1428" s="13">
        <v>17000.0</v>
      </c>
      <c r="M1428" s="13"/>
      <c r="N1428" s="13">
        <f>L1428-M1428</f>
        <v>17000</v>
      </c>
      <c r="O1428" s="8" t="s">
        <v>40</v>
      </c>
      <c r="P1428" s="8" t="s">
        <v>41</v>
      </c>
      <c r="Q1428" s="8" t="s">
        <v>42</v>
      </c>
      <c r="R1428" s="6" t="s">
        <v>2132</v>
      </c>
      <c r="S1428" s="6" t="s">
        <v>42</v>
      </c>
    </row>
    <row r="1429" spans="1:19">
      <c r="A1429" s="9">
        <v>1422</v>
      </c>
      <c r="B1429" s="9" t="s">
        <v>1754</v>
      </c>
      <c r="C1429" s="9" t="s">
        <v>1735</v>
      </c>
      <c r="D1429" s="9" t="s">
        <v>652</v>
      </c>
      <c r="E1429" s="9" t="s">
        <v>33</v>
      </c>
      <c r="F1429" s="7" t="s">
        <v>39</v>
      </c>
      <c r="G1429" s="11">
        <v>1</v>
      </c>
      <c r="H1429" s="11">
        <v>2</v>
      </c>
      <c r="I1429" s="14">
        <v>16000.0</v>
      </c>
      <c r="J1429" s="14"/>
      <c r="K1429" s="16">
        <f>IF(I1429&gt;0, J1429/I1429, 0)</f>
        <v>0</v>
      </c>
      <c r="L1429" s="14">
        <v>16000.0</v>
      </c>
      <c r="M1429" s="14"/>
      <c r="N1429" s="14">
        <f>L1429-M1429</f>
        <v>16000</v>
      </c>
      <c r="O1429" s="9" t="s">
        <v>40</v>
      </c>
      <c r="P1429" s="9" t="s">
        <v>41</v>
      </c>
      <c r="Q1429" s="9" t="s">
        <v>42</v>
      </c>
      <c r="R1429" s="7" t="s">
        <v>2147</v>
      </c>
      <c r="S1429" s="7" t="s">
        <v>42</v>
      </c>
    </row>
    <row r="1430" spans="1:19">
      <c r="A1430" s="8">
        <v>1423</v>
      </c>
      <c r="B1430" s="8" t="s">
        <v>1755</v>
      </c>
      <c r="C1430" s="8" t="s">
        <v>1735</v>
      </c>
      <c r="D1430" s="8" t="s">
        <v>652</v>
      </c>
      <c r="E1430" s="8" t="s">
        <v>33</v>
      </c>
      <c r="F1430" s="6" t="s">
        <v>39</v>
      </c>
      <c r="G1430" s="10">
        <v>1</v>
      </c>
      <c r="H1430" s="10">
        <v>1</v>
      </c>
      <c r="I1430" s="13">
        <v>18000.0</v>
      </c>
      <c r="J1430" s="13"/>
      <c r="K1430" s="15">
        <f>IF(I1430&gt;0, J1430/I1430, 0)</f>
        <v>0</v>
      </c>
      <c r="L1430" s="13">
        <v>18000.0</v>
      </c>
      <c r="M1430" s="13"/>
      <c r="N1430" s="13">
        <f>L1430-M1430</f>
        <v>18000</v>
      </c>
      <c r="O1430" s="8" t="s">
        <v>40</v>
      </c>
      <c r="P1430" s="8" t="s">
        <v>41</v>
      </c>
      <c r="Q1430" s="8" t="s">
        <v>42</v>
      </c>
      <c r="R1430" s="6" t="s">
        <v>2170</v>
      </c>
      <c r="S1430" s="6" t="s">
        <v>42</v>
      </c>
    </row>
    <row r="1431" spans="1:19">
      <c r="A1431" s="9">
        <v>1424</v>
      </c>
      <c r="B1431" s="9" t="s">
        <v>1756</v>
      </c>
      <c r="C1431" s="9" t="s">
        <v>1735</v>
      </c>
      <c r="D1431" s="9" t="s">
        <v>652</v>
      </c>
      <c r="E1431" s="9" t="s">
        <v>33</v>
      </c>
      <c r="F1431" s="7" t="s">
        <v>39</v>
      </c>
      <c r="G1431" s="11">
        <v>1</v>
      </c>
      <c r="H1431" s="11">
        <v>1</v>
      </c>
      <c r="I1431" s="14">
        <v>7000.0</v>
      </c>
      <c r="J1431" s="14"/>
      <c r="K1431" s="16">
        <f>IF(I1431&gt;0, J1431/I1431, 0)</f>
        <v>0</v>
      </c>
      <c r="L1431" s="14">
        <v>7000.0</v>
      </c>
      <c r="M1431" s="14"/>
      <c r="N1431" s="14">
        <f>L1431-M1431</f>
        <v>7000</v>
      </c>
      <c r="O1431" s="9" t="s">
        <v>40</v>
      </c>
      <c r="P1431" s="9" t="s">
        <v>41</v>
      </c>
      <c r="Q1431" s="9" t="s">
        <v>42</v>
      </c>
      <c r="R1431" s="7" t="s">
        <v>2194</v>
      </c>
      <c r="S1431" s="7" t="s">
        <v>42</v>
      </c>
    </row>
    <row r="1432" spans="1:19">
      <c r="A1432" s="8">
        <v>1425</v>
      </c>
      <c r="B1432" s="8" t="s">
        <v>1757</v>
      </c>
      <c r="C1432" s="8" t="s">
        <v>1735</v>
      </c>
      <c r="D1432" s="8" t="s">
        <v>652</v>
      </c>
      <c r="E1432" s="8" t="s">
        <v>33</v>
      </c>
      <c r="F1432" s="6" t="s">
        <v>39</v>
      </c>
      <c r="G1432" s="10">
        <v>1</v>
      </c>
      <c r="H1432" s="10">
        <v>1</v>
      </c>
      <c r="I1432" s="13">
        <v>8000.0</v>
      </c>
      <c r="J1432" s="13"/>
      <c r="K1432" s="15">
        <f>IF(I1432&gt;0, J1432/I1432, 0)</f>
        <v>0</v>
      </c>
      <c r="L1432" s="13">
        <v>8000.0</v>
      </c>
      <c r="M1432" s="13"/>
      <c r="N1432" s="13">
        <f>L1432-M1432</f>
        <v>8000</v>
      </c>
      <c r="O1432" s="8" t="s">
        <v>40</v>
      </c>
      <c r="P1432" s="8" t="s">
        <v>41</v>
      </c>
      <c r="Q1432" s="8" t="s">
        <v>42</v>
      </c>
      <c r="R1432" s="6" t="s">
        <v>2189</v>
      </c>
      <c r="S1432" s="6" t="s">
        <v>42</v>
      </c>
    </row>
    <row r="1433" spans="1:19">
      <c r="A1433" s="9">
        <v>1426</v>
      </c>
      <c r="B1433" s="9" t="s">
        <v>1758</v>
      </c>
      <c r="C1433" s="9" t="s">
        <v>1735</v>
      </c>
      <c r="D1433" s="9" t="s">
        <v>652</v>
      </c>
      <c r="E1433" s="9" t="s">
        <v>33</v>
      </c>
      <c r="F1433" s="7" t="s">
        <v>39</v>
      </c>
      <c r="G1433" s="11">
        <v>1</v>
      </c>
      <c r="H1433" s="11">
        <v>1</v>
      </c>
      <c r="I1433" s="14">
        <v>7000.0</v>
      </c>
      <c r="J1433" s="14"/>
      <c r="K1433" s="16">
        <f>IF(I1433&gt;0, J1433/I1433, 0)</f>
        <v>0</v>
      </c>
      <c r="L1433" s="14">
        <v>7000.0</v>
      </c>
      <c r="M1433" s="14"/>
      <c r="N1433" s="14">
        <f>L1433-M1433</f>
        <v>7000</v>
      </c>
      <c r="O1433" s="9" t="s">
        <v>40</v>
      </c>
      <c r="P1433" s="9" t="s">
        <v>41</v>
      </c>
      <c r="Q1433" s="9" t="s">
        <v>42</v>
      </c>
      <c r="R1433" s="7" t="s">
        <v>2142</v>
      </c>
      <c r="S1433" s="7" t="s">
        <v>42</v>
      </c>
    </row>
    <row r="1434" spans="1:19">
      <c r="A1434" s="8">
        <v>1427</v>
      </c>
      <c r="B1434" s="8" t="s">
        <v>1759</v>
      </c>
      <c r="C1434" s="8" t="s">
        <v>1735</v>
      </c>
      <c r="D1434" s="8" t="s">
        <v>652</v>
      </c>
      <c r="E1434" s="8" t="s">
        <v>33</v>
      </c>
      <c r="F1434" s="6" t="s">
        <v>39</v>
      </c>
      <c r="G1434" s="10">
        <v>1</v>
      </c>
      <c r="H1434" s="10">
        <v>2</v>
      </c>
      <c r="I1434" s="13">
        <v>14000.0</v>
      </c>
      <c r="J1434" s="13"/>
      <c r="K1434" s="15">
        <f>IF(I1434&gt;0, J1434/I1434, 0)</f>
        <v>0</v>
      </c>
      <c r="L1434" s="13">
        <v>14000.0</v>
      </c>
      <c r="M1434" s="13"/>
      <c r="N1434" s="13">
        <f>L1434-M1434</f>
        <v>14000</v>
      </c>
      <c r="O1434" s="8" t="s">
        <v>40</v>
      </c>
      <c r="P1434" s="8" t="s">
        <v>41</v>
      </c>
      <c r="Q1434" s="8" t="s">
        <v>42</v>
      </c>
      <c r="R1434" s="6" t="s">
        <v>2192</v>
      </c>
      <c r="S1434" s="6" t="s">
        <v>42</v>
      </c>
    </row>
    <row r="1435" spans="1:19">
      <c r="A1435" s="9">
        <v>1428</v>
      </c>
      <c r="B1435" s="9" t="s">
        <v>1760</v>
      </c>
      <c r="C1435" s="9" t="s">
        <v>1735</v>
      </c>
      <c r="D1435" s="9" t="s">
        <v>652</v>
      </c>
      <c r="E1435" s="9" t="s">
        <v>33</v>
      </c>
      <c r="F1435" s="7" t="s">
        <v>39</v>
      </c>
      <c r="G1435" s="11">
        <v>1</v>
      </c>
      <c r="H1435" s="11">
        <v>1</v>
      </c>
      <c r="I1435" s="14">
        <v>17000.0</v>
      </c>
      <c r="J1435" s="14"/>
      <c r="K1435" s="16">
        <f>IF(I1435&gt;0, J1435/I1435, 0)</f>
        <v>0</v>
      </c>
      <c r="L1435" s="14">
        <v>17000.0</v>
      </c>
      <c r="M1435" s="14"/>
      <c r="N1435" s="14">
        <f>L1435-M1435</f>
        <v>17000</v>
      </c>
      <c r="O1435" s="9" t="s">
        <v>40</v>
      </c>
      <c r="P1435" s="9" t="s">
        <v>41</v>
      </c>
      <c r="Q1435" s="9" t="s">
        <v>42</v>
      </c>
      <c r="R1435" s="7" t="s">
        <v>2127</v>
      </c>
      <c r="S1435" s="7" t="s">
        <v>42</v>
      </c>
    </row>
    <row r="1436" spans="1:19">
      <c r="A1436" s="8">
        <v>1429</v>
      </c>
      <c r="B1436" s="8" t="s">
        <v>1761</v>
      </c>
      <c r="C1436" s="8" t="s">
        <v>1735</v>
      </c>
      <c r="D1436" s="8" t="s">
        <v>652</v>
      </c>
      <c r="E1436" s="8" t="s">
        <v>68</v>
      </c>
      <c r="F1436" s="6" t="s">
        <v>39</v>
      </c>
      <c r="G1436" s="10">
        <v>1</v>
      </c>
      <c r="H1436" s="10">
        <v>1</v>
      </c>
      <c r="I1436" s="13">
        <v>10000.0</v>
      </c>
      <c r="J1436" s="13"/>
      <c r="K1436" s="15">
        <f>IF(I1436&gt;0, J1436/I1436, 0)</f>
        <v>0</v>
      </c>
      <c r="L1436" s="13">
        <v>10000.0</v>
      </c>
      <c r="M1436" s="13"/>
      <c r="N1436" s="13">
        <f>L1436-M1436</f>
        <v>10000</v>
      </c>
      <c r="O1436" s="8" t="s">
        <v>40</v>
      </c>
      <c r="P1436" s="8" t="s">
        <v>71</v>
      </c>
      <c r="Q1436" s="8" t="s">
        <v>42</v>
      </c>
      <c r="R1436" s="6" t="s">
        <v>2112</v>
      </c>
      <c r="S1436" s="6" t="s">
        <v>42</v>
      </c>
    </row>
    <row r="1437" spans="1:19">
      <c r="A1437" s="9">
        <v>1430</v>
      </c>
      <c r="B1437" s="9" t="s">
        <v>1762</v>
      </c>
      <c r="C1437" s="9" t="s">
        <v>1735</v>
      </c>
      <c r="D1437" s="9" t="s">
        <v>652</v>
      </c>
      <c r="E1437" s="9" t="s">
        <v>68</v>
      </c>
      <c r="F1437" s="7" t="s">
        <v>39</v>
      </c>
      <c r="G1437" s="11">
        <v>1</v>
      </c>
      <c r="H1437" s="11">
        <v>2</v>
      </c>
      <c r="I1437" s="14">
        <v>16000.0</v>
      </c>
      <c r="J1437" s="14"/>
      <c r="K1437" s="16">
        <f>IF(I1437&gt;0, J1437/I1437, 0)</f>
        <v>0</v>
      </c>
      <c r="L1437" s="14">
        <v>16000.0</v>
      </c>
      <c r="M1437" s="14"/>
      <c r="N1437" s="14">
        <f>L1437-M1437</f>
        <v>16000</v>
      </c>
      <c r="O1437" s="9" t="s">
        <v>40</v>
      </c>
      <c r="P1437" s="9" t="s">
        <v>71</v>
      </c>
      <c r="Q1437" s="9" t="s">
        <v>42</v>
      </c>
      <c r="R1437" s="7" t="s">
        <v>2286</v>
      </c>
      <c r="S1437" s="7" t="s">
        <v>42</v>
      </c>
    </row>
    <row r="1438" spans="1:19">
      <c r="A1438" s="8">
        <v>1431</v>
      </c>
      <c r="B1438" s="8" t="s">
        <v>1763</v>
      </c>
      <c r="C1438" s="8" t="s">
        <v>1764</v>
      </c>
      <c r="D1438" s="8" t="s">
        <v>652</v>
      </c>
      <c r="E1438" s="8" t="s">
        <v>33</v>
      </c>
      <c r="F1438" s="6" t="s">
        <v>39</v>
      </c>
      <c r="G1438" s="10">
        <v>1</v>
      </c>
      <c r="H1438" s="10">
        <v>2</v>
      </c>
      <c r="I1438" s="13">
        <v>16000.0</v>
      </c>
      <c r="J1438" s="13"/>
      <c r="K1438" s="15">
        <f>IF(I1438&gt;0, J1438/I1438, 0)</f>
        <v>0</v>
      </c>
      <c r="L1438" s="13">
        <v>16000.0</v>
      </c>
      <c r="M1438" s="13"/>
      <c r="N1438" s="13">
        <f>L1438-M1438</f>
        <v>16000</v>
      </c>
      <c r="O1438" s="8" t="s">
        <v>40</v>
      </c>
      <c r="P1438" s="8" t="s">
        <v>41</v>
      </c>
      <c r="Q1438" s="8" t="s">
        <v>42</v>
      </c>
      <c r="R1438" s="6" t="s">
        <v>2236</v>
      </c>
      <c r="S1438" s="6" t="s">
        <v>42</v>
      </c>
    </row>
    <row r="1439" spans="1:19">
      <c r="A1439" s="9">
        <v>1432</v>
      </c>
      <c r="B1439" s="9" t="s">
        <v>1765</v>
      </c>
      <c r="C1439" s="9" t="s">
        <v>1764</v>
      </c>
      <c r="D1439" s="9" t="s">
        <v>652</v>
      </c>
      <c r="E1439" s="9" t="s">
        <v>33</v>
      </c>
      <c r="F1439" s="7" t="s">
        <v>39</v>
      </c>
      <c r="G1439" s="11">
        <v>1</v>
      </c>
      <c r="H1439" s="11">
        <v>3</v>
      </c>
      <c r="I1439" s="14">
        <v>24000.0</v>
      </c>
      <c r="J1439" s="14"/>
      <c r="K1439" s="16">
        <f>IF(I1439&gt;0, J1439/I1439, 0)</f>
        <v>0</v>
      </c>
      <c r="L1439" s="14">
        <v>24000.0</v>
      </c>
      <c r="M1439" s="14"/>
      <c r="N1439" s="14">
        <f>L1439-M1439</f>
        <v>24000</v>
      </c>
      <c r="O1439" s="9" t="s">
        <v>40</v>
      </c>
      <c r="P1439" s="9" t="s">
        <v>41</v>
      </c>
      <c r="Q1439" s="9" t="s">
        <v>42</v>
      </c>
      <c r="R1439" s="7" t="s">
        <v>2287</v>
      </c>
      <c r="S1439" s="7" t="s">
        <v>42</v>
      </c>
    </row>
    <row r="1440" spans="1:19">
      <c r="A1440" s="8">
        <v>1433</v>
      </c>
      <c r="B1440" s="8" t="s">
        <v>1766</v>
      </c>
      <c r="C1440" s="8" t="s">
        <v>1764</v>
      </c>
      <c r="D1440" s="8" t="s">
        <v>652</v>
      </c>
      <c r="E1440" s="8" t="s">
        <v>33</v>
      </c>
      <c r="F1440" s="6" t="s">
        <v>39</v>
      </c>
      <c r="G1440" s="10">
        <v>1</v>
      </c>
      <c r="H1440" s="10">
        <v>3</v>
      </c>
      <c r="I1440" s="13">
        <v>21000.0</v>
      </c>
      <c r="J1440" s="13"/>
      <c r="K1440" s="15">
        <f>IF(I1440&gt;0, J1440/I1440, 0)</f>
        <v>0</v>
      </c>
      <c r="L1440" s="13">
        <v>21000.0</v>
      </c>
      <c r="M1440" s="13"/>
      <c r="N1440" s="13">
        <f>L1440-M1440</f>
        <v>21000</v>
      </c>
      <c r="O1440" s="8" t="s">
        <v>40</v>
      </c>
      <c r="P1440" s="8" t="s">
        <v>41</v>
      </c>
      <c r="Q1440" s="8" t="s">
        <v>42</v>
      </c>
      <c r="R1440" s="6" t="s">
        <v>2235</v>
      </c>
      <c r="S1440" s="6" t="s">
        <v>42</v>
      </c>
    </row>
    <row r="1441" spans="1:19">
      <c r="A1441" s="9">
        <v>1434</v>
      </c>
      <c r="B1441" s="9" t="s">
        <v>1767</v>
      </c>
      <c r="C1441" s="9" t="s">
        <v>1764</v>
      </c>
      <c r="D1441" s="9" t="s">
        <v>652</v>
      </c>
      <c r="E1441" s="9" t="s">
        <v>68</v>
      </c>
      <c r="F1441" s="7" t="s">
        <v>39</v>
      </c>
      <c r="G1441" s="11">
        <v>1</v>
      </c>
      <c r="H1441" s="11">
        <v>1</v>
      </c>
      <c r="I1441" s="14">
        <v>11000.0</v>
      </c>
      <c r="J1441" s="14"/>
      <c r="K1441" s="16">
        <f>IF(I1441&gt;0, J1441/I1441, 0)</f>
        <v>0</v>
      </c>
      <c r="L1441" s="14">
        <v>11000.0</v>
      </c>
      <c r="M1441" s="14"/>
      <c r="N1441" s="14">
        <f>L1441-M1441</f>
        <v>11000</v>
      </c>
      <c r="O1441" s="9" t="s">
        <v>40</v>
      </c>
      <c r="P1441" s="9" t="s">
        <v>71</v>
      </c>
      <c r="Q1441" s="9" t="s">
        <v>42</v>
      </c>
      <c r="R1441" s="7" t="s">
        <v>2138</v>
      </c>
      <c r="S1441" s="7" t="s">
        <v>42</v>
      </c>
    </row>
    <row r="1442" spans="1:19">
      <c r="A1442" s="8">
        <v>1435</v>
      </c>
      <c r="B1442" s="8" t="s">
        <v>1769</v>
      </c>
      <c r="C1442" s="8" t="s">
        <v>1764</v>
      </c>
      <c r="D1442" s="8" t="s">
        <v>652</v>
      </c>
      <c r="E1442" s="8" t="s">
        <v>33</v>
      </c>
      <c r="F1442" s="6" t="s">
        <v>39</v>
      </c>
      <c r="G1442" s="10">
        <v>1</v>
      </c>
      <c r="H1442" s="10">
        <v>1</v>
      </c>
      <c r="I1442" s="13">
        <v>18000.0</v>
      </c>
      <c r="J1442" s="13"/>
      <c r="K1442" s="15">
        <f>IF(I1442&gt;0, J1442/I1442, 0)</f>
        <v>0</v>
      </c>
      <c r="L1442" s="13">
        <v>18000.0</v>
      </c>
      <c r="M1442" s="13"/>
      <c r="N1442" s="13">
        <f>L1442-M1442</f>
        <v>18000</v>
      </c>
      <c r="O1442" s="8" t="s">
        <v>40</v>
      </c>
      <c r="P1442" s="8" t="s">
        <v>41</v>
      </c>
      <c r="Q1442" s="8" t="s">
        <v>42</v>
      </c>
      <c r="R1442" s="6" t="s">
        <v>2103</v>
      </c>
      <c r="S1442" s="6" t="s">
        <v>42</v>
      </c>
    </row>
    <row r="1443" spans="1:19">
      <c r="A1443" s="9">
        <v>1436</v>
      </c>
      <c r="B1443" s="9" t="s">
        <v>1770</v>
      </c>
      <c r="C1443" s="9" t="s">
        <v>1764</v>
      </c>
      <c r="D1443" s="9" t="s">
        <v>652</v>
      </c>
      <c r="E1443" s="9" t="s">
        <v>33</v>
      </c>
      <c r="F1443" s="7" t="s">
        <v>39</v>
      </c>
      <c r="G1443" s="11">
        <v>1</v>
      </c>
      <c r="H1443" s="11">
        <v>1</v>
      </c>
      <c r="I1443" s="14">
        <v>8500.0</v>
      </c>
      <c r="J1443" s="14"/>
      <c r="K1443" s="16">
        <f>IF(I1443&gt;0, J1443/I1443, 0)</f>
        <v>0</v>
      </c>
      <c r="L1443" s="14">
        <v>8500.0</v>
      </c>
      <c r="M1443" s="14"/>
      <c r="N1443" s="14">
        <f>L1443-M1443</f>
        <v>8500</v>
      </c>
      <c r="O1443" s="9" t="s">
        <v>40</v>
      </c>
      <c r="P1443" s="9" t="s">
        <v>41</v>
      </c>
      <c r="Q1443" s="9" t="s">
        <v>42</v>
      </c>
      <c r="R1443" s="7" t="s">
        <v>2152</v>
      </c>
      <c r="S1443" s="7" t="s">
        <v>42</v>
      </c>
    </row>
    <row r="1444" spans="1:19">
      <c r="A1444" s="8">
        <v>1437</v>
      </c>
      <c r="B1444" s="8" t="s">
        <v>1771</v>
      </c>
      <c r="C1444" s="8" t="s">
        <v>1772</v>
      </c>
      <c r="D1444" s="8" t="s">
        <v>652</v>
      </c>
      <c r="E1444" s="8" t="s">
        <v>68</v>
      </c>
      <c r="F1444" s="6" t="s">
        <v>39</v>
      </c>
      <c r="G1444" s="10">
        <v>1</v>
      </c>
      <c r="H1444" s="10">
        <v>1</v>
      </c>
      <c r="I1444" s="13">
        <v>10000.0</v>
      </c>
      <c r="J1444" s="13"/>
      <c r="K1444" s="15">
        <f>IF(I1444&gt;0, J1444/I1444, 0)</f>
        <v>0</v>
      </c>
      <c r="L1444" s="13">
        <v>10000.0</v>
      </c>
      <c r="M1444" s="13"/>
      <c r="N1444" s="13">
        <f>L1444-M1444</f>
        <v>10000</v>
      </c>
      <c r="O1444" s="8" t="s">
        <v>40</v>
      </c>
      <c r="P1444" s="8" t="s">
        <v>71</v>
      </c>
      <c r="Q1444" s="8" t="s">
        <v>42</v>
      </c>
      <c r="R1444" s="6" t="s">
        <v>2152</v>
      </c>
      <c r="S1444" s="6" t="s">
        <v>42</v>
      </c>
    </row>
    <row r="1445" spans="1:19">
      <c r="A1445" s="9">
        <v>1438</v>
      </c>
      <c r="B1445" s="9" t="s">
        <v>1773</v>
      </c>
      <c r="C1445" s="9" t="s">
        <v>1772</v>
      </c>
      <c r="D1445" s="9" t="s">
        <v>652</v>
      </c>
      <c r="E1445" s="9" t="s">
        <v>68</v>
      </c>
      <c r="F1445" s="7" t="s">
        <v>39</v>
      </c>
      <c r="G1445" s="11">
        <v>1</v>
      </c>
      <c r="H1445" s="11">
        <v>1</v>
      </c>
      <c r="I1445" s="14">
        <v>10000.0</v>
      </c>
      <c r="J1445" s="14"/>
      <c r="K1445" s="16">
        <f>IF(I1445&gt;0, J1445/I1445, 0)</f>
        <v>0</v>
      </c>
      <c r="L1445" s="14">
        <v>10000.0</v>
      </c>
      <c r="M1445" s="14"/>
      <c r="N1445" s="14">
        <f>L1445-M1445</f>
        <v>10000</v>
      </c>
      <c r="O1445" s="9" t="s">
        <v>40</v>
      </c>
      <c r="P1445" s="9" t="s">
        <v>71</v>
      </c>
      <c r="Q1445" s="9" t="s">
        <v>42</v>
      </c>
      <c r="R1445" s="7" t="s">
        <v>2107</v>
      </c>
      <c r="S1445" s="7" t="s">
        <v>42</v>
      </c>
    </row>
    <row r="1446" spans="1:19">
      <c r="A1446" s="8">
        <v>1439</v>
      </c>
      <c r="B1446" s="8" t="s">
        <v>1774</v>
      </c>
      <c r="C1446" s="8" t="s">
        <v>1772</v>
      </c>
      <c r="D1446" s="8" t="s">
        <v>652</v>
      </c>
      <c r="E1446" s="8" t="s">
        <v>33</v>
      </c>
      <c r="F1446" s="6" t="s">
        <v>39</v>
      </c>
      <c r="G1446" s="10">
        <v>1</v>
      </c>
      <c r="H1446" s="10">
        <v>1</v>
      </c>
      <c r="I1446" s="13">
        <v>8000.0</v>
      </c>
      <c r="J1446" s="13"/>
      <c r="K1446" s="15">
        <f>IF(I1446&gt;0, J1446/I1446, 0)</f>
        <v>0</v>
      </c>
      <c r="L1446" s="13">
        <v>8000.0</v>
      </c>
      <c r="M1446" s="13"/>
      <c r="N1446" s="13">
        <f>L1446-M1446</f>
        <v>8000</v>
      </c>
      <c r="O1446" s="8" t="s">
        <v>40</v>
      </c>
      <c r="P1446" s="8" t="s">
        <v>41</v>
      </c>
      <c r="Q1446" s="8" t="s">
        <v>42</v>
      </c>
      <c r="R1446" s="6" t="s">
        <v>2107</v>
      </c>
      <c r="S1446" s="6" t="s">
        <v>42</v>
      </c>
    </row>
    <row r="1447" spans="1:19">
      <c r="A1447" s="9">
        <v>1440</v>
      </c>
      <c r="B1447" s="9" t="s">
        <v>1775</v>
      </c>
      <c r="C1447" s="9" t="s">
        <v>1772</v>
      </c>
      <c r="D1447" s="9" t="s">
        <v>652</v>
      </c>
      <c r="E1447" s="9" t="s">
        <v>33</v>
      </c>
      <c r="F1447" s="7" t="s">
        <v>39</v>
      </c>
      <c r="G1447" s="11">
        <v>1</v>
      </c>
      <c r="H1447" s="11">
        <v>2</v>
      </c>
      <c r="I1447" s="14">
        <v>16000.0</v>
      </c>
      <c r="J1447" s="14"/>
      <c r="K1447" s="16">
        <f>IF(I1447&gt;0, J1447/I1447, 0)</f>
        <v>0</v>
      </c>
      <c r="L1447" s="14">
        <v>16000.0</v>
      </c>
      <c r="M1447" s="14"/>
      <c r="N1447" s="14">
        <f>L1447-M1447</f>
        <v>16000</v>
      </c>
      <c r="O1447" s="9" t="s">
        <v>40</v>
      </c>
      <c r="P1447" s="9" t="s">
        <v>41</v>
      </c>
      <c r="Q1447" s="9" t="s">
        <v>42</v>
      </c>
      <c r="R1447" s="7" t="s">
        <v>2236</v>
      </c>
      <c r="S1447" s="7" t="s">
        <v>42</v>
      </c>
    </row>
    <row r="1448" spans="1:19">
      <c r="A1448" s="8">
        <v>1441</v>
      </c>
      <c r="B1448" s="8" t="s">
        <v>1776</v>
      </c>
      <c r="C1448" s="8" t="s">
        <v>1772</v>
      </c>
      <c r="D1448" s="8" t="s">
        <v>652</v>
      </c>
      <c r="E1448" s="8" t="s">
        <v>33</v>
      </c>
      <c r="F1448" s="6" t="s">
        <v>39</v>
      </c>
      <c r="G1448" s="10">
        <v>1</v>
      </c>
      <c r="H1448" s="10">
        <v>1</v>
      </c>
      <c r="I1448" s="13">
        <v>18000.0</v>
      </c>
      <c r="J1448" s="13"/>
      <c r="K1448" s="15">
        <f>IF(I1448&gt;0, J1448/I1448, 0)</f>
        <v>0</v>
      </c>
      <c r="L1448" s="13">
        <v>18000.0</v>
      </c>
      <c r="M1448" s="13"/>
      <c r="N1448" s="13">
        <f>L1448-M1448</f>
        <v>18000</v>
      </c>
      <c r="O1448" s="8" t="s">
        <v>40</v>
      </c>
      <c r="P1448" s="8" t="s">
        <v>41</v>
      </c>
      <c r="Q1448" s="8" t="s">
        <v>42</v>
      </c>
      <c r="R1448" s="6" t="s">
        <v>2166</v>
      </c>
      <c r="S1448" s="6" t="s">
        <v>42</v>
      </c>
    </row>
    <row r="1449" spans="1:19">
      <c r="A1449" s="9">
        <v>1442</v>
      </c>
      <c r="B1449" s="9" t="s">
        <v>1777</v>
      </c>
      <c r="C1449" s="9" t="s">
        <v>1772</v>
      </c>
      <c r="D1449" s="9" t="s">
        <v>652</v>
      </c>
      <c r="E1449" s="9" t="s">
        <v>33</v>
      </c>
      <c r="F1449" s="7" t="s">
        <v>39</v>
      </c>
      <c r="G1449" s="11">
        <v>1</v>
      </c>
      <c r="H1449" s="11">
        <v>2</v>
      </c>
      <c r="I1449" s="14">
        <v>14000.0</v>
      </c>
      <c r="J1449" s="14"/>
      <c r="K1449" s="16">
        <f>IF(I1449&gt;0, J1449/I1449, 0)</f>
        <v>0</v>
      </c>
      <c r="L1449" s="14">
        <v>14000.0</v>
      </c>
      <c r="M1449" s="14"/>
      <c r="N1449" s="14">
        <f>L1449-M1449</f>
        <v>14000</v>
      </c>
      <c r="O1449" s="9" t="s">
        <v>40</v>
      </c>
      <c r="P1449" s="9" t="s">
        <v>41</v>
      </c>
      <c r="Q1449" s="9" t="s">
        <v>42</v>
      </c>
      <c r="R1449" s="7" t="s">
        <v>2117</v>
      </c>
      <c r="S1449" s="7" t="s">
        <v>42</v>
      </c>
    </row>
    <row r="1450" spans="1:19">
      <c r="A1450" s="8">
        <v>1443</v>
      </c>
      <c r="B1450" s="8" t="s">
        <v>1778</v>
      </c>
      <c r="C1450" s="8" t="s">
        <v>1772</v>
      </c>
      <c r="D1450" s="8" t="s">
        <v>652</v>
      </c>
      <c r="E1450" s="8" t="s">
        <v>33</v>
      </c>
      <c r="F1450" s="6" t="s">
        <v>39</v>
      </c>
      <c r="G1450" s="10">
        <v>1</v>
      </c>
      <c r="H1450" s="10">
        <v>1</v>
      </c>
      <c r="I1450" s="13">
        <v>8000.0</v>
      </c>
      <c r="J1450" s="13"/>
      <c r="K1450" s="15">
        <f>IF(I1450&gt;0, J1450/I1450, 0)</f>
        <v>0</v>
      </c>
      <c r="L1450" s="13">
        <v>8000.0</v>
      </c>
      <c r="M1450" s="13"/>
      <c r="N1450" s="13">
        <f>L1450-M1450</f>
        <v>8000</v>
      </c>
      <c r="O1450" s="8" t="s">
        <v>40</v>
      </c>
      <c r="P1450" s="8" t="s">
        <v>41</v>
      </c>
      <c r="Q1450" s="8" t="s">
        <v>42</v>
      </c>
      <c r="R1450" s="6" t="s">
        <v>2167</v>
      </c>
      <c r="S1450" s="6" t="s">
        <v>42</v>
      </c>
    </row>
    <row r="1451" spans="1:19">
      <c r="A1451" s="9">
        <v>1444</v>
      </c>
      <c r="B1451" s="9" t="s">
        <v>1779</v>
      </c>
      <c r="C1451" s="9" t="s">
        <v>1772</v>
      </c>
      <c r="D1451" s="9" t="s">
        <v>652</v>
      </c>
      <c r="E1451" s="9" t="s">
        <v>33</v>
      </c>
      <c r="F1451" s="7" t="s">
        <v>39</v>
      </c>
      <c r="G1451" s="11">
        <v>1</v>
      </c>
      <c r="H1451" s="11">
        <v>1</v>
      </c>
      <c r="I1451" s="14">
        <v>7000.0</v>
      </c>
      <c r="J1451" s="14"/>
      <c r="K1451" s="16">
        <f>IF(I1451&gt;0, J1451/I1451, 0)</f>
        <v>0</v>
      </c>
      <c r="L1451" s="14">
        <v>7000.0</v>
      </c>
      <c r="M1451" s="14"/>
      <c r="N1451" s="14">
        <f>L1451-M1451</f>
        <v>7000</v>
      </c>
      <c r="O1451" s="9" t="s">
        <v>40</v>
      </c>
      <c r="P1451" s="9" t="s">
        <v>41</v>
      </c>
      <c r="Q1451" s="9" t="s">
        <v>42</v>
      </c>
      <c r="R1451" s="7" t="s">
        <v>2083</v>
      </c>
      <c r="S1451" s="7" t="s">
        <v>42</v>
      </c>
    </row>
    <row r="1452" spans="1:19">
      <c r="A1452" s="8">
        <v>1445</v>
      </c>
      <c r="B1452" s="8" t="s">
        <v>1780</v>
      </c>
      <c r="C1452" s="8" t="s">
        <v>1772</v>
      </c>
      <c r="D1452" s="8" t="s">
        <v>652</v>
      </c>
      <c r="E1452" s="8" t="s">
        <v>33</v>
      </c>
      <c r="F1452" s="6" t="s">
        <v>39</v>
      </c>
      <c r="G1452" s="10">
        <v>1</v>
      </c>
      <c r="H1452" s="10">
        <v>1</v>
      </c>
      <c r="I1452" s="13">
        <v>9000.0</v>
      </c>
      <c r="J1452" s="13"/>
      <c r="K1452" s="15">
        <f>IF(I1452&gt;0, J1452/I1452, 0)</f>
        <v>0</v>
      </c>
      <c r="L1452" s="13">
        <v>9000.0</v>
      </c>
      <c r="M1452" s="13"/>
      <c r="N1452" s="13">
        <f>L1452-M1452</f>
        <v>9000</v>
      </c>
      <c r="O1452" s="8" t="s">
        <v>40</v>
      </c>
      <c r="P1452" s="8" t="s">
        <v>41</v>
      </c>
      <c r="Q1452" s="8" t="s">
        <v>42</v>
      </c>
      <c r="R1452" s="6" t="s">
        <v>2137</v>
      </c>
      <c r="S1452" s="6" t="s">
        <v>42</v>
      </c>
    </row>
    <row r="1453" spans="1:19">
      <c r="A1453" s="9">
        <v>1446</v>
      </c>
      <c r="B1453" s="9" t="s">
        <v>1781</v>
      </c>
      <c r="C1453" s="9" t="s">
        <v>1772</v>
      </c>
      <c r="D1453" s="9" t="s">
        <v>652</v>
      </c>
      <c r="E1453" s="9" t="s">
        <v>33</v>
      </c>
      <c r="F1453" s="7" t="s">
        <v>39</v>
      </c>
      <c r="G1453" s="11">
        <v>1</v>
      </c>
      <c r="H1453" s="11">
        <v>1</v>
      </c>
      <c r="I1453" s="14">
        <v>16000.0</v>
      </c>
      <c r="J1453" s="14"/>
      <c r="K1453" s="16">
        <f>IF(I1453&gt;0, J1453/I1453, 0)</f>
        <v>0</v>
      </c>
      <c r="L1453" s="14">
        <v>16000.0</v>
      </c>
      <c r="M1453" s="14"/>
      <c r="N1453" s="14">
        <f>L1453-M1453</f>
        <v>16000</v>
      </c>
      <c r="O1453" s="9" t="s">
        <v>40</v>
      </c>
      <c r="P1453" s="9" t="s">
        <v>41</v>
      </c>
      <c r="Q1453" s="9" t="s">
        <v>42</v>
      </c>
      <c r="R1453" s="7" t="s">
        <v>2090</v>
      </c>
      <c r="S1453" s="7" t="s">
        <v>42</v>
      </c>
    </row>
    <row r="1454" spans="1:19">
      <c r="A1454" s="8">
        <v>1447</v>
      </c>
      <c r="B1454" s="8" t="s">
        <v>1782</v>
      </c>
      <c r="C1454" s="8" t="s">
        <v>1772</v>
      </c>
      <c r="D1454" s="8" t="s">
        <v>652</v>
      </c>
      <c r="E1454" s="8" t="s">
        <v>33</v>
      </c>
      <c r="F1454" s="6" t="s">
        <v>39</v>
      </c>
      <c r="G1454" s="10">
        <v>1</v>
      </c>
      <c r="H1454" s="10">
        <v>1</v>
      </c>
      <c r="I1454" s="13">
        <v>8000.0</v>
      </c>
      <c r="J1454" s="13"/>
      <c r="K1454" s="15">
        <f>IF(I1454&gt;0, J1454/I1454, 0)</f>
        <v>0</v>
      </c>
      <c r="L1454" s="13">
        <v>8000.0</v>
      </c>
      <c r="M1454" s="13"/>
      <c r="N1454" s="13">
        <f>L1454-M1454</f>
        <v>8000</v>
      </c>
      <c r="O1454" s="8" t="s">
        <v>40</v>
      </c>
      <c r="P1454" s="8" t="s">
        <v>41</v>
      </c>
      <c r="Q1454" s="8" t="s">
        <v>42</v>
      </c>
      <c r="R1454" s="6" t="s">
        <v>2091</v>
      </c>
      <c r="S1454" s="6" t="s">
        <v>42</v>
      </c>
    </row>
    <row r="1455" spans="1:19">
      <c r="A1455" s="9">
        <v>1448</v>
      </c>
      <c r="B1455" s="9" t="s">
        <v>1783</v>
      </c>
      <c r="C1455" s="9" t="s">
        <v>1772</v>
      </c>
      <c r="D1455" s="9" t="s">
        <v>652</v>
      </c>
      <c r="E1455" s="9" t="s">
        <v>33</v>
      </c>
      <c r="F1455" s="7" t="s">
        <v>39</v>
      </c>
      <c r="G1455" s="11">
        <v>1</v>
      </c>
      <c r="H1455" s="11">
        <v>1</v>
      </c>
      <c r="I1455" s="14">
        <v>7000.0</v>
      </c>
      <c r="J1455" s="14"/>
      <c r="K1455" s="16">
        <f>IF(I1455&gt;0, J1455/I1455, 0)</f>
        <v>0</v>
      </c>
      <c r="L1455" s="14">
        <v>7000.0</v>
      </c>
      <c r="M1455" s="14"/>
      <c r="N1455" s="14">
        <f>L1455-M1455</f>
        <v>7000</v>
      </c>
      <c r="O1455" s="9" t="s">
        <v>40</v>
      </c>
      <c r="P1455" s="9" t="s">
        <v>41</v>
      </c>
      <c r="Q1455" s="9" t="s">
        <v>42</v>
      </c>
      <c r="R1455" s="7" t="s">
        <v>2109</v>
      </c>
      <c r="S1455" s="7" t="s">
        <v>42</v>
      </c>
    </row>
    <row r="1456" spans="1:19">
      <c r="A1456" s="8">
        <v>1449</v>
      </c>
      <c r="B1456" s="8" t="s">
        <v>1785</v>
      </c>
      <c r="C1456" s="8" t="s">
        <v>1772</v>
      </c>
      <c r="D1456" s="8" t="s">
        <v>652</v>
      </c>
      <c r="E1456" s="8" t="s">
        <v>33</v>
      </c>
      <c r="F1456" s="6" t="s">
        <v>39</v>
      </c>
      <c r="G1456" s="10">
        <v>1</v>
      </c>
      <c r="H1456" s="10">
        <v>1</v>
      </c>
      <c r="I1456" s="13">
        <v>7500.0</v>
      </c>
      <c r="J1456" s="13"/>
      <c r="K1456" s="15">
        <f>IF(I1456&gt;0, J1456/I1456, 0)</f>
        <v>0</v>
      </c>
      <c r="L1456" s="13">
        <v>7500.0</v>
      </c>
      <c r="M1456" s="13"/>
      <c r="N1456" s="13">
        <f>L1456-M1456</f>
        <v>7500</v>
      </c>
      <c r="O1456" s="8" t="s">
        <v>40</v>
      </c>
      <c r="P1456" s="8" t="s">
        <v>41</v>
      </c>
      <c r="Q1456" s="8" t="s">
        <v>42</v>
      </c>
      <c r="R1456" s="6" t="s">
        <v>2128</v>
      </c>
      <c r="S1456" s="6" t="s">
        <v>42</v>
      </c>
    </row>
    <row r="1457" spans="1:19">
      <c r="A1457" s="9">
        <v>1450</v>
      </c>
      <c r="B1457" s="9" t="s">
        <v>1786</v>
      </c>
      <c r="C1457" s="9" t="s">
        <v>1772</v>
      </c>
      <c r="D1457" s="9" t="s">
        <v>652</v>
      </c>
      <c r="E1457" s="9" t="s">
        <v>33</v>
      </c>
      <c r="F1457" s="7" t="s">
        <v>39</v>
      </c>
      <c r="G1457" s="11">
        <v>1</v>
      </c>
      <c r="H1457" s="11">
        <v>1</v>
      </c>
      <c r="I1457" s="14">
        <v>8500.0</v>
      </c>
      <c r="J1457" s="14"/>
      <c r="K1457" s="16">
        <f>IF(I1457&gt;0, J1457/I1457, 0)</f>
        <v>0</v>
      </c>
      <c r="L1457" s="14">
        <v>8500.0</v>
      </c>
      <c r="M1457" s="14"/>
      <c r="N1457" s="14">
        <f>L1457-M1457</f>
        <v>8500</v>
      </c>
      <c r="O1457" s="9" t="s">
        <v>40</v>
      </c>
      <c r="P1457" s="9" t="s">
        <v>41</v>
      </c>
      <c r="Q1457" s="9" t="s">
        <v>42</v>
      </c>
      <c r="R1457" s="7" t="s">
        <v>2157</v>
      </c>
      <c r="S1457" s="7" t="s">
        <v>42</v>
      </c>
    </row>
    <row r="1458" spans="1:19">
      <c r="A1458" s="8">
        <v>1451</v>
      </c>
      <c r="B1458" s="8" t="s">
        <v>1787</v>
      </c>
      <c r="C1458" s="8" t="s">
        <v>1772</v>
      </c>
      <c r="D1458" s="8" t="s">
        <v>652</v>
      </c>
      <c r="E1458" s="8" t="s">
        <v>33</v>
      </c>
      <c r="F1458" s="6" t="s">
        <v>39</v>
      </c>
      <c r="G1458" s="10">
        <v>1</v>
      </c>
      <c r="H1458" s="10">
        <v>1</v>
      </c>
      <c r="I1458" s="13">
        <v>9500.0</v>
      </c>
      <c r="J1458" s="13"/>
      <c r="K1458" s="15">
        <f>IF(I1458&gt;0, J1458/I1458, 0)</f>
        <v>0</v>
      </c>
      <c r="L1458" s="13">
        <v>9500.0</v>
      </c>
      <c r="M1458" s="13"/>
      <c r="N1458" s="13">
        <f>L1458-M1458</f>
        <v>9500</v>
      </c>
      <c r="O1458" s="8" t="s">
        <v>40</v>
      </c>
      <c r="P1458" s="8" t="s">
        <v>41</v>
      </c>
      <c r="Q1458" s="8" t="s">
        <v>42</v>
      </c>
      <c r="R1458" s="6" t="s">
        <v>2106</v>
      </c>
      <c r="S1458" s="6" t="s">
        <v>42</v>
      </c>
    </row>
    <row r="1459" spans="1:19">
      <c r="A1459" s="9">
        <v>1452</v>
      </c>
      <c r="B1459" s="9" t="s">
        <v>1788</v>
      </c>
      <c r="C1459" s="9" t="s">
        <v>1772</v>
      </c>
      <c r="D1459" s="9" t="s">
        <v>652</v>
      </c>
      <c r="E1459" s="9" t="s">
        <v>33</v>
      </c>
      <c r="F1459" s="7" t="s">
        <v>39</v>
      </c>
      <c r="G1459" s="11">
        <v>1</v>
      </c>
      <c r="H1459" s="11">
        <v>1</v>
      </c>
      <c r="I1459" s="14">
        <v>16500.0</v>
      </c>
      <c r="J1459" s="14"/>
      <c r="K1459" s="16">
        <f>IF(I1459&gt;0, J1459/I1459, 0)</f>
        <v>0</v>
      </c>
      <c r="L1459" s="14">
        <v>16500.0</v>
      </c>
      <c r="M1459" s="14"/>
      <c r="N1459" s="14">
        <f>L1459-M1459</f>
        <v>16500</v>
      </c>
      <c r="O1459" s="9" t="s">
        <v>40</v>
      </c>
      <c r="P1459" s="9" t="s">
        <v>41</v>
      </c>
      <c r="Q1459" s="9" t="s">
        <v>42</v>
      </c>
      <c r="R1459" s="7" t="s">
        <v>2124</v>
      </c>
      <c r="S1459" s="7" t="s">
        <v>42</v>
      </c>
    </row>
    <row r="1460" spans="1:19">
      <c r="A1460" s="8">
        <v>1453</v>
      </c>
      <c r="B1460" s="8" t="s">
        <v>1789</v>
      </c>
      <c r="C1460" s="8" t="s">
        <v>1772</v>
      </c>
      <c r="D1460" s="8" t="s">
        <v>652</v>
      </c>
      <c r="E1460" s="8" t="s">
        <v>33</v>
      </c>
      <c r="F1460" s="6" t="s">
        <v>39</v>
      </c>
      <c r="G1460" s="10">
        <v>1</v>
      </c>
      <c r="H1460" s="10">
        <v>1</v>
      </c>
      <c r="I1460" s="13">
        <v>9000.0</v>
      </c>
      <c r="J1460" s="13"/>
      <c r="K1460" s="15">
        <f>IF(I1460&gt;0, J1460/I1460, 0)</f>
        <v>0</v>
      </c>
      <c r="L1460" s="13">
        <v>9000.0</v>
      </c>
      <c r="M1460" s="13"/>
      <c r="N1460" s="13">
        <f>L1460-M1460</f>
        <v>9000</v>
      </c>
      <c r="O1460" s="8" t="s">
        <v>40</v>
      </c>
      <c r="P1460" s="8" t="s">
        <v>41</v>
      </c>
      <c r="Q1460" s="8" t="s">
        <v>42</v>
      </c>
      <c r="R1460" s="6" t="s">
        <v>2172</v>
      </c>
      <c r="S1460" s="6" t="s">
        <v>42</v>
      </c>
    </row>
    <row r="1461" spans="1:19">
      <c r="A1461" s="9">
        <v>1454</v>
      </c>
      <c r="B1461" s="9" t="s">
        <v>1790</v>
      </c>
      <c r="C1461" s="9" t="s">
        <v>1772</v>
      </c>
      <c r="D1461" s="9" t="s">
        <v>652</v>
      </c>
      <c r="E1461" s="9" t="s">
        <v>33</v>
      </c>
      <c r="F1461" s="7" t="s">
        <v>39</v>
      </c>
      <c r="G1461" s="11">
        <v>1</v>
      </c>
      <c r="H1461" s="11">
        <v>1</v>
      </c>
      <c r="I1461" s="14">
        <v>8000.0</v>
      </c>
      <c r="J1461" s="14"/>
      <c r="K1461" s="16">
        <f>IF(I1461&gt;0, J1461/I1461, 0)</f>
        <v>0</v>
      </c>
      <c r="L1461" s="14">
        <v>8000.0</v>
      </c>
      <c r="M1461" s="14"/>
      <c r="N1461" s="14">
        <f>L1461-M1461</f>
        <v>8000</v>
      </c>
      <c r="O1461" s="9" t="s">
        <v>40</v>
      </c>
      <c r="P1461" s="9" t="s">
        <v>41</v>
      </c>
      <c r="Q1461" s="9" t="s">
        <v>42</v>
      </c>
      <c r="R1461" s="7" t="s">
        <v>2161</v>
      </c>
      <c r="S1461" s="7" t="s">
        <v>42</v>
      </c>
    </row>
    <row r="1462" spans="1:19">
      <c r="A1462" s="8">
        <v>1455</v>
      </c>
      <c r="B1462" s="8" t="s">
        <v>1791</v>
      </c>
      <c r="C1462" s="8" t="s">
        <v>1772</v>
      </c>
      <c r="D1462" s="8" t="s">
        <v>652</v>
      </c>
      <c r="E1462" s="8" t="s">
        <v>68</v>
      </c>
      <c r="F1462" s="6" t="s">
        <v>39</v>
      </c>
      <c r="G1462" s="10">
        <v>1</v>
      </c>
      <c r="H1462" s="10">
        <v>1</v>
      </c>
      <c r="I1462" s="13">
        <v>17000.0</v>
      </c>
      <c r="J1462" s="13"/>
      <c r="K1462" s="15">
        <f>IF(I1462&gt;0, J1462/I1462, 0)</f>
        <v>0</v>
      </c>
      <c r="L1462" s="13">
        <v>17000.0</v>
      </c>
      <c r="M1462" s="13"/>
      <c r="N1462" s="13">
        <f>L1462-M1462</f>
        <v>17000</v>
      </c>
      <c r="O1462" s="8" t="s">
        <v>40</v>
      </c>
      <c r="P1462" s="8" t="s">
        <v>71</v>
      </c>
      <c r="Q1462" s="8" t="s">
        <v>42</v>
      </c>
      <c r="R1462" s="6" t="s">
        <v>2093</v>
      </c>
      <c r="S1462" s="6" t="s">
        <v>42</v>
      </c>
    </row>
    <row r="1463" spans="1:19">
      <c r="A1463" s="9">
        <v>1456</v>
      </c>
      <c r="B1463" s="9" t="s">
        <v>1792</v>
      </c>
      <c r="C1463" s="9" t="s">
        <v>1772</v>
      </c>
      <c r="D1463" s="9" t="s">
        <v>652</v>
      </c>
      <c r="E1463" s="9" t="s">
        <v>33</v>
      </c>
      <c r="F1463" s="7" t="s">
        <v>39</v>
      </c>
      <c r="G1463" s="11">
        <v>1</v>
      </c>
      <c r="H1463" s="11">
        <v>1</v>
      </c>
      <c r="I1463" s="14">
        <v>16500.0</v>
      </c>
      <c r="J1463" s="14"/>
      <c r="K1463" s="16">
        <f>IF(I1463&gt;0, J1463/I1463, 0)</f>
        <v>0</v>
      </c>
      <c r="L1463" s="14">
        <v>16500.0</v>
      </c>
      <c r="M1463" s="14"/>
      <c r="N1463" s="14">
        <f>L1463-M1463</f>
        <v>16500</v>
      </c>
      <c r="O1463" s="9" t="s">
        <v>40</v>
      </c>
      <c r="P1463" s="9" t="s">
        <v>41</v>
      </c>
      <c r="Q1463" s="9" t="s">
        <v>42</v>
      </c>
      <c r="R1463" s="7" t="s">
        <v>2124</v>
      </c>
      <c r="S1463" s="7" t="s">
        <v>42</v>
      </c>
    </row>
    <row r="1464" spans="1:19">
      <c r="A1464" s="8">
        <v>1457</v>
      </c>
      <c r="B1464" s="8" t="s">
        <v>1793</v>
      </c>
      <c r="C1464" s="8" t="s">
        <v>1772</v>
      </c>
      <c r="D1464" s="8" t="s">
        <v>652</v>
      </c>
      <c r="E1464" s="8" t="s">
        <v>33</v>
      </c>
      <c r="F1464" s="6" t="s">
        <v>39</v>
      </c>
      <c r="G1464" s="10">
        <v>1</v>
      </c>
      <c r="H1464" s="10">
        <v>1</v>
      </c>
      <c r="I1464" s="13">
        <v>8500.0</v>
      </c>
      <c r="J1464" s="13"/>
      <c r="K1464" s="15">
        <f>IF(I1464&gt;0, J1464/I1464, 0)</f>
        <v>0</v>
      </c>
      <c r="L1464" s="13">
        <v>8500.0</v>
      </c>
      <c r="M1464" s="13"/>
      <c r="N1464" s="13">
        <f>L1464-M1464</f>
        <v>8500</v>
      </c>
      <c r="O1464" s="8" t="s">
        <v>40</v>
      </c>
      <c r="P1464" s="8" t="s">
        <v>41</v>
      </c>
      <c r="Q1464" s="8" t="s">
        <v>42</v>
      </c>
      <c r="R1464" s="6" t="s">
        <v>2171</v>
      </c>
      <c r="S1464" s="6" t="s">
        <v>42</v>
      </c>
    </row>
    <row r="1465" spans="1:19">
      <c r="A1465" s="9">
        <v>1458</v>
      </c>
      <c r="B1465" s="9" t="s">
        <v>1794</v>
      </c>
      <c r="C1465" s="9" t="s">
        <v>1772</v>
      </c>
      <c r="D1465" s="9" t="s">
        <v>652</v>
      </c>
      <c r="E1465" s="9" t="s">
        <v>33</v>
      </c>
      <c r="F1465" s="7" t="s">
        <v>39</v>
      </c>
      <c r="G1465" s="11">
        <v>1</v>
      </c>
      <c r="H1465" s="11">
        <v>1</v>
      </c>
      <c r="I1465" s="14">
        <v>9500.0</v>
      </c>
      <c r="J1465" s="14"/>
      <c r="K1465" s="16">
        <f>IF(I1465&gt;0, J1465/I1465, 0)</f>
        <v>0</v>
      </c>
      <c r="L1465" s="14">
        <v>9500.0</v>
      </c>
      <c r="M1465" s="14"/>
      <c r="N1465" s="14">
        <f>L1465-M1465</f>
        <v>9500</v>
      </c>
      <c r="O1465" s="9" t="s">
        <v>40</v>
      </c>
      <c r="P1465" s="9" t="s">
        <v>41</v>
      </c>
      <c r="Q1465" s="9" t="s">
        <v>42</v>
      </c>
      <c r="R1465" s="7" t="s">
        <v>2106</v>
      </c>
      <c r="S1465" s="7" t="s">
        <v>42</v>
      </c>
    </row>
    <row r="1466" spans="1:19">
      <c r="A1466" s="8">
        <v>1459</v>
      </c>
      <c r="B1466" s="8" t="s">
        <v>1795</v>
      </c>
      <c r="C1466" s="8" t="s">
        <v>1772</v>
      </c>
      <c r="D1466" s="8" t="s">
        <v>652</v>
      </c>
      <c r="E1466" s="8" t="s">
        <v>33</v>
      </c>
      <c r="F1466" s="6" t="s">
        <v>39</v>
      </c>
      <c r="G1466" s="10">
        <v>1</v>
      </c>
      <c r="H1466" s="10">
        <v>1</v>
      </c>
      <c r="I1466" s="13">
        <v>9000.0</v>
      </c>
      <c r="J1466" s="13"/>
      <c r="K1466" s="15">
        <f>IF(I1466&gt;0, J1466/I1466, 0)</f>
        <v>0</v>
      </c>
      <c r="L1466" s="13">
        <v>9000.0</v>
      </c>
      <c r="M1466" s="13"/>
      <c r="N1466" s="13">
        <f>L1466-M1466</f>
        <v>9000</v>
      </c>
      <c r="O1466" s="8" t="s">
        <v>40</v>
      </c>
      <c r="P1466" s="8" t="s">
        <v>41</v>
      </c>
      <c r="Q1466" s="8" t="s">
        <v>42</v>
      </c>
      <c r="R1466" s="6" t="s">
        <v>2172</v>
      </c>
      <c r="S1466" s="6" t="s">
        <v>42</v>
      </c>
    </row>
    <row r="1467" spans="1:19">
      <c r="A1467" s="9">
        <v>1460</v>
      </c>
      <c r="B1467" s="9" t="s">
        <v>1796</v>
      </c>
      <c r="C1467" s="9" t="s">
        <v>1772</v>
      </c>
      <c r="D1467" s="9" t="s">
        <v>652</v>
      </c>
      <c r="E1467" s="9" t="s">
        <v>33</v>
      </c>
      <c r="F1467" s="7" t="s">
        <v>39</v>
      </c>
      <c r="G1467" s="11">
        <v>1</v>
      </c>
      <c r="H1467" s="11">
        <v>1</v>
      </c>
      <c r="I1467" s="14">
        <v>8000.0</v>
      </c>
      <c r="J1467" s="14"/>
      <c r="K1467" s="16">
        <f>IF(I1467&gt;0, J1467/I1467, 0)</f>
        <v>0</v>
      </c>
      <c r="L1467" s="14">
        <v>8000.0</v>
      </c>
      <c r="M1467" s="14"/>
      <c r="N1467" s="14">
        <f>L1467-M1467</f>
        <v>8000</v>
      </c>
      <c r="O1467" s="9" t="s">
        <v>40</v>
      </c>
      <c r="P1467" s="9" t="s">
        <v>41</v>
      </c>
      <c r="Q1467" s="9" t="s">
        <v>42</v>
      </c>
      <c r="R1467" s="7" t="s">
        <v>2122</v>
      </c>
      <c r="S1467" s="7" t="s">
        <v>42</v>
      </c>
    </row>
    <row r="1468" spans="1:19">
      <c r="A1468" s="8">
        <v>1461</v>
      </c>
      <c r="B1468" s="8" t="s">
        <v>1797</v>
      </c>
      <c r="C1468" s="8" t="s">
        <v>1772</v>
      </c>
      <c r="D1468" s="8" t="s">
        <v>652</v>
      </c>
      <c r="E1468" s="8" t="s">
        <v>33</v>
      </c>
      <c r="F1468" s="6" t="s">
        <v>39</v>
      </c>
      <c r="G1468" s="10">
        <v>1</v>
      </c>
      <c r="H1468" s="10">
        <v>1</v>
      </c>
      <c r="I1468" s="13">
        <v>8000.0</v>
      </c>
      <c r="J1468" s="13"/>
      <c r="K1468" s="15">
        <f>IF(I1468&gt;0, J1468/I1468, 0)</f>
        <v>0</v>
      </c>
      <c r="L1468" s="13">
        <v>8000.0</v>
      </c>
      <c r="M1468" s="13"/>
      <c r="N1468" s="13">
        <f>L1468-M1468</f>
        <v>8000</v>
      </c>
      <c r="O1468" s="8" t="s">
        <v>40</v>
      </c>
      <c r="P1468" s="8" t="s">
        <v>41</v>
      </c>
      <c r="Q1468" s="8" t="s">
        <v>42</v>
      </c>
      <c r="R1468" s="6" t="s">
        <v>2078</v>
      </c>
      <c r="S1468" s="6" t="s">
        <v>42</v>
      </c>
    </row>
    <row r="1469" spans="1:19">
      <c r="A1469" s="9">
        <v>1462</v>
      </c>
      <c r="B1469" s="9" t="s">
        <v>1798</v>
      </c>
      <c r="C1469" s="9" t="s">
        <v>1772</v>
      </c>
      <c r="D1469" s="9" t="s">
        <v>652</v>
      </c>
      <c r="E1469" s="9" t="s">
        <v>33</v>
      </c>
      <c r="F1469" s="7" t="s">
        <v>39</v>
      </c>
      <c r="G1469" s="11">
        <v>1</v>
      </c>
      <c r="H1469" s="11">
        <v>1</v>
      </c>
      <c r="I1469" s="14">
        <v>9000.0</v>
      </c>
      <c r="J1469" s="14"/>
      <c r="K1469" s="16">
        <f>IF(I1469&gt;0, J1469/I1469, 0)</f>
        <v>0</v>
      </c>
      <c r="L1469" s="14">
        <v>9000.0</v>
      </c>
      <c r="M1469" s="14"/>
      <c r="N1469" s="14">
        <f>L1469-M1469</f>
        <v>9000</v>
      </c>
      <c r="O1469" s="9" t="s">
        <v>40</v>
      </c>
      <c r="P1469" s="9" t="s">
        <v>41</v>
      </c>
      <c r="Q1469" s="9" t="s">
        <v>42</v>
      </c>
      <c r="R1469" s="7" t="s">
        <v>2125</v>
      </c>
      <c r="S1469" s="7" t="s">
        <v>42</v>
      </c>
    </row>
    <row r="1470" spans="1:19">
      <c r="A1470" s="8">
        <v>1463</v>
      </c>
      <c r="B1470" s="8" t="s">
        <v>1799</v>
      </c>
      <c r="C1470" s="8" t="s">
        <v>1772</v>
      </c>
      <c r="D1470" s="8" t="s">
        <v>652</v>
      </c>
      <c r="E1470" s="8" t="s">
        <v>33</v>
      </c>
      <c r="F1470" s="6" t="s">
        <v>39</v>
      </c>
      <c r="G1470" s="10">
        <v>1</v>
      </c>
      <c r="H1470" s="10">
        <v>1</v>
      </c>
      <c r="I1470" s="13">
        <v>8000.0</v>
      </c>
      <c r="J1470" s="13"/>
      <c r="K1470" s="15">
        <f>IF(I1470&gt;0, J1470/I1470, 0)</f>
        <v>0</v>
      </c>
      <c r="L1470" s="13">
        <v>8000.0</v>
      </c>
      <c r="M1470" s="13"/>
      <c r="N1470" s="13">
        <f>L1470-M1470</f>
        <v>8000</v>
      </c>
      <c r="O1470" s="8" t="s">
        <v>40</v>
      </c>
      <c r="P1470" s="8" t="s">
        <v>41</v>
      </c>
      <c r="Q1470" s="8" t="s">
        <v>42</v>
      </c>
      <c r="R1470" s="6" t="s">
        <v>2196</v>
      </c>
      <c r="S1470" s="6" t="s">
        <v>42</v>
      </c>
    </row>
    <row r="1471" spans="1:19">
      <c r="A1471" s="9">
        <v>1464</v>
      </c>
      <c r="B1471" s="9" t="s">
        <v>1800</v>
      </c>
      <c r="C1471" s="9" t="s">
        <v>1772</v>
      </c>
      <c r="D1471" s="9" t="s">
        <v>652</v>
      </c>
      <c r="E1471" s="9" t="s">
        <v>33</v>
      </c>
      <c r="F1471" s="7" t="s">
        <v>39</v>
      </c>
      <c r="G1471" s="11">
        <v>1</v>
      </c>
      <c r="H1471" s="11">
        <v>1</v>
      </c>
      <c r="I1471" s="14">
        <v>7000.0</v>
      </c>
      <c r="J1471" s="14"/>
      <c r="K1471" s="16">
        <f>IF(I1471&gt;0, J1471/I1471, 0)</f>
        <v>0</v>
      </c>
      <c r="L1471" s="14">
        <v>7000.0</v>
      </c>
      <c r="M1471" s="14"/>
      <c r="N1471" s="14">
        <f>L1471-M1471</f>
        <v>7000</v>
      </c>
      <c r="O1471" s="9" t="s">
        <v>40</v>
      </c>
      <c r="P1471" s="9" t="s">
        <v>41</v>
      </c>
      <c r="Q1471" s="9" t="s">
        <v>42</v>
      </c>
      <c r="R1471" s="7" t="s">
        <v>2074</v>
      </c>
      <c r="S1471" s="7" t="s">
        <v>42</v>
      </c>
    </row>
    <row r="1472" spans="1:19">
      <c r="A1472" s="8">
        <v>1465</v>
      </c>
      <c r="B1472" s="8" t="s">
        <v>1801</v>
      </c>
      <c r="C1472" s="8" t="s">
        <v>1772</v>
      </c>
      <c r="D1472" s="8" t="s">
        <v>652</v>
      </c>
      <c r="E1472" s="8" t="s">
        <v>68</v>
      </c>
      <c r="F1472" s="6" t="s">
        <v>39</v>
      </c>
      <c r="G1472" s="10">
        <v>1</v>
      </c>
      <c r="H1472" s="10">
        <v>1</v>
      </c>
      <c r="I1472" s="13">
        <v>11000.0</v>
      </c>
      <c r="J1472" s="13"/>
      <c r="K1472" s="15">
        <f>IF(I1472&gt;0, J1472/I1472, 0)</f>
        <v>0</v>
      </c>
      <c r="L1472" s="13">
        <v>11000.0</v>
      </c>
      <c r="M1472" s="13"/>
      <c r="N1472" s="13">
        <f>L1472-M1472</f>
        <v>11000</v>
      </c>
      <c r="O1472" s="8" t="s">
        <v>40</v>
      </c>
      <c r="P1472" s="8" t="s">
        <v>71</v>
      </c>
      <c r="Q1472" s="8" t="s">
        <v>42</v>
      </c>
      <c r="R1472" s="6" t="s">
        <v>2200</v>
      </c>
      <c r="S1472" s="6" t="s">
        <v>42</v>
      </c>
    </row>
    <row r="1473" spans="1:19">
      <c r="A1473" s="9">
        <v>1466</v>
      </c>
      <c r="B1473" s="9" t="s">
        <v>1802</v>
      </c>
      <c r="C1473" s="9" t="s">
        <v>1772</v>
      </c>
      <c r="D1473" s="9" t="s">
        <v>652</v>
      </c>
      <c r="E1473" s="9" t="s">
        <v>33</v>
      </c>
      <c r="F1473" s="7" t="s">
        <v>39</v>
      </c>
      <c r="G1473" s="11">
        <v>1</v>
      </c>
      <c r="H1473" s="11">
        <v>1</v>
      </c>
      <c r="I1473" s="14">
        <v>18000.0</v>
      </c>
      <c r="J1473" s="14"/>
      <c r="K1473" s="16">
        <f>IF(I1473&gt;0, J1473/I1473, 0)</f>
        <v>0</v>
      </c>
      <c r="L1473" s="14">
        <v>18000.0</v>
      </c>
      <c r="M1473" s="14"/>
      <c r="N1473" s="14">
        <f>L1473-M1473</f>
        <v>18000</v>
      </c>
      <c r="O1473" s="9" t="s">
        <v>40</v>
      </c>
      <c r="P1473" s="9" t="s">
        <v>41</v>
      </c>
      <c r="Q1473" s="9" t="s">
        <v>42</v>
      </c>
      <c r="R1473" s="7" t="s">
        <v>2180</v>
      </c>
      <c r="S1473" s="7" t="s">
        <v>42</v>
      </c>
    </row>
    <row r="1474" spans="1:19">
      <c r="A1474" s="8">
        <v>1467</v>
      </c>
      <c r="B1474" s="8" t="s">
        <v>1803</v>
      </c>
      <c r="C1474" s="8" t="s">
        <v>1772</v>
      </c>
      <c r="D1474" s="8" t="s">
        <v>652</v>
      </c>
      <c r="E1474" s="8" t="s">
        <v>33</v>
      </c>
      <c r="F1474" s="6" t="s">
        <v>39</v>
      </c>
      <c r="G1474" s="10">
        <v>1</v>
      </c>
      <c r="H1474" s="10">
        <v>2</v>
      </c>
      <c r="I1474" s="13">
        <v>16000.0</v>
      </c>
      <c r="J1474" s="13"/>
      <c r="K1474" s="15">
        <f>IF(I1474&gt;0, J1474/I1474, 0)</f>
        <v>0</v>
      </c>
      <c r="L1474" s="13">
        <v>16000.0</v>
      </c>
      <c r="M1474" s="13"/>
      <c r="N1474" s="13">
        <f>L1474-M1474</f>
        <v>16000</v>
      </c>
      <c r="O1474" s="8" t="s">
        <v>40</v>
      </c>
      <c r="P1474" s="8" t="s">
        <v>41</v>
      </c>
      <c r="Q1474" s="8" t="s">
        <v>42</v>
      </c>
      <c r="R1474" s="6" t="s">
        <v>2288</v>
      </c>
      <c r="S1474" s="6" t="s">
        <v>42</v>
      </c>
    </row>
    <row r="1475" spans="1:19">
      <c r="A1475" s="9">
        <v>1468</v>
      </c>
      <c r="B1475" s="9" t="s">
        <v>1804</v>
      </c>
      <c r="C1475" s="9" t="s">
        <v>1772</v>
      </c>
      <c r="D1475" s="9" t="s">
        <v>652</v>
      </c>
      <c r="E1475" s="9" t="s">
        <v>33</v>
      </c>
      <c r="F1475" s="7" t="s">
        <v>39</v>
      </c>
      <c r="G1475" s="11">
        <v>1</v>
      </c>
      <c r="H1475" s="11">
        <v>1</v>
      </c>
      <c r="I1475" s="14">
        <v>7000.0</v>
      </c>
      <c r="J1475" s="14"/>
      <c r="K1475" s="16">
        <f>IF(I1475&gt;0, J1475/I1475, 0)</f>
        <v>0</v>
      </c>
      <c r="L1475" s="14">
        <v>7000.0</v>
      </c>
      <c r="M1475" s="14"/>
      <c r="N1475" s="14">
        <f>L1475-M1475</f>
        <v>7000</v>
      </c>
      <c r="O1475" s="9" t="s">
        <v>40</v>
      </c>
      <c r="P1475" s="9" t="s">
        <v>41</v>
      </c>
      <c r="Q1475" s="9" t="s">
        <v>42</v>
      </c>
      <c r="R1475" s="7" t="s">
        <v>2231</v>
      </c>
      <c r="S1475" s="7" t="s">
        <v>42</v>
      </c>
    </row>
    <row r="1476" spans="1:19">
      <c r="A1476" s="8">
        <v>1469</v>
      </c>
      <c r="B1476" s="8" t="s">
        <v>1805</v>
      </c>
      <c r="C1476" s="8" t="s">
        <v>1772</v>
      </c>
      <c r="D1476" s="8" t="s">
        <v>652</v>
      </c>
      <c r="E1476" s="8" t="s">
        <v>33</v>
      </c>
      <c r="F1476" s="6" t="s">
        <v>39</v>
      </c>
      <c r="G1476" s="10">
        <v>1</v>
      </c>
      <c r="H1476" s="10">
        <v>1</v>
      </c>
      <c r="I1476" s="13">
        <v>16000.0</v>
      </c>
      <c r="J1476" s="13"/>
      <c r="K1476" s="15">
        <f>IF(I1476&gt;0, J1476/I1476, 0)</f>
        <v>0</v>
      </c>
      <c r="L1476" s="13">
        <v>16000.0</v>
      </c>
      <c r="M1476" s="13"/>
      <c r="N1476" s="13">
        <f>L1476-M1476</f>
        <v>16000</v>
      </c>
      <c r="O1476" s="8" t="s">
        <v>40</v>
      </c>
      <c r="P1476" s="8" t="s">
        <v>41</v>
      </c>
      <c r="Q1476" s="8" t="s">
        <v>42</v>
      </c>
      <c r="R1476" s="6" t="s">
        <v>2086</v>
      </c>
      <c r="S1476" s="6" t="s">
        <v>42</v>
      </c>
    </row>
    <row r="1477" spans="1:19">
      <c r="A1477" s="9">
        <v>1470</v>
      </c>
      <c r="B1477" s="9" t="s">
        <v>1806</v>
      </c>
      <c r="C1477" s="9" t="s">
        <v>1772</v>
      </c>
      <c r="D1477" s="9" t="s">
        <v>652</v>
      </c>
      <c r="E1477" s="9" t="s">
        <v>33</v>
      </c>
      <c r="F1477" s="7" t="s">
        <v>39</v>
      </c>
      <c r="G1477" s="11">
        <v>1</v>
      </c>
      <c r="H1477" s="11">
        <v>1</v>
      </c>
      <c r="I1477" s="14">
        <v>9000.0</v>
      </c>
      <c r="J1477" s="14"/>
      <c r="K1477" s="16">
        <f>IF(I1477&gt;0, J1477/I1477, 0)</f>
        <v>0</v>
      </c>
      <c r="L1477" s="14">
        <v>9000.0</v>
      </c>
      <c r="M1477" s="14"/>
      <c r="N1477" s="14">
        <f>L1477-M1477</f>
        <v>9000</v>
      </c>
      <c r="O1477" s="9" t="s">
        <v>40</v>
      </c>
      <c r="P1477" s="9" t="s">
        <v>41</v>
      </c>
      <c r="Q1477" s="9" t="s">
        <v>42</v>
      </c>
      <c r="R1477" s="7" t="s">
        <v>2255</v>
      </c>
      <c r="S1477" s="7" t="s">
        <v>42</v>
      </c>
    </row>
    <row r="1478" spans="1:19">
      <c r="A1478" s="8">
        <v>1471</v>
      </c>
      <c r="B1478" s="8" t="s">
        <v>1807</v>
      </c>
      <c r="C1478" s="8" t="s">
        <v>1772</v>
      </c>
      <c r="D1478" s="8" t="s">
        <v>652</v>
      </c>
      <c r="E1478" s="8" t="s">
        <v>33</v>
      </c>
      <c r="F1478" s="6" t="s">
        <v>39</v>
      </c>
      <c r="G1478" s="10">
        <v>1</v>
      </c>
      <c r="H1478" s="10">
        <v>2</v>
      </c>
      <c r="I1478" s="13">
        <v>16000.0</v>
      </c>
      <c r="J1478" s="13"/>
      <c r="K1478" s="15">
        <f>IF(I1478&gt;0, J1478/I1478, 0)</f>
        <v>0</v>
      </c>
      <c r="L1478" s="13">
        <v>16000.0</v>
      </c>
      <c r="M1478" s="13"/>
      <c r="N1478" s="13">
        <f>L1478-M1478</f>
        <v>16000</v>
      </c>
      <c r="O1478" s="8" t="s">
        <v>40</v>
      </c>
      <c r="P1478" s="8" t="s">
        <v>41</v>
      </c>
      <c r="Q1478" s="8" t="s">
        <v>42</v>
      </c>
      <c r="R1478" s="6" t="s">
        <v>2232</v>
      </c>
      <c r="S1478" s="6" t="s">
        <v>42</v>
      </c>
    </row>
    <row r="1479" spans="1:19">
      <c r="A1479" s="9">
        <v>1472</v>
      </c>
      <c r="B1479" s="9" t="s">
        <v>1808</v>
      </c>
      <c r="C1479" s="9" t="s">
        <v>1772</v>
      </c>
      <c r="D1479" s="9" t="s">
        <v>652</v>
      </c>
      <c r="E1479" s="9" t="s">
        <v>33</v>
      </c>
      <c r="F1479" s="7" t="s">
        <v>39</v>
      </c>
      <c r="G1479" s="11">
        <v>1</v>
      </c>
      <c r="H1479" s="11">
        <v>2</v>
      </c>
      <c r="I1479" s="14">
        <v>14000.0</v>
      </c>
      <c r="J1479" s="14"/>
      <c r="K1479" s="16">
        <f>IF(I1479&gt;0, J1479/I1479, 0)</f>
        <v>0</v>
      </c>
      <c r="L1479" s="14">
        <v>14000.0</v>
      </c>
      <c r="M1479" s="14"/>
      <c r="N1479" s="14">
        <f>L1479-M1479</f>
        <v>14000</v>
      </c>
      <c r="O1479" s="9" t="s">
        <v>40</v>
      </c>
      <c r="P1479" s="9" t="s">
        <v>41</v>
      </c>
      <c r="Q1479" s="9" t="s">
        <v>42</v>
      </c>
      <c r="R1479" s="7" t="s">
        <v>2234</v>
      </c>
      <c r="S1479" s="7" t="s">
        <v>42</v>
      </c>
    </row>
    <row r="1480" spans="1:19">
      <c r="A1480" s="8">
        <v>1473</v>
      </c>
      <c r="B1480" s="8" t="s">
        <v>1809</v>
      </c>
      <c r="C1480" s="8" t="s">
        <v>1772</v>
      </c>
      <c r="D1480" s="8" t="s">
        <v>652</v>
      </c>
      <c r="E1480" s="8" t="s">
        <v>33</v>
      </c>
      <c r="F1480" s="6" t="s">
        <v>39</v>
      </c>
      <c r="G1480" s="10">
        <v>1</v>
      </c>
      <c r="H1480" s="10">
        <v>1</v>
      </c>
      <c r="I1480" s="13">
        <v>18000.0</v>
      </c>
      <c r="J1480" s="13"/>
      <c r="K1480" s="15">
        <f>IF(I1480&gt;0, J1480/I1480, 0)</f>
        <v>0</v>
      </c>
      <c r="L1480" s="13">
        <v>18000.0</v>
      </c>
      <c r="M1480" s="13"/>
      <c r="N1480" s="13">
        <f>L1480-M1480</f>
        <v>18000</v>
      </c>
      <c r="O1480" s="8" t="s">
        <v>40</v>
      </c>
      <c r="P1480" s="8" t="s">
        <v>41</v>
      </c>
      <c r="Q1480" s="8" t="s">
        <v>42</v>
      </c>
      <c r="R1480" s="6" t="s">
        <v>2119</v>
      </c>
      <c r="S1480" s="6" t="s">
        <v>42</v>
      </c>
    </row>
    <row r="1481" spans="1:19">
      <c r="A1481" s="9">
        <v>1474</v>
      </c>
      <c r="B1481" s="9" t="s">
        <v>1810</v>
      </c>
      <c r="C1481" s="9" t="s">
        <v>1772</v>
      </c>
      <c r="D1481" s="9" t="s">
        <v>652</v>
      </c>
      <c r="E1481" s="9" t="s">
        <v>33</v>
      </c>
      <c r="F1481" s="7" t="s">
        <v>39</v>
      </c>
      <c r="G1481" s="11">
        <v>1</v>
      </c>
      <c r="H1481" s="11">
        <v>2</v>
      </c>
      <c r="I1481" s="14">
        <v>17000.0</v>
      </c>
      <c r="J1481" s="14"/>
      <c r="K1481" s="16">
        <f>IF(I1481&gt;0, J1481/I1481, 0)</f>
        <v>0</v>
      </c>
      <c r="L1481" s="14">
        <v>17000.0</v>
      </c>
      <c r="M1481" s="14"/>
      <c r="N1481" s="14">
        <f>L1481-M1481</f>
        <v>17000</v>
      </c>
      <c r="O1481" s="9" t="s">
        <v>40</v>
      </c>
      <c r="P1481" s="9" t="s">
        <v>41</v>
      </c>
      <c r="Q1481" s="9" t="s">
        <v>42</v>
      </c>
      <c r="R1481" s="7" t="s">
        <v>2238</v>
      </c>
      <c r="S1481" s="7" t="s">
        <v>42</v>
      </c>
    </row>
    <row r="1482" spans="1:19">
      <c r="A1482" s="8">
        <v>1475</v>
      </c>
      <c r="B1482" s="8" t="s">
        <v>1811</v>
      </c>
      <c r="C1482" s="8" t="s">
        <v>1772</v>
      </c>
      <c r="D1482" s="8" t="s">
        <v>652</v>
      </c>
      <c r="E1482" s="8" t="s">
        <v>33</v>
      </c>
      <c r="F1482" s="6" t="s">
        <v>39</v>
      </c>
      <c r="G1482" s="10">
        <v>1</v>
      </c>
      <c r="H1482" s="10">
        <v>1</v>
      </c>
      <c r="I1482" s="13">
        <v>7500.0</v>
      </c>
      <c r="J1482" s="13"/>
      <c r="K1482" s="15">
        <f>IF(I1482&gt;0, J1482/I1482, 0)</f>
        <v>0</v>
      </c>
      <c r="L1482" s="13">
        <v>7500.0</v>
      </c>
      <c r="M1482" s="13"/>
      <c r="N1482" s="13">
        <f>L1482-M1482</f>
        <v>7500</v>
      </c>
      <c r="O1482" s="8" t="s">
        <v>40</v>
      </c>
      <c r="P1482" s="8" t="s">
        <v>41</v>
      </c>
      <c r="Q1482" s="8" t="s">
        <v>42</v>
      </c>
      <c r="R1482" s="6" t="s">
        <v>2100</v>
      </c>
      <c r="S1482" s="6" t="s">
        <v>42</v>
      </c>
    </row>
    <row r="1483" spans="1:19">
      <c r="A1483" s="9">
        <v>1476</v>
      </c>
      <c r="B1483" s="9" t="s">
        <v>1812</v>
      </c>
      <c r="C1483" s="9" t="s">
        <v>1772</v>
      </c>
      <c r="D1483" s="9" t="s">
        <v>652</v>
      </c>
      <c r="E1483" s="9" t="s">
        <v>33</v>
      </c>
      <c r="F1483" s="7" t="s">
        <v>39</v>
      </c>
      <c r="G1483" s="11">
        <v>1</v>
      </c>
      <c r="H1483" s="11">
        <v>1</v>
      </c>
      <c r="I1483" s="14">
        <v>16500.0</v>
      </c>
      <c r="J1483" s="14"/>
      <c r="K1483" s="16">
        <f>IF(I1483&gt;0, J1483/I1483, 0)</f>
        <v>0</v>
      </c>
      <c r="L1483" s="14">
        <v>16500.0</v>
      </c>
      <c r="M1483" s="14"/>
      <c r="N1483" s="14">
        <f>L1483-M1483</f>
        <v>16500</v>
      </c>
      <c r="O1483" s="9" t="s">
        <v>40</v>
      </c>
      <c r="P1483" s="9" t="s">
        <v>41</v>
      </c>
      <c r="Q1483" s="9" t="s">
        <v>42</v>
      </c>
      <c r="R1483" s="7" t="s">
        <v>2118</v>
      </c>
      <c r="S1483" s="7" t="s">
        <v>42</v>
      </c>
    </row>
    <row r="1484" spans="1:19">
      <c r="A1484" s="8">
        <v>1477</v>
      </c>
      <c r="B1484" s="8" t="s">
        <v>1813</v>
      </c>
      <c r="C1484" s="8" t="s">
        <v>1772</v>
      </c>
      <c r="D1484" s="8" t="s">
        <v>652</v>
      </c>
      <c r="E1484" s="8" t="s">
        <v>33</v>
      </c>
      <c r="F1484" s="6" t="s">
        <v>39</v>
      </c>
      <c r="G1484" s="10">
        <v>1</v>
      </c>
      <c r="H1484" s="10">
        <v>1</v>
      </c>
      <c r="I1484" s="13">
        <v>9000.0</v>
      </c>
      <c r="J1484" s="13"/>
      <c r="K1484" s="15">
        <f>IF(I1484&gt;0, J1484/I1484, 0)</f>
        <v>0</v>
      </c>
      <c r="L1484" s="13">
        <v>9000.0</v>
      </c>
      <c r="M1484" s="13"/>
      <c r="N1484" s="13">
        <f>L1484-M1484</f>
        <v>9000</v>
      </c>
      <c r="O1484" s="8" t="s">
        <v>40</v>
      </c>
      <c r="P1484" s="8" t="s">
        <v>41</v>
      </c>
      <c r="Q1484" s="8" t="s">
        <v>42</v>
      </c>
      <c r="R1484" s="6" t="s">
        <v>2081</v>
      </c>
      <c r="S1484" s="6" t="s">
        <v>42</v>
      </c>
    </row>
    <row r="1485" spans="1:19">
      <c r="A1485" s="9">
        <v>1478</v>
      </c>
      <c r="B1485" s="9" t="s">
        <v>1814</v>
      </c>
      <c r="C1485" s="9" t="s">
        <v>1772</v>
      </c>
      <c r="D1485" s="9" t="s">
        <v>652</v>
      </c>
      <c r="E1485" s="9" t="s">
        <v>33</v>
      </c>
      <c r="F1485" s="7" t="s">
        <v>39</v>
      </c>
      <c r="G1485" s="11">
        <v>1</v>
      </c>
      <c r="H1485" s="11">
        <v>2</v>
      </c>
      <c r="I1485" s="14">
        <v>16000.0</v>
      </c>
      <c r="J1485" s="14"/>
      <c r="K1485" s="16">
        <f>IF(I1485&gt;0, J1485/I1485, 0)</f>
        <v>0</v>
      </c>
      <c r="L1485" s="14">
        <v>16000.0</v>
      </c>
      <c r="M1485" s="14"/>
      <c r="N1485" s="14">
        <f>L1485-M1485</f>
        <v>16000</v>
      </c>
      <c r="O1485" s="9" t="s">
        <v>40</v>
      </c>
      <c r="P1485" s="9" t="s">
        <v>41</v>
      </c>
      <c r="Q1485" s="9" t="s">
        <v>42</v>
      </c>
      <c r="R1485" s="7" t="s">
        <v>2104</v>
      </c>
      <c r="S1485" s="7" t="s">
        <v>42</v>
      </c>
    </row>
    <row r="1486" spans="1:19">
      <c r="A1486" s="8">
        <v>1479</v>
      </c>
      <c r="B1486" s="8" t="s">
        <v>1815</v>
      </c>
      <c r="C1486" s="8" t="s">
        <v>1772</v>
      </c>
      <c r="D1486" s="8" t="s">
        <v>652</v>
      </c>
      <c r="E1486" s="8" t="s">
        <v>68</v>
      </c>
      <c r="F1486" s="6" t="s">
        <v>39</v>
      </c>
      <c r="G1486" s="10">
        <v>1</v>
      </c>
      <c r="H1486" s="10">
        <v>1</v>
      </c>
      <c r="I1486" s="13">
        <v>8000.0</v>
      </c>
      <c r="J1486" s="13"/>
      <c r="K1486" s="15">
        <f>IF(I1486&gt;0, J1486/I1486, 0)</f>
        <v>0</v>
      </c>
      <c r="L1486" s="13">
        <v>8000.0</v>
      </c>
      <c r="M1486" s="13"/>
      <c r="N1486" s="13">
        <f>L1486-M1486</f>
        <v>8000</v>
      </c>
      <c r="O1486" s="8" t="s">
        <v>40</v>
      </c>
      <c r="P1486" s="8" t="s">
        <v>71</v>
      </c>
      <c r="Q1486" s="8" t="s">
        <v>42</v>
      </c>
      <c r="R1486" s="6" t="s">
        <v>2191</v>
      </c>
      <c r="S1486" s="6" t="s">
        <v>42</v>
      </c>
    </row>
    <row r="1487" spans="1:19">
      <c r="A1487" s="9">
        <v>1480</v>
      </c>
      <c r="B1487" s="9" t="s">
        <v>1816</v>
      </c>
      <c r="C1487" s="9" t="s">
        <v>1772</v>
      </c>
      <c r="D1487" s="9" t="s">
        <v>652</v>
      </c>
      <c r="E1487" s="9" t="s">
        <v>68</v>
      </c>
      <c r="F1487" s="7" t="s">
        <v>39</v>
      </c>
      <c r="G1487" s="11">
        <v>1</v>
      </c>
      <c r="H1487" s="11">
        <v>1</v>
      </c>
      <c r="I1487" s="14">
        <v>17000.0</v>
      </c>
      <c r="J1487" s="14"/>
      <c r="K1487" s="16">
        <f>IF(I1487&gt;0, J1487/I1487, 0)</f>
        <v>0</v>
      </c>
      <c r="L1487" s="14">
        <v>17000.0</v>
      </c>
      <c r="M1487" s="14"/>
      <c r="N1487" s="14">
        <f>L1487-M1487</f>
        <v>17000</v>
      </c>
      <c r="O1487" s="9" t="s">
        <v>40</v>
      </c>
      <c r="P1487" s="9" t="s">
        <v>71</v>
      </c>
      <c r="Q1487" s="9" t="s">
        <v>42</v>
      </c>
      <c r="R1487" s="7" t="s">
        <v>2094</v>
      </c>
      <c r="S1487" s="7" t="s">
        <v>42</v>
      </c>
    </row>
    <row r="1488" spans="1:19">
      <c r="A1488" s="8">
        <v>1481</v>
      </c>
      <c r="B1488" s="8" t="s">
        <v>1817</v>
      </c>
      <c r="C1488" s="8" t="s">
        <v>1772</v>
      </c>
      <c r="D1488" s="8" t="s">
        <v>652</v>
      </c>
      <c r="E1488" s="8" t="s">
        <v>68</v>
      </c>
      <c r="F1488" s="6" t="s">
        <v>39</v>
      </c>
      <c r="G1488" s="10">
        <v>1</v>
      </c>
      <c r="H1488" s="10">
        <v>1</v>
      </c>
      <c r="I1488" s="13">
        <v>10000.0</v>
      </c>
      <c r="J1488" s="13"/>
      <c r="K1488" s="15">
        <f>IF(I1488&gt;0, J1488/I1488, 0)</f>
        <v>0</v>
      </c>
      <c r="L1488" s="13">
        <v>10000.0</v>
      </c>
      <c r="M1488" s="13"/>
      <c r="N1488" s="13">
        <f>L1488-M1488</f>
        <v>10000</v>
      </c>
      <c r="O1488" s="8" t="s">
        <v>40</v>
      </c>
      <c r="P1488" s="8" t="s">
        <v>71</v>
      </c>
      <c r="Q1488" s="8" t="s">
        <v>42</v>
      </c>
      <c r="R1488" s="6" t="s">
        <v>2138</v>
      </c>
      <c r="S1488" s="6" t="s">
        <v>42</v>
      </c>
    </row>
    <row r="1489" spans="1:19">
      <c r="A1489" s="9">
        <v>1482</v>
      </c>
      <c r="B1489" s="9" t="s">
        <v>1818</v>
      </c>
      <c r="C1489" s="9" t="s">
        <v>1772</v>
      </c>
      <c r="D1489" s="9" t="s">
        <v>652</v>
      </c>
      <c r="E1489" s="9" t="s">
        <v>33</v>
      </c>
      <c r="F1489" s="7" t="s">
        <v>39</v>
      </c>
      <c r="G1489" s="11">
        <v>1</v>
      </c>
      <c r="H1489" s="11">
        <v>1</v>
      </c>
      <c r="I1489" s="14">
        <v>18000.0</v>
      </c>
      <c r="J1489" s="14"/>
      <c r="K1489" s="16">
        <f>IF(I1489&gt;0, J1489/I1489, 0)</f>
        <v>0</v>
      </c>
      <c r="L1489" s="14">
        <v>18000.0</v>
      </c>
      <c r="M1489" s="14"/>
      <c r="N1489" s="14">
        <f>L1489-M1489</f>
        <v>18000</v>
      </c>
      <c r="O1489" s="9" t="s">
        <v>40</v>
      </c>
      <c r="P1489" s="9" t="s">
        <v>41</v>
      </c>
      <c r="Q1489" s="9" t="s">
        <v>42</v>
      </c>
      <c r="R1489" s="7" t="s">
        <v>2166</v>
      </c>
      <c r="S1489" s="7" t="s">
        <v>42</v>
      </c>
    </row>
    <row r="1490" spans="1:19">
      <c r="A1490" s="8">
        <v>1483</v>
      </c>
      <c r="B1490" s="8" t="s">
        <v>1819</v>
      </c>
      <c r="C1490" s="8" t="s">
        <v>1772</v>
      </c>
      <c r="D1490" s="8" t="s">
        <v>652</v>
      </c>
      <c r="E1490" s="8" t="s">
        <v>33</v>
      </c>
      <c r="F1490" s="6" t="s">
        <v>39</v>
      </c>
      <c r="G1490" s="10">
        <v>1</v>
      </c>
      <c r="H1490" s="10">
        <v>1</v>
      </c>
      <c r="I1490" s="13">
        <v>8000.0</v>
      </c>
      <c r="J1490" s="13"/>
      <c r="K1490" s="15">
        <f>IF(I1490&gt;0, J1490/I1490, 0)</f>
        <v>0</v>
      </c>
      <c r="L1490" s="13">
        <v>8000.0</v>
      </c>
      <c r="M1490" s="13"/>
      <c r="N1490" s="13">
        <f>L1490-M1490</f>
        <v>8000</v>
      </c>
      <c r="O1490" s="8" t="s">
        <v>40</v>
      </c>
      <c r="P1490" s="8" t="s">
        <v>41</v>
      </c>
      <c r="Q1490" s="8" t="s">
        <v>42</v>
      </c>
      <c r="R1490" s="6" t="s">
        <v>2167</v>
      </c>
      <c r="S1490" s="6" t="s">
        <v>42</v>
      </c>
    </row>
    <row r="1491" spans="1:19">
      <c r="A1491" s="9">
        <v>1484</v>
      </c>
      <c r="B1491" s="9" t="s">
        <v>1820</v>
      </c>
      <c r="C1491" s="9" t="s">
        <v>1772</v>
      </c>
      <c r="D1491" s="9" t="s">
        <v>652</v>
      </c>
      <c r="E1491" s="9" t="s">
        <v>33</v>
      </c>
      <c r="F1491" s="7" t="s">
        <v>39</v>
      </c>
      <c r="G1491" s="11">
        <v>1</v>
      </c>
      <c r="H1491" s="11">
        <v>1</v>
      </c>
      <c r="I1491" s="14">
        <v>8000.0</v>
      </c>
      <c r="J1491" s="14"/>
      <c r="K1491" s="16">
        <f>IF(I1491&gt;0, J1491/I1491, 0)</f>
        <v>0</v>
      </c>
      <c r="L1491" s="14">
        <v>8000.0</v>
      </c>
      <c r="M1491" s="14"/>
      <c r="N1491" s="14">
        <f>L1491-M1491</f>
        <v>8000</v>
      </c>
      <c r="O1491" s="9" t="s">
        <v>40</v>
      </c>
      <c r="P1491" s="9" t="s">
        <v>41</v>
      </c>
      <c r="Q1491" s="9" t="s">
        <v>42</v>
      </c>
      <c r="R1491" s="7" t="s">
        <v>2121</v>
      </c>
      <c r="S1491" s="7" t="s">
        <v>42</v>
      </c>
    </row>
    <row r="1492" spans="1:19">
      <c r="A1492" s="8">
        <v>1485</v>
      </c>
      <c r="B1492" s="8" t="s">
        <v>1821</v>
      </c>
      <c r="C1492" s="8" t="s">
        <v>1772</v>
      </c>
      <c r="D1492" s="8" t="s">
        <v>652</v>
      </c>
      <c r="E1492" s="8" t="s">
        <v>33</v>
      </c>
      <c r="F1492" s="6" t="s">
        <v>39</v>
      </c>
      <c r="G1492" s="10">
        <v>1</v>
      </c>
      <c r="H1492" s="10">
        <v>1</v>
      </c>
      <c r="I1492" s="13">
        <v>7000.0</v>
      </c>
      <c r="J1492" s="13"/>
      <c r="K1492" s="15">
        <f>IF(I1492&gt;0, J1492/I1492, 0)</f>
        <v>0</v>
      </c>
      <c r="L1492" s="13">
        <v>7000.0</v>
      </c>
      <c r="M1492" s="13"/>
      <c r="N1492" s="13">
        <f>L1492-M1492</f>
        <v>7000</v>
      </c>
      <c r="O1492" s="8" t="s">
        <v>40</v>
      </c>
      <c r="P1492" s="8" t="s">
        <v>41</v>
      </c>
      <c r="Q1492" s="8" t="s">
        <v>42</v>
      </c>
      <c r="R1492" s="6" t="s">
        <v>2109</v>
      </c>
      <c r="S1492" s="6" t="s">
        <v>42</v>
      </c>
    </row>
    <row r="1493" spans="1:19">
      <c r="A1493" s="9">
        <v>1486</v>
      </c>
      <c r="B1493" s="9" t="s">
        <v>1822</v>
      </c>
      <c r="C1493" s="9" t="s">
        <v>1823</v>
      </c>
      <c r="D1493" s="9" t="s">
        <v>1824</v>
      </c>
      <c r="E1493" s="9" t="s">
        <v>33</v>
      </c>
      <c r="F1493" s="7" t="s">
        <v>39</v>
      </c>
      <c r="G1493" s="11">
        <v>1</v>
      </c>
      <c r="H1493" s="11">
        <v>1</v>
      </c>
      <c r="I1493" s="14">
        <v>7000.0</v>
      </c>
      <c r="J1493" s="14"/>
      <c r="K1493" s="16">
        <f>IF(I1493&gt;0, J1493/I1493, 0)</f>
        <v>0</v>
      </c>
      <c r="L1493" s="14">
        <v>7000.0</v>
      </c>
      <c r="M1493" s="14"/>
      <c r="N1493" s="14">
        <f>L1493-M1493</f>
        <v>7000</v>
      </c>
      <c r="O1493" s="9" t="s">
        <v>40</v>
      </c>
      <c r="P1493" s="9" t="s">
        <v>41</v>
      </c>
      <c r="Q1493" s="9" t="s">
        <v>42</v>
      </c>
      <c r="R1493" s="7" t="s">
        <v>2142</v>
      </c>
      <c r="S1493" s="7" t="s">
        <v>42</v>
      </c>
    </row>
    <row r="1494" spans="1:19">
      <c r="A1494" s="8">
        <v>1487</v>
      </c>
      <c r="B1494" s="8" t="s">
        <v>1825</v>
      </c>
      <c r="C1494" s="8" t="s">
        <v>1823</v>
      </c>
      <c r="D1494" s="8" t="s">
        <v>1824</v>
      </c>
      <c r="E1494" s="8" t="s">
        <v>33</v>
      </c>
      <c r="F1494" s="6" t="s">
        <v>39</v>
      </c>
      <c r="G1494" s="10">
        <v>1</v>
      </c>
      <c r="H1494" s="10">
        <v>1</v>
      </c>
      <c r="I1494" s="13">
        <v>7000.0</v>
      </c>
      <c r="J1494" s="13"/>
      <c r="K1494" s="15">
        <f>IF(I1494&gt;0, J1494/I1494, 0)</f>
        <v>0</v>
      </c>
      <c r="L1494" s="13">
        <v>7000.0</v>
      </c>
      <c r="M1494" s="13"/>
      <c r="N1494" s="13">
        <f>L1494-M1494</f>
        <v>7000</v>
      </c>
      <c r="O1494" s="8" t="s">
        <v>40</v>
      </c>
      <c r="P1494" s="8" t="s">
        <v>41</v>
      </c>
      <c r="Q1494" s="8" t="s">
        <v>42</v>
      </c>
      <c r="R1494" s="6" t="s">
        <v>2107</v>
      </c>
      <c r="S1494" s="6" t="s">
        <v>42</v>
      </c>
    </row>
    <row r="1495" spans="1:19">
      <c r="A1495" s="9">
        <v>1488</v>
      </c>
      <c r="B1495" s="9" t="s">
        <v>1826</v>
      </c>
      <c r="C1495" s="9" t="s">
        <v>1823</v>
      </c>
      <c r="D1495" s="9" t="s">
        <v>1824</v>
      </c>
      <c r="E1495" s="9" t="s">
        <v>33</v>
      </c>
      <c r="F1495" s="7" t="s">
        <v>39</v>
      </c>
      <c r="G1495" s="11">
        <v>1</v>
      </c>
      <c r="H1495" s="11">
        <v>1</v>
      </c>
      <c r="I1495" s="14">
        <v>16500.0</v>
      </c>
      <c r="J1495" s="14"/>
      <c r="K1495" s="16">
        <f>IF(I1495&gt;0, J1495/I1495, 0)</f>
        <v>0</v>
      </c>
      <c r="L1495" s="14">
        <v>16500.0</v>
      </c>
      <c r="M1495" s="14"/>
      <c r="N1495" s="14">
        <f>L1495-M1495</f>
        <v>16500</v>
      </c>
      <c r="O1495" s="9" t="s">
        <v>40</v>
      </c>
      <c r="P1495" s="9" t="s">
        <v>41</v>
      </c>
      <c r="Q1495" s="9" t="s">
        <v>42</v>
      </c>
      <c r="R1495" s="7" t="s">
        <v>2118</v>
      </c>
      <c r="S1495" s="7" t="s">
        <v>42</v>
      </c>
    </row>
    <row r="1496" spans="1:19">
      <c r="A1496" s="8">
        <v>1489</v>
      </c>
      <c r="B1496" s="8" t="s">
        <v>1827</v>
      </c>
      <c r="C1496" s="8" t="s">
        <v>1823</v>
      </c>
      <c r="D1496" s="8" t="s">
        <v>1824</v>
      </c>
      <c r="E1496" s="8" t="s">
        <v>33</v>
      </c>
      <c r="F1496" s="6" t="s">
        <v>39</v>
      </c>
      <c r="G1496" s="10">
        <v>1</v>
      </c>
      <c r="H1496" s="10">
        <v>1</v>
      </c>
      <c r="I1496" s="13">
        <v>9000.0</v>
      </c>
      <c r="J1496" s="13"/>
      <c r="K1496" s="15">
        <f>IF(I1496&gt;0, J1496/I1496, 0)</f>
        <v>0</v>
      </c>
      <c r="L1496" s="13">
        <v>9000.0</v>
      </c>
      <c r="M1496" s="13"/>
      <c r="N1496" s="13">
        <f>L1496-M1496</f>
        <v>9000</v>
      </c>
      <c r="O1496" s="8" t="s">
        <v>40</v>
      </c>
      <c r="P1496" s="8" t="s">
        <v>41</v>
      </c>
      <c r="Q1496" s="8" t="s">
        <v>42</v>
      </c>
      <c r="R1496" s="6" t="s">
        <v>2200</v>
      </c>
      <c r="S1496" s="6" t="s">
        <v>42</v>
      </c>
    </row>
    <row r="1497" spans="1:19">
      <c r="A1497" s="9">
        <v>1490</v>
      </c>
      <c r="B1497" s="9" t="s">
        <v>1828</v>
      </c>
      <c r="C1497" s="9" t="s">
        <v>1823</v>
      </c>
      <c r="D1497" s="9" t="s">
        <v>1824</v>
      </c>
      <c r="E1497" s="9" t="s">
        <v>33</v>
      </c>
      <c r="F1497" s="7" t="s">
        <v>39</v>
      </c>
      <c r="G1497" s="11">
        <v>1</v>
      </c>
      <c r="H1497" s="11">
        <v>2</v>
      </c>
      <c r="I1497" s="14">
        <v>16000.0</v>
      </c>
      <c r="J1497" s="14"/>
      <c r="K1497" s="16">
        <f>IF(I1497&gt;0, J1497/I1497, 0)</f>
        <v>0</v>
      </c>
      <c r="L1497" s="14">
        <v>16000.0</v>
      </c>
      <c r="M1497" s="14"/>
      <c r="N1497" s="14">
        <f>L1497-M1497</f>
        <v>16000</v>
      </c>
      <c r="O1497" s="9" t="s">
        <v>40</v>
      </c>
      <c r="P1497" s="9" t="s">
        <v>41</v>
      </c>
      <c r="Q1497" s="9" t="s">
        <v>42</v>
      </c>
      <c r="R1497" s="7" t="s">
        <v>2104</v>
      </c>
      <c r="S1497" s="7" t="s">
        <v>42</v>
      </c>
    </row>
    <row r="1498" spans="1:19">
      <c r="A1498" s="8">
        <v>1491</v>
      </c>
      <c r="B1498" s="8" t="s">
        <v>1829</v>
      </c>
      <c r="C1498" s="8" t="s">
        <v>1823</v>
      </c>
      <c r="D1498" s="8" t="s">
        <v>1824</v>
      </c>
      <c r="E1498" s="8" t="s">
        <v>33</v>
      </c>
      <c r="F1498" s="6" t="s">
        <v>39</v>
      </c>
      <c r="G1498" s="10">
        <v>1</v>
      </c>
      <c r="H1498" s="10">
        <v>2</v>
      </c>
      <c r="I1498" s="13">
        <v>16000.0</v>
      </c>
      <c r="J1498" s="13"/>
      <c r="K1498" s="15">
        <f>IF(I1498&gt;0, J1498/I1498, 0)</f>
        <v>0</v>
      </c>
      <c r="L1498" s="13">
        <v>16000.0</v>
      </c>
      <c r="M1498" s="13"/>
      <c r="N1498" s="13">
        <f>L1498-M1498</f>
        <v>16000</v>
      </c>
      <c r="O1498" s="8" t="s">
        <v>40</v>
      </c>
      <c r="P1498" s="8" t="s">
        <v>41</v>
      </c>
      <c r="Q1498" s="8" t="s">
        <v>42</v>
      </c>
      <c r="R1498" s="6" t="s">
        <v>2147</v>
      </c>
      <c r="S1498" s="6" t="s">
        <v>42</v>
      </c>
    </row>
    <row r="1499" spans="1:19">
      <c r="A1499" s="9">
        <v>1492</v>
      </c>
      <c r="B1499" s="9" t="s">
        <v>1830</v>
      </c>
      <c r="C1499" s="9" t="s">
        <v>1823</v>
      </c>
      <c r="D1499" s="9" t="s">
        <v>1824</v>
      </c>
      <c r="E1499" s="9" t="s">
        <v>33</v>
      </c>
      <c r="F1499" s="7" t="s">
        <v>39</v>
      </c>
      <c r="G1499" s="11">
        <v>1</v>
      </c>
      <c r="H1499" s="11">
        <v>3</v>
      </c>
      <c r="I1499" s="14">
        <v>21000.0</v>
      </c>
      <c r="J1499" s="14"/>
      <c r="K1499" s="16">
        <f>IF(I1499&gt;0, J1499/I1499, 0)</f>
        <v>0</v>
      </c>
      <c r="L1499" s="14">
        <v>21000.0</v>
      </c>
      <c r="M1499" s="14"/>
      <c r="N1499" s="14">
        <f>L1499-M1499</f>
        <v>21000</v>
      </c>
      <c r="O1499" s="9" t="s">
        <v>40</v>
      </c>
      <c r="P1499" s="9" t="s">
        <v>41</v>
      </c>
      <c r="Q1499" s="9" t="s">
        <v>42</v>
      </c>
      <c r="R1499" s="7" t="s">
        <v>2150</v>
      </c>
      <c r="S1499" s="7" t="s">
        <v>42</v>
      </c>
    </row>
    <row r="1500" spans="1:19">
      <c r="A1500" s="8">
        <v>1493</v>
      </c>
      <c r="B1500" s="8" t="s">
        <v>1831</v>
      </c>
      <c r="C1500" s="8" t="s">
        <v>1823</v>
      </c>
      <c r="D1500" s="8" t="s">
        <v>1824</v>
      </c>
      <c r="E1500" s="8" t="s">
        <v>33</v>
      </c>
      <c r="F1500" s="6" t="s">
        <v>39</v>
      </c>
      <c r="G1500" s="10">
        <v>1</v>
      </c>
      <c r="H1500" s="10">
        <v>2</v>
      </c>
      <c r="I1500" s="13">
        <v>16000.0</v>
      </c>
      <c r="J1500" s="13"/>
      <c r="K1500" s="15">
        <f>IF(I1500&gt;0, J1500/I1500, 0)</f>
        <v>0</v>
      </c>
      <c r="L1500" s="13">
        <v>16000.0</v>
      </c>
      <c r="M1500" s="13"/>
      <c r="N1500" s="13">
        <f>L1500-M1500</f>
        <v>16000</v>
      </c>
      <c r="O1500" s="8" t="s">
        <v>40</v>
      </c>
      <c r="P1500" s="8" t="s">
        <v>41</v>
      </c>
      <c r="Q1500" s="8" t="s">
        <v>42</v>
      </c>
      <c r="R1500" s="6" t="s">
        <v>2147</v>
      </c>
      <c r="S1500" s="6" t="s">
        <v>42</v>
      </c>
    </row>
    <row r="1501" spans="1:19">
      <c r="A1501" s="9">
        <v>1494</v>
      </c>
      <c r="B1501" s="9" t="s">
        <v>1832</v>
      </c>
      <c r="C1501" s="9" t="s">
        <v>1823</v>
      </c>
      <c r="D1501" s="9" t="s">
        <v>1824</v>
      </c>
      <c r="E1501" s="9" t="s">
        <v>33</v>
      </c>
      <c r="F1501" s="7" t="s">
        <v>39</v>
      </c>
      <c r="G1501" s="11">
        <v>1</v>
      </c>
      <c r="H1501" s="11">
        <v>3</v>
      </c>
      <c r="I1501" s="14">
        <v>21000.0</v>
      </c>
      <c r="J1501" s="14"/>
      <c r="K1501" s="16">
        <f>IF(I1501&gt;0, J1501/I1501, 0)</f>
        <v>0</v>
      </c>
      <c r="L1501" s="14">
        <v>21000.0</v>
      </c>
      <c r="M1501" s="14"/>
      <c r="N1501" s="14">
        <f>L1501-M1501</f>
        <v>21000</v>
      </c>
      <c r="O1501" s="9" t="s">
        <v>40</v>
      </c>
      <c r="P1501" s="9" t="s">
        <v>41</v>
      </c>
      <c r="Q1501" s="9" t="s">
        <v>42</v>
      </c>
      <c r="R1501" s="7" t="s">
        <v>2257</v>
      </c>
      <c r="S1501" s="7" t="s">
        <v>42</v>
      </c>
    </row>
    <row r="1502" spans="1:19">
      <c r="A1502" s="8">
        <v>1495</v>
      </c>
      <c r="B1502" s="8" t="s">
        <v>1833</v>
      </c>
      <c r="C1502" s="8" t="s">
        <v>1823</v>
      </c>
      <c r="D1502" s="8" t="s">
        <v>1824</v>
      </c>
      <c r="E1502" s="8" t="s">
        <v>68</v>
      </c>
      <c r="F1502" s="6" t="s">
        <v>39</v>
      </c>
      <c r="G1502" s="10">
        <v>1</v>
      </c>
      <c r="H1502" s="10">
        <v>3</v>
      </c>
      <c r="I1502" s="13">
        <v>51000.0</v>
      </c>
      <c r="J1502" s="13"/>
      <c r="K1502" s="15">
        <f>IF(I1502&gt;0, J1502/I1502, 0)</f>
        <v>0</v>
      </c>
      <c r="L1502" s="13">
        <v>51000.0</v>
      </c>
      <c r="M1502" s="13"/>
      <c r="N1502" s="13">
        <f>L1502-M1502</f>
        <v>51000</v>
      </c>
      <c r="O1502" s="8" t="s">
        <v>40</v>
      </c>
      <c r="P1502" s="8" t="s">
        <v>1233</v>
      </c>
      <c r="Q1502" s="8" t="s">
        <v>42</v>
      </c>
      <c r="R1502" s="6" t="s">
        <v>2289</v>
      </c>
      <c r="S1502" s="6" t="s">
        <v>42</v>
      </c>
    </row>
    <row r="1503" spans="1:19">
      <c r="A1503" s="9">
        <v>1496</v>
      </c>
      <c r="B1503" s="9" t="s">
        <v>1835</v>
      </c>
      <c r="C1503" s="9" t="s">
        <v>1823</v>
      </c>
      <c r="D1503" s="9" t="s">
        <v>1824</v>
      </c>
      <c r="E1503" s="9" t="s">
        <v>68</v>
      </c>
      <c r="F1503" s="7" t="s">
        <v>39</v>
      </c>
      <c r="G1503" s="11">
        <v>1</v>
      </c>
      <c r="H1503" s="11">
        <v>1</v>
      </c>
      <c r="I1503" s="14">
        <v>17000.0</v>
      </c>
      <c r="J1503" s="14"/>
      <c r="K1503" s="16">
        <f>IF(I1503&gt;0, J1503/I1503, 0)</f>
        <v>0</v>
      </c>
      <c r="L1503" s="14">
        <v>17000.0</v>
      </c>
      <c r="M1503" s="14"/>
      <c r="N1503" s="14">
        <f>L1503-M1503</f>
        <v>17000</v>
      </c>
      <c r="O1503" s="9" t="s">
        <v>40</v>
      </c>
      <c r="P1503" s="9" t="s">
        <v>1233</v>
      </c>
      <c r="Q1503" s="9" t="s">
        <v>42</v>
      </c>
      <c r="R1503" s="7" t="s">
        <v>2144</v>
      </c>
      <c r="S1503" s="7" t="s">
        <v>42</v>
      </c>
    </row>
    <row r="1504" spans="1:19">
      <c r="A1504" s="8">
        <v>1497</v>
      </c>
      <c r="B1504" s="8" t="s">
        <v>1836</v>
      </c>
      <c r="C1504" s="8" t="s">
        <v>1837</v>
      </c>
      <c r="D1504" s="8" t="s">
        <v>1824</v>
      </c>
      <c r="E1504" s="8" t="s">
        <v>33</v>
      </c>
      <c r="F1504" s="6" t="s">
        <v>39</v>
      </c>
      <c r="G1504" s="10">
        <v>1</v>
      </c>
      <c r="H1504" s="10">
        <v>1</v>
      </c>
      <c r="I1504" s="13">
        <v>16500.0</v>
      </c>
      <c r="J1504" s="13"/>
      <c r="K1504" s="15">
        <f>IF(I1504&gt;0, J1504/I1504, 0)</f>
        <v>0</v>
      </c>
      <c r="L1504" s="13">
        <v>16500.0</v>
      </c>
      <c r="M1504" s="13"/>
      <c r="N1504" s="13">
        <f>L1504-M1504</f>
        <v>16500</v>
      </c>
      <c r="O1504" s="8" t="s">
        <v>40</v>
      </c>
      <c r="P1504" s="8" t="s">
        <v>41</v>
      </c>
      <c r="Q1504" s="8" t="s">
        <v>42</v>
      </c>
      <c r="R1504" s="6" t="s">
        <v>2093</v>
      </c>
      <c r="S1504" s="6" t="s">
        <v>42</v>
      </c>
    </row>
    <row r="1505" spans="1:19">
      <c r="A1505" s="9">
        <v>1498</v>
      </c>
      <c r="B1505" s="9" t="s">
        <v>1838</v>
      </c>
      <c r="C1505" s="9" t="s">
        <v>1837</v>
      </c>
      <c r="D1505" s="9" t="s">
        <v>1824</v>
      </c>
      <c r="E1505" s="9" t="s">
        <v>33</v>
      </c>
      <c r="F1505" s="7" t="s">
        <v>39</v>
      </c>
      <c r="G1505" s="11">
        <v>1</v>
      </c>
      <c r="H1505" s="11">
        <v>1</v>
      </c>
      <c r="I1505" s="14">
        <v>7500.0</v>
      </c>
      <c r="J1505" s="14"/>
      <c r="K1505" s="16">
        <f>IF(I1505&gt;0, J1505/I1505, 0)</f>
        <v>0</v>
      </c>
      <c r="L1505" s="14">
        <v>7500.0</v>
      </c>
      <c r="M1505" s="14"/>
      <c r="N1505" s="14">
        <f>L1505-M1505</f>
        <v>7500</v>
      </c>
      <c r="O1505" s="9" t="s">
        <v>40</v>
      </c>
      <c r="P1505" s="9" t="s">
        <v>41</v>
      </c>
      <c r="Q1505" s="9" t="s">
        <v>42</v>
      </c>
      <c r="R1505" s="7" t="s">
        <v>2154</v>
      </c>
      <c r="S1505" s="7" t="s">
        <v>42</v>
      </c>
    </row>
    <row r="1506" spans="1:19">
      <c r="A1506" s="8">
        <v>1499</v>
      </c>
      <c r="B1506" s="8" t="s">
        <v>1839</v>
      </c>
      <c r="C1506" s="8" t="s">
        <v>1837</v>
      </c>
      <c r="D1506" s="8" t="s">
        <v>1824</v>
      </c>
      <c r="E1506" s="8" t="s">
        <v>68</v>
      </c>
      <c r="F1506" s="6" t="s">
        <v>39</v>
      </c>
      <c r="G1506" s="10">
        <v>1</v>
      </c>
      <c r="H1506" s="10">
        <v>1</v>
      </c>
      <c r="I1506" s="13">
        <v>9000.0</v>
      </c>
      <c r="J1506" s="13"/>
      <c r="K1506" s="15">
        <f>IF(I1506&gt;0, J1506/I1506, 0)</f>
        <v>0</v>
      </c>
      <c r="L1506" s="13">
        <v>9000.0</v>
      </c>
      <c r="M1506" s="13"/>
      <c r="N1506" s="13">
        <f>L1506-M1506</f>
        <v>9000</v>
      </c>
      <c r="O1506" s="8" t="s">
        <v>40</v>
      </c>
      <c r="P1506" s="8" t="s">
        <v>71</v>
      </c>
      <c r="Q1506" s="8" t="s">
        <v>42</v>
      </c>
      <c r="R1506" s="6" t="s">
        <v>2181</v>
      </c>
      <c r="S1506" s="6" t="s">
        <v>42</v>
      </c>
    </row>
    <row r="1507" spans="1:19">
      <c r="A1507" s="9">
        <v>1500</v>
      </c>
      <c r="B1507" s="9" t="s">
        <v>1840</v>
      </c>
      <c r="C1507" s="9" t="s">
        <v>1837</v>
      </c>
      <c r="D1507" s="9" t="s">
        <v>1824</v>
      </c>
      <c r="E1507" s="9" t="s">
        <v>33</v>
      </c>
      <c r="F1507" s="7" t="s">
        <v>39</v>
      </c>
      <c r="G1507" s="11">
        <v>1</v>
      </c>
      <c r="H1507" s="11">
        <v>1</v>
      </c>
      <c r="I1507" s="14">
        <v>18000.0</v>
      </c>
      <c r="J1507" s="14"/>
      <c r="K1507" s="16">
        <f>IF(I1507&gt;0, J1507/I1507, 0)</f>
        <v>0</v>
      </c>
      <c r="L1507" s="14">
        <v>18000.0</v>
      </c>
      <c r="M1507" s="14"/>
      <c r="N1507" s="14">
        <f>L1507-M1507</f>
        <v>18000</v>
      </c>
      <c r="O1507" s="9" t="s">
        <v>40</v>
      </c>
      <c r="P1507" s="9" t="s">
        <v>41</v>
      </c>
      <c r="Q1507" s="9" t="s">
        <v>42</v>
      </c>
      <c r="R1507" s="7" t="s">
        <v>2169</v>
      </c>
      <c r="S1507" s="7" t="s">
        <v>42</v>
      </c>
    </row>
    <row r="1508" spans="1:19">
      <c r="A1508" s="8">
        <v>1501</v>
      </c>
      <c r="B1508" s="8" t="s">
        <v>1841</v>
      </c>
      <c r="C1508" s="8" t="s">
        <v>1837</v>
      </c>
      <c r="D1508" s="8" t="s">
        <v>1824</v>
      </c>
      <c r="E1508" s="8" t="s">
        <v>33</v>
      </c>
      <c r="F1508" s="6" t="s">
        <v>39</v>
      </c>
      <c r="G1508" s="10">
        <v>1</v>
      </c>
      <c r="H1508" s="10">
        <v>1</v>
      </c>
      <c r="I1508" s="13">
        <v>9500.0</v>
      </c>
      <c r="J1508" s="13"/>
      <c r="K1508" s="15">
        <f>IF(I1508&gt;0, J1508/I1508, 0)</f>
        <v>0</v>
      </c>
      <c r="L1508" s="13">
        <v>9500.0</v>
      </c>
      <c r="M1508" s="13"/>
      <c r="N1508" s="13">
        <f>L1508-M1508</f>
        <v>9500</v>
      </c>
      <c r="O1508" s="8" t="s">
        <v>40</v>
      </c>
      <c r="P1508" s="8" t="s">
        <v>41</v>
      </c>
      <c r="Q1508" s="8" t="s">
        <v>42</v>
      </c>
      <c r="R1508" s="6" t="s">
        <v>2129</v>
      </c>
      <c r="S1508" s="6" t="s">
        <v>42</v>
      </c>
    </row>
    <row r="1509" spans="1:19">
      <c r="A1509" s="9">
        <v>1502</v>
      </c>
      <c r="B1509" s="9" t="s">
        <v>1842</v>
      </c>
      <c r="C1509" s="9" t="s">
        <v>1837</v>
      </c>
      <c r="D1509" s="9" t="s">
        <v>1824</v>
      </c>
      <c r="E1509" s="9" t="s">
        <v>33</v>
      </c>
      <c r="F1509" s="7" t="s">
        <v>39</v>
      </c>
      <c r="G1509" s="11">
        <v>1</v>
      </c>
      <c r="H1509" s="11">
        <v>2</v>
      </c>
      <c r="I1509" s="14">
        <v>17000.0</v>
      </c>
      <c r="J1509" s="14"/>
      <c r="K1509" s="16">
        <f>IF(I1509&gt;0, J1509/I1509, 0)</f>
        <v>0</v>
      </c>
      <c r="L1509" s="14">
        <v>17000.0</v>
      </c>
      <c r="M1509" s="14"/>
      <c r="N1509" s="14">
        <f>L1509-M1509</f>
        <v>17000</v>
      </c>
      <c r="O1509" s="9" t="s">
        <v>40</v>
      </c>
      <c r="P1509" s="9" t="s">
        <v>41</v>
      </c>
      <c r="Q1509" s="9" t="s">
        <v>42</v>
      </c>
      <c r="R1509" s="7" t="s">
        <v>2226</v>
      </c>
      <c r="S1509" s="7" t="s">
        <v>42</v>
      </c>
    </row>
    <row r="1510" spans="1:19">
      <c r="A1510" s="8">
        <v>1503</v>
      </c>
      <c r="B1510" s="8" t="s">
        <v>1843</v>
      </c>
      <c r="C1510" s="8" t="s">
        <v>1837</v>
      </c>
      <c r="D1510" s="8" t="s">
        <v>1824</v>
      </c>
      <c r="E1510" s="8" t="s">
        <v>33</v>
      </c>
      <c r="F1510" s="6" t="s">
        <v>39</v>
      </c>
      <c r="G1510" s="10">
        <v>1</v>
      </c>
      <c r="H1510" s="10">
        <v>1</v>
      </c>
      <c r="I1510" s="13">
        <v>9000.0</v>
      </c>
      <c r="J1510" s="13"/>
      <c r="K1510" s="15">
        <f>IF(I1510&gt;0, J1510/I1510, 0)</f>
        <v>0</v>
      </c>
      <c r="L1510" s="13">
        <v>9000.0</v>
      </c>
      <c r="M1510" s="13"/>
      <c r="N1510" s="13">
        <f>L1510-M1510</f>
        <v>9000</v>
      </c>
      <c r="O1510" s="8" t="s">
        <v>40</v>
      </c>
      <c r="P1510" s="8" t="s">
        <v>41</v>
      </c>
      <c r="Q1510" s="8" t="s">
        <v>42</v>
      </c>
      <c r="R1510" s="6" t="s">
        <v>2081</v>
      </c>
      <c r="S1510" s="6" t="s">
        <v>42</v>
      </c>
    </row>
    <row r="1511" spans="1:19">
      <c r="A1511" s="9">
        <v>1504</v>
      </c>
      <c r="B1511" s="9" t="s">
        <v>1844</v>
      </c>
      <c r="C1511" s="9" t="s">
        <v>1837</v>
      </c>
      <c r="D1511" s="9" t="s">
        <v>1824</v>
      </c>
      <c r="E1511" s="9" t="s">
        <v>33</v>
      </c>
      <c r="F1511" s="7" t="s">
        <v>39</v>
      </c>
      <c r="G1511" s="11">
        <v>1</v>
      </c>
      <c r="H1511" s="11">
        <v>2</v>
      </c>
      <c r="I1511" s="14">
        <v>16000.0</v>
      </c>
      <c r="J1511" s="14"/>
      <c r="K1511" s="16">
        <f>IF(I1511&gt;0, J1511/I1511, 0)</f>
        <v>0</v>
      </c>
      <c r="L1511" s="14">
        <v>16000.0</v>
      </c>
      <c r="M1511" s="14"/>
      <c r="N1511" s="14">
        <f>L1511-M1511</f>
        <v>16000</v>
      </c>
      <c r="O1511" s="9" t="s">
        <v>40</v>
      </c>
      <c r="P1511" s="9" t="s">
        <v>41</v>
      </c>
      <c r="Q1511" s="9" t="s">
        <v>42</v>
      </c>
      <c r="R1511" s="7" t="s">
        <v>2168</v>
      </c>
      <c r="S1511" s="7" t="s">
        <v>42</v>
      </c>
    </row>
    <row r="1512" spans="1:19">
      <c r="A1512" s="8">
        <v>1505</v>
      </c>
      <c r="B1512" s="8" t="s">
        <v>1845</v>
      </c>
      <c r="C1512" s="8" t="s">
        <v>1837</v>
      </c>
      <c r="D1512" s="8" t="s">
        <v>1824</v>
      </c>
      <c r="E1512" s="8" t="s">
        <v>68</v>
      </c>
      <c r="F1512" s="6" t="s">
        <v>39</v>
      </c>
      <c r="G1512" s="10">
        <v>1</v>
      </c>
      <c r="H1512" s="10">
        <v>1</v>
      </c>
      <c r="I1512" s="13">
        <v>18000.0</v>
      </c>
      <c r="J1512" s="13"/>
      <c r="K1512" s="15">
        <f>IF(I1512&gt;0, J1512/I1512, 0)</f>
        <v>0</v>
      </c>
      <c r="L1512" s="13">
        <v>18000.0</v>
      </c>
      <c r="M1512" s="13"/>
      <c r="N1512" s="13">
        <f>L1512-M1512</f>
        <v>18000</v>
      </c>
      <c r="O1512" s="8" t="s">
        <v>40</v>
      </c>
      <c r="P1512" s="8" t="s">
        <v>1233</v>
      </c>
      <c r="Q1512" s="8" t="s">
        <v>42</v>
      </c>
      <c r="R1512" s="6" t="s">
        <v>2080</v>
      </c>
      <c r="S1512" s="6" t="s">
        <v>42</v>
      </c>
    </row>
    <row r="1513" spans="1:19">
      <c r="A1513" s="9">
        <v>1506</v>
      </c>
      <c r="B1513" s="9" t="s">
        <v>1846</v>
      </c>
      <c r="C1513" s="9" t="s">
        <v>1837</v>
      </c>
      <c r="D1513" s="9" t="s">
        <v>1824</v>
      </c>
      <c r="E1513" s="9" t="s">
        <v>33</v>
      </c>
      <c r="F1513" s="7" t="s">
        <v>39</v>
      </c>
      <c r="G1513" s="11">
        <v>1</v>
      </c>
      <c r="H1513" s="11">
        <v>1</v>
      </c>
      <c r="I1513" s="14">
        <v>7000.0</v>
      </c>
      <c r="J1513" s="14"/>
      <c r="K1513" s="16">
        <f>IF(I1513&gt;0, J1513/I1513, 0)</f>
        <v>0</v>
      </c>
      <c r="L1513" s="14">
        <v>7000.0</v>
      </c>
      <c r="M1513" s="14"/>
      <c r="N1513" s="14">
        <f>L1513-M1513</f>
        <v>7000</v>
      </c>
      <c r="O1513" s="9" t="s">
        <v>40</v>
      </c>
      <c r="P1513" s="9" t="s">
        <v>41</v>
      </c>
      <c r="Q1513" s="9" t="s">
        <v>42</v>
      </c>
      <c r="R1513" s="7" t="s">
        <v>2083</v>
      </c>
      <c r="S1513" s="7" t="s">
        <v>42</v>
      </c>
    </row>
    <row r="1514" spans="1:19">
      <c r="A1514" s="8">
        <v>1507</v>
      </c>
      <c r="B1514" s="8" t="s">
        <v>1847</v>
      </c>
      <c r="C1514" s="8" t="s">
        <v>1837</v>
      </c>
      <c r="D1514" s="8" t="s">
        <v>1824</v>
      </c>
      <c r="E1514" s="8" t="s">
        <v>33</v>
      </c>
      <c r="F1514" s="6" t="s">
        <v>39</v>
      </c>
      <c r="G1514" s="10">
        <v>1</v>
      </c>
      <c r="H1514" s="10">
        <v>1</v>
      </c>
      <c r="I1514" s="13">
        <v>8000.0</v>
      </c>
      <c r="J1514" s="13"/>
      <c r="K1514" s="15">
        <f>IF(I1514&gt;0, J1514/I1514, 0)</f>
        <v>0</v>
      </c>
      <c r="L1514" s="13">
        <v>8000.0</v>
      </c>
      <c r="M1514" s="13"/>
      <c r="N1514" s="13">
        <f>L1514-M1514</f>
        <v>8000</v>
      </c>
      <c r="O1514" s="8" t="s">
        <v>40</v>
      </c>
      <c r="P1514" s="8" t="s">
        <v>41</v>
      </c>
      <c r="Q1514" s="8" t="s">
        <v>42</v>
      </c>
      <c r="R1514" s="6" t="s">
        <v>2084</v>
      </c>
      <c r="S1514" s="6" t="s">
        <v>42</v>
      </c>
    </row>
    <row r="1515" spans="1:19">
      <c r="A1515" s="9">
        <v>1508</v>
      </c>
      <c r="B1515" s="9" t="s">
        <v>1848</v>
      </c>
      <c r="C1515" s="9" t="s">
        <v>1837</v>
      </c>
      <c r="D1515" s="9" t="s">
        <v>1824</v>
      </c>
      <c r="E1515" s="9" t="s">
        <v>33</v>
      </c>
      <c r="F1515" s="7" t="s">
        <v>39</v>
      </c>
      <c r="G1515" s="11">
        <v>1</v>
      </c>
      <c r="H1515" s="11">
        <v>2</v>
      </c>
      <c r="I1515" s="14">
        <v>14000.0</v>
      </c>
      <c r="J1515" s="14"/>
      <c r="K1515" s="16">
        <f>IF(I1515&gt;0, J1515/I1515, 0)</f>
        <v>0</v>
      </c>
      <c r="L1515" s="14">
        <v>14000.0</v>
      </c>
      <c r="M1515" s="14"/>
      <c r="N1515" s="14">
        <f>L1515-M1515</f>
        <v>14000</v>
      </c>
      <c r="O1515" s="9" t="s">
        <v>40</v>
      </c>
      <c r="P1515" s="9" t="s">
        <v>41</v>
      </c>
      <c r="Q1515" s="9" t="s">
        <v>42</v>
      </c>
      <c r="R1515" s="7" t="s">
        <v>2102</v>
      </c>
      <c r="S1515" s="7" t="s">
        <v>42</v>
      </c>
    </row>
    <row r="1516" spans="1:19">
      <c r="A1516" s="8">
        <v>1509</v>
      </c>
      <c r="B1516" s="8" t="s">
        <v>1849</v>
      </c>
      <c r="C1516" s="8" t="s">
        <v>1837</v>
      </c>
      <c r="D1516" s="8" t="s">
        <v>1824</v>
      </c>
      <c r="E1516" s="8" t="s">
        <v>33</v>
      </c>
      <c r="F1516" s="6" t="s">
        <v>39</v>
      </c>
      <c r="G1516" s="10">
        <v>1</v>
      </c>
      <c r="H1516" s="10">
        <v>1</v>
      </c>
      <c r="I1516" s="13">
        <v>16000.0</v>
      </c>
      <c r="J1516" s="13"/>
      <c r="K1516" s="15">
        <f>IF(I1516&gt;0, J1516/I1516, 0)</f>
        <v>0</v>
      </c>
      <c r="L1516" s="13">
        <v>16000.0</v>
      </c>
      <c r="M1516" s="13"/>
      <c r="N1516" s="13">
        <f>L1516-M1516</f>
        <v>16000</v>
      </c>
      <c r="O1516" s="8" t="s">
        <v>40</v>
      </c>
      <c r="P1516" s="8" t="s">
        <v>41</v>
      </c>
      <c r="Q1516" s="8" t="s">
        <v>42</v>
      </c>
      <c r="R1516" s="6" t="s">
        <v>2090</v>
      </c>
      <c r="S1516" s="6" t="s">
        <v>42</v>
      </c>
    </row>
    <row r="1517" spans="1:19">
      <c r="A1517" s="9">
        <v>1510</v>
      </c>
      <c r="B1517" s="9" t="s">
        <v>1850</v>
      </c>
      <c r="C1517" s="9" t="s">
        <v>1837</v>
      </c>
      <c r="D1517" s="9" t="s">
        <v>1824</v>
      </c>
      <c r="E1517" s="9" t="s">
        <v>33</v>
      </c>
      <c r="F1517" s="7" t="s">
        <v>39</v>
      </c>
      <c r="G1517" s="11">
        <v>1</v>
      </c>
      <c r="H1517" s="11">
        <v>1</v>
      </c>
      <c r="I1517" s="14">
        <v>8000.0</v>
      </c>
      <c r="J1517" s="14"/>
      <c r="K1517" s="16">
        <f>IF(I1517&gt;0, J1517/I1517, 0)</f>
        <v>0</v>
      </c>
      <c r="L1517" s="14">
        <v>8000.0</v>
      </c>
      <c r="M1517" s="14"/>
      <c r="N1517" s="14">
        <f>L1517-M1517</f>
        <v>8000</v>
      </c>
      <c r="O1517" s="9" t="s">
        <v>40</v>
      </c>
      <c r="P1517" s="9" t="s">
        <v>41</v>
      </c>
      <c r="Q1517" s="9" t="s">
        <v>42</v>
      </c>
      <c r="R1517" s="7" t="s">
        <v>2074</v>
      </c>
      <c r="S1517" s="7" t="s">
        <v>42</v>
      </c>
    </row>
    <row r="1518" spans="1:19">
      <c r="A1518" s="8">
        <v>1511</v>
      </c>
      <c r="B1518" s="8" t="s">
        <v>1851</v>
      </c>
      <c r="C1518" s="8" t="s">
        <v>1837</v>
      </c>
      <c r="D1518" s="8" t="s">
        <v>1824</v>
      </c>
      <c r="E1518" s="8" t="s">
        <v>33</v>
      </c>
      <c r="F1518" s="6" t="s">
        <v>39</v>
      </c>
      <c r="G1518" s="10">
        <v>1</v>
      </c>
      <c r="H1518" s="10">
        <v>1</v>
      </c>
      <c r="I1518" s="13">
        <v>9500.0</v>
      </c>
      <c r="J1518" s="13"/>
      <c r="K1518" s="15">
        <f>IF(I1518&gt;0, J1518/I1518, 0)</f>
        <v>0</v>
      </c>
      <c r="L1518" s="13">
        <v>9500.0</v>
      </c>
      <c r="M1518" s="13"/>
      <c r="N1518" s="13">
        <f>L1518-M1518</f>
        <v>9500</v>
      </c>
      <c r="O1518" s="8" t="s">
        <v>40</v>
      </c>
      <c r="P1518" s="8" t="s">
        <v>41</v>
      </c>
      <c r="Q1518" s="8" t="s">
        <v>42</v>
      </c>
      <c r="R1518" s="6" t="s">
        <v>2290</v>
      </c>
      <c r="S1518" s="6" t="s">
        <v>42</v>
      </c>
    </row>
    <row r="1519" spans="1:19">
      <c r="A1519" s="9">
        <v>1512</v>
      </c>
      <c r="B1519" s="9" t="s">
        <v>1855</v>
      </c>
      <c r="C1519" s="9" t="s">
        <v>1837</v>
      </c>
      <c r="D1519" s="9" t="s">
        <v>1824</v>
      </c>
      <c r="E1519" s="9" t="s">
        <v>33</v>
      </c>
      <c r="F1519" s="7" t="s">
        <v>39</v>
      </c>
      <c r="G1519" s="11">
        <v>1</v>
      </c>
      <c r="H1519" s="11">
        <v>1</v>
      </c>
      <c r="I1519" s="14">
        <v>8500.0</v>
      </c>
      <c r="J1519" s="14"/>
      <c r="K1519" s="16">
        <f>IF(I1519&gt;0, J1519/I1519, 0)</f>
        <v>0</v>
      </c>
      <c r="L1519" s="14">
        <v>8500.0</v>
      </c>
      <c r="M1519" s="14"/>
      <c r="N1519" s="14">
        <f>L1519-M1519</f>
        <v>8500</v>
      </c>
      <c r="O1519" s="9" t="s">
        <v>40</v>
      </c>
      <c r="P1519" s="9" t="s">
        <v>41</v>
      </c>
      <c r="Q1519" s="9" t="s">
        <v>42</v>
      </c>
      <c r="R1519" s="7" t="s">
        <v>2099</v>
      </c>
      <c r="S1519" s="7" t="s">
        <v>42</v>
      </c>
    </row>
    <row r="1520" spans="1:19">
      <c r="A1520" s="8">
        <v>1513</v>
      </c>
      <c r="B1520" s="8" t="s">
        <v>1856</v>
      </c>
      <c r="C1520" s="8" t="s">
        <v>1837</v>
      </c>
      <c r="D1520" s="8" t="s">
        <v>1824</v>
      </c>
      <c r="E1520" s="8" t="s">
        <v>33</v>
      </c>
      <c r="F1520" s="6" t="s">
        <v>39</v>
      </c>
      <c r="G1520" s="10">
        <v>1</v>
      </c>
      <c r="H1520" s="10">
        <v>1</v>
      </c>
      <c r="I1520" s="13">
        <v>7500.0</v>
      </c>
      <c r="J1520" s="13"/>
      <c r="K1520" s="15">
        <f>IF(I1520&gt;0, J1520/I1520, 0)</f>
        <v>0</v>
      </c>
      <c r="L1520" s="13">
        <v>7500.0</v>
      </c>
      <c r="M1520" s="13"/>
      <c r="N1520" s="13">
        <f>L1520-M1520</f>
        <v>7500</v>
      </c>
      <c r="O1520" s="8" t="s">
        <v>40</v>
      </c>
      <c r="P1520" s="8" t="s">
        <v>41</v>
      </c>
      <c r="Q1520" s="8" t="s">
        <v>42</v>
      </c>
      <c r="R1520" s="6" t="s">
        <v>2291</v>
      </c>
      <c r="S1520" s="6" t="s">
        <v>42</v>
      </c>
    </row>
    <row r="1521" spans="1:19">
      <c r="A1521" s="9">
        <v>1514</v>
      </c>
      <c r="B1521" s="9" t="s">
        <v>1859</v>
      </c>
      <c r="C1521" s="9" t="s">
        <v>1837</v>
      </c>
      <c r="D1521" s="9" t="s">
        <v>1824</v>
      </c>
      <c r="E1521" s="9" t="s">
        <v>33</v>
      </c>
      <c r="F1521" s="7" t="s">
        <v>39</v>
      </c>
      <c r="G1521" s="11">
        <v>1</v>
      </c>
      <c r="H1521" s="11">
        <v>1</v>
      </c>
      <c r="I1521" s="14">
        <v>18000.0</v>
      </c>
      <c r="J1521" s="14"/>
      <c r="K1521" s="16">
        <f>IF(I1521&gt;0, J1521/I1521, 0)</f>
        <v>0</v>
      </c>
      <c r="L1521" s="14">
        <v>18000.0</v>
      </c>
      <c r="M1521" s="14"/>
      <c r="N1521" s="14">
        <f>L1521-M1521</f>
        <v>18000</v>
      </c>
      <c r="O1521" s="9" t="s">
        <v>40</v>
      </c>
      <c r="P1521" s="9" t="s">
        <v>41</v>
      </c>
      <c r="Q1521" s="9" t="s">
        <v>42</v>
      </c>
      <c r="R1521" s="7" t="s">
        <v>2169</v>
      </c>
      <c r="S1521" s="7" t="s">
        <v>42</v>
      </c>
    </row>
    <row r="1522" spans="1:19">
      <c r="A1522" s="8">
        <v>1515</v>
      </c>
      <c r="B1522" s="8" t="s">
        <v>1860</v>
      </c>
      <c r="C1522" s="8" t="s">
        <v>1837</v>
      </c>
      <c r="D1522" s="8" t="s">
        <v>1824</v>
      </c>
      <c r="E1522" s="8" t="s">
        <v>33</v>
      </c>
      <c r="F1522" s="6" t="s">
        <v>39</v>
      </c>
      <c r="G1522" s="10">
        <v>1</v>
      </c>
      <c r="H1522" s="10">
        <v>1</v>
      </c>
      <c r="I1522" s="13">
        <v>8500.0</v>
      </c>
      <c r="J1522" s="13"/>
      <c r="K1522" s="15">
        <f>IF(I1522&gt;0, J1522/I1522, 0)</f>
        <v>0</v>
      </c>
      <c r="L1522" s="13">
        <v>8500.0</v>
      </c>
      <c r="M1522" s="13"/>
      <c r="N1522" s="13">
        <f>L1522-M1522</f>
        <v>8500</v>
      </c>
      <c r="O1522" s="8" t="s">
        <v>40</v>
      </c>
      <c r="P1522" s="8" t="s">
        <v>41</v>
      </c>
      <c r="Q1522" s="8" t="s">
        <v>42</v>
      </c>
      <c r="R1522" s="6" t="s">
        <v>2076</v>
      </c>
      <c r="S1522" s="6" t="s">
        <v>42</v>
      </c>
    </row>
    <row r="1523" spans="1:19">
      <c r="A1523" s="9">
        <v>1516</v>
      </c>
      <c r="B1523" s="9" t="s">
        <v>1861</v>
      </c>
      <c r="C1523" s="9" t="s">
        <v>1837</v>
      </c>
      <c r="D1523" s="9" t="s">
        <v>1824</v>
      </c>
      <c r="E1523" s="9" t="s">
        <v>33</v>
      </c>
      <c r="F1523" s="7" t="s">
        <v>39</v>
      </c>
      <c r="G1523" s="11">
        <v>1</v>
      </c>
      <c r="H1523" s="11">
        <v>1</v>
      </c>
      <c r="I1523" s="14">
        <v>7500.0</v>
      </c>
      <c r="J1523" s="14"/>
      <c r="K1523" s="16">
        <f>IF(I1523&gt;0, J1523/I1523, 0)</f>
        <v>0</v>
      </c>
      <c r="L1523" s="14">
        <v>7500.0</v>
      </c>
      <c r="M1523" s="14"/>
      <c r="N1523" s="14">
        <f>L1523-M1523</f>
        <v>7500</v>
      </c>
      <c r="O1523" s="9" t="s">
        <v>40</v>
      </c>
      <c r="P1523" s="9" t="s">
        <v>41</v>
      </c>
      <c r="Q1523" s="9" t="s">
        <v>42</v>
      </c>
      <c r="R1523" s="7" t="s">
        <v>2100</v>
      </c>
      <c r="S1523" s="7" t="s">
        <v>42</v>
      </c>
    </row>
    <row r="1524" spans="1:19">
      <c r="A1524" s="8">
        <v>1517</v>
      </c>
      <c r="B1524" s="8" t="s">
        <v>1862</v>
      </c>
      <c r="C1524" s="8" t="s">
        <v>1837</v>
      </c>
      <c r="D1524" s="8" t="s">
        <v>1824</v>
      </c>
      <c r="E1524" s="8" t="s">
        <v>33</v>
      </c>
      <c r="F1524" s="6" t="s">
        <v>39</v>
      </c>
      <c r="G1524" s="10">
        <v>1</v>
      </c>
      <c r="H1524" s="10">
        <v>1</v>
      </c>
      <c r="I1524" s="13">
        <v>8000.0</v>
      </c>
      <c r="J1524" s="13"/>
      <c r="K1524" s="15">
        <f>IF(I1524&gt;0, J1524/I1524, 0)</f>
        <v>0</v>
      </c>
      <c r="L1524" s="13">
        <v>8000.0</v>
      </c>
      <c r="M1524" s="13"/>
      <c r="N1524" s="13">
        <f>L1524-M1524</f>
        <v>8000</v>
      </c>
      <c r="O1524" s="8" t="s">
        <v>40</v>
      </c>
      <c r="P1524" s="8" t="s">
        <v>41</v>
      </c>
      <c r="Q1524" s="8" t="s">
        <v>42</v>
      </c>
      <c r="R1524" s="6" t="s">
        <v>2082</v>
      </c>
      <c r="S1524" s="6" t="s">
        <v>42</v>
      </c>
    </row>
    <row r="1525" spans="1:19">
      <c r="A1525" s="9">
        <v>1518</v>
      </c>
      <c r="B1525" s="9" t="s">
        <v>1863</v>
      </c>
      <c r="C1525" s="9" t="s">
        <v>1837</v>
      </c>
      <c r="D1525" s="9" t="s">
        <v>1824</v>
      </c>
      <c r="E1525" s="9" t="s">
        <v>33</v>
      </c>
      <c r="F1525" s="7" t="s">
        <v>39</v>
      </c>
      <c r="G1525" s="11">
        <v>1</v>
      </c>
      <c r="H1525" s="11">
        <v>1</v>
      </c>
      <c r="I1525" s="14">
        <v>8000.0</v>
      </c>
      <c r="J1525" s="14"/>
      <c r="K1525" s="16">
        <f>IF(I1525&gt;0, J1525/I1525, 0)</f>
        <v>0</v>
      </c>
      <c r="L1525" s="14">
        <v>8000.0</v>
      </c>
      <c r="M1525" s="14"/>
      <c r="N1525" s="14">
        <f>L1525-M1525</f>
        <v>8000</v>
      </c>
      <c r="O1525" s="9" t="s">
        <v>40</v>
      </c>
      <c r="P1525" s="9" t="s">
        <v>41</v>
      </c>
      <c r="Q1525" s="9" t="s">
        <v>42</v>
      </c>
      <c r="R1525" s="7" t="s">
        <v>2082</v>
      </c>
      <c r="S1525" s="7" t="s">
        <v>42</v>
      </c>
    </row>
    <row r="1526" spans="1:19">
      <c r="A1526" s="8">
        <v>1519</v>
      </c>
      <c r="B1526" s="8" t="s">
        <v>1864</v>
      </c>
      <c r="C1526" s="8" t="s">
        <v>1837</v>
      </c>
      <c r="D1526" s="8" t="s">
        <v>1824</v>
      </c>
      <c r="E1526" s="8" t="s">
        <v>33</v>
      </c>
      <c r="F1526" s="6" t="s">
        <v>39</v>
      </c>
      <c r="G1526" s="10">
        <v>1</v>
      </c>
      <c r="H1526" s="10">
        <v>1</v>
      </c>
      <c r="I1526" s="13">
        <v>16500.0</v>
      </c>
      <c r="J1526" s="13"/>
      <c r="K1526" s="15">
        <f>IF(I1526&gt;0, J1526/I1526, 0)</f>
        <v>0</v>
      </c>
      <c r="L1526" s="13">
        <v>16500.0</v>
      </c>
      <c r="M1526" s="13"/>
      <c r="N1526" s="13">
        <f>L1526-M1526</f>
        <v>16500</v>
      </c>
      <c r="O1526" s="8" t="s">
        <v>40</v>
      </c>
      <c r="P1526" s="8" t="s">
        <v>41</v>
      </c>
      <c r="Q1526" s="8" t="s">
        <v>42</v>
      </c>
      <c r="R1526" s="6" t="s">
        <v>2118</v>
      </c>
      <c r="S1526" s="6" t="s">
        <v>42</v>
      </c>
    </row>
    <row r="1527" spans="1:19">
      <c r="A1527" s="9">
        <v>1520</v>
      </c>
      <c r="B1527" s="9" t="s">
        <v>1865</v>
      </c>
      <c r="C1527" s="9" t="s">
        <v>1837</v>
      </c>
      <c r="D1527" s="9" t="s">
        <v>1824</v>
      </c>
      <c r="E1527" s="9" t="s">
        <v>68</v>
      </c>
      <c r="F1527" s="7" t="s">
        <v>39</v>
      </c>
      <c r="G1527" s="11">
        <v>1</v>
      </c>
      <c r="H1527" s="11">
        <v>1</v>
      </c>
      <c r="I1527" s="14">
        <v>10000.0</v>
      </c>
      <c r="J1527" s="14"/>
      <c r="K1527" s="16">
        <f>IF(I1527&gt;0, J1527/I1527, 0)</f>
        <v>0</v>
      </c>
      <c r="L1527" s="14">
        <v>10000.0</v>
      </c>
      <c r="M1527" s="14"/>
      <c r="N1527" s="14">
        <f>L1527-M1527</f>
        <v>10000</v>
      </c>
      <c r="O1527" s="9" t="s">
        <v>40</v>
      </c>
      <c r="P1527" s="9" t="s">
        <v>71</v>
      </c>
      <c r="Q1527" s="9" t="s">
        <v>42</v>
      </c>
      <c r="R1527" s="7" t="s">
        <v>2292</v>
      </c>
      <c r="S1527" s="7" t="s">
        <v>42</v>
      </c>
    </row>
    <row r="1528" spans="1:19">
      <c r="A1528" s="8">
        <v>1521</v>
      </c>
      <c r="B1528" s="8" t="s">
        <v>1867</v>
      </c>
      <c r="C1528" s="8" t="s">
        <v>1837</v>
      </c>
      <c r="D1528" s="8" t="s">
        <v>1824</v>
      </c>
      <c r="E1528" s="8" t="s">
        <v>33</v>
      </c>
      <c r="F1528" s="6" t="s">
        <v>39</v>
      </c>
      <c r="G1528" s="10">
        <v>1</v>
      </c>
      <c r="H1528" s="10">
        <v>1</v>
      </c>
      <c r="I1528" s="13">
        <v>18000.0</v>
      </c>
      <c r="J1528" s="13"/>
      <c r="K1528" s="15">
        <f>IF(I1528&gt;0, J1528/I1528, 0)</f>
        <v>0</v>
      </c>
      <c r="L1528" s="13">
        <v>18000.0</v>
      </c>
      <c r="M1528" s="13"/>
      <c r="N1528" s="13">
        <f>L1528-M1528</f>
        <v>18000</v>
      </c>
      <c r="O1528" s="8" t="s">
        <v>40</v>
      </c>
      <c r="P1528" s="8" t="s">
        <v>41</v>
      </c>
      <c r="Q1528" s="8" t="s">
        <v>42</v>
      </c>
      <c r="R1528" s="6" t="s">
        <v>2120</v>
      </c>
      <c r="S1528" s="6" t="s">
        <v>42</v>
      </c>
    </row>
    <row r="1529" spans="1:19">
      <c r="A1529" s="9">
        <v>1522</v>
      </c>
      <c r="B1529" s="9" t="s">
        <v>1868</v>
      </c>
      <c r="C1529" s="9" t="s">
        <v>1837</v>
      </c>
      <c r="D1529" s="9" t="s">
        <v>1824</v>
      </c>
      <c r="E1529" s="9" t="s">
        <v>33</v>
      </c>
      <c r="F1529" s="7" t="s">
        <v>39</v>
      </c>
      <c r="G1529" s="11">
        <v>1</v>
      </c>
      <c r="H1529" s="11">
        <v>1</v>
      </c>
      <c r="I1529" s="14">
        <v>8000.0</v>
      </c>
      <c r="J1529" s="14"/>
      <c r="K1529" s="16">
        <f>IF(I1529&gt;0, J1529/I1529, 0)</f>
        <v>0</v>
      </c>
      <c r="L1529" s="14">
        <v>8000.0</v>
      </c>
      <c r="M1529" s="14"/>
      <c r="N1529" s="14">
        <f>L1529-M1529</f>
        <v>8000</v>
      </c>
      <c r="O1529" s="9" t="s">
        <v>40</v>
      </c>
      <c r="P1529" s="9" t="s">
        <v>41</v>
      </c>
      <c r="Q1529" s="9" t="s">
        <v>42</v>
      </c>
      <c r="R1529" s="7" t="s">
        <v>2167</v>
      </c>
      <c r="S1529" s="7" t="s">
        <v>42</v>
      </c>
    </row>
    <row r="1530" spans="1:19">
      <c r="A1530" s="8">
        <v>1523</v>
      </c>
      <c r="B1530" s="8" t="s">
        <v>1869</v>
      </c>
      <c r="C1530" s="8" t="s">
        <v>1837</v>
      </c>
      <c r="D1530" s="8" t="s">
        <v>1824</v>
      </c>
      <c r="E1530" s="8" t="s">
        <v>33</v>
      </c>
      <c r="F1530" s="6" t="s">
        <v>39</v>
      </c>
      <c r="G1530" s="10">
        <v>1</v>
      </c>
      <c r="H1530" s="10">
        <v>1</v>
      </c>
      <c r="I1530" s="13">
        <v>8000.0</v>
      </c>
      <c r="J1530" s="13"/>
      <c r="K1530" s="15">
        <f>IF(I1530&gt;0, J1530/I1530, 0)</f>
        <v>0</v>
      </c>
      <c r="L1530" s="13">
        <v>8000.0</v>
      </c>
      <c r="M1530" s="13"/>
      <c r="N1530" s="13">
        <f>L1530-M1530</f>
        <v>8000</v>
      </c>
      <c r="O1530" s="8" t="s">
        <v>40</v>
      </c>
      <c r="P1530" s="8" t="s">
        <v>41</v>
      </c>
      <c r="Q1530" s="8" t="s">
        <v>42</v>
      </c>
      <c r="R1530" s="6" t="s">
        <v>2121</v>
      </c>
      <c r="S1530" s="6" t="s">
        <v>42</v>
      </c>
    </row>
    <row r="1531" spans="1:19">
      <c r="A1531" s="9">
        <v>1524</v>
      </c>
      <c r="B1531" s="9" t="s">
        <v>1870</v>
      </c>
      <c r="C1531" s="9" t="s">
        <v>1837</v>
      </c>
      <c r="D1531" s="9" t="s">
        <v>1824</v>
      </c>
      <c r="E1531" s="9" t="s">
        <v>33</v>
      </c>
      <c r="F1531" s="7" t="s">
        <v>39</v>
      </c>
      <c r="G1531" s="11">
        <v>1</v>
      </c>
      <c r="H1531" s="11">
        <v>2</v>
      </c>
      <c r="I1531" s="14">
        <v>14000.0</v>
      </c>
      <c r="J1531" s="14"/>
      <c r="K1531" s="16">
        <f>IF(I1531&gt;0, J1531/I1531, 0)</f>
        <v>0</v>
      </c>
      <c r="L1531" s="14">
        <v>14000.0</v>
      </c>
      <c r="M1531" s="14"/>
      <c r="N1531" s="14">
        <f>L1531-M1531</f>
        <v>14000</v>
      </c>
      <c r="O1531" s="9" t="s">
        <v>40</v>
      </c>
      <c r="P1531" s="9" t="s">
        <v>41</v>
      </c>
      <c r="Q1531" s="9" t="s">
        <v>42</v>
      </c>
      <c r="R1531" s="7" t="s">
        <v>2234</v>
      </c>
      <c r="S1531" s="7" t="s">
        <v>42</v>
      </c>
    </row>
    <row r="1532" spans="1:19">
      <c r="A1532" s="8">
        <v>1525</v>
      </c>
      <c r="B1532" s="8" t="s">
        <v>1871</v>
      </c>
      <c r="C1532" s="8" t="s">
        <v>1837</v>
      </c>
      <c r="D1532" s="8" t="s">
        <v>1824</v>
      </c>
      <c r="E1532" s="8" t="s">
        <v>68</v>
      </c>
      <c r="F1532" s="6" t="s">
        <v>39</v>
      </c>
      <c r="G1532" s="10">
        <v>1</v>
      </c>
      <c r="H1532" s="10">
        <v>1</v>
      </c>
      <c r="I1532" s="13">
        <v>8000.0</v>
      </c>
      <c r="J1532" s="13"/>
      <c r="K1532" s="15">
        <f>IF(I1532&gt;0, J1532/I1532, 0)</f>
        <v>0</v>
      </c>
      <c r="L1532" s="13">
        <v>8000.0</v>
      </c>
      <c r="M1532" s="13"/>
      <c r="N1532" s="13">
        <f>L1532-M1532</f>
        <v>8000</v>
      </c>
      <c r="O1532" s="8" t="s">
        <v>40</v>
      </c>
      <c r="P1532" s="8" t="s">
        <v>71</v>
      </c>
      <c r="Q1532" s="8" t="s">
        <v>42</v>
      </c>
      <c r="R1532" s="6" t="s">
        <v>2191</v>
      </c>
      <c r="S1532" s="6" t="s">
        <v>42</v>
      </c>
    </row>
    <row r="1533" spans="1:19">
      <c r="A1533" s="9">
        <v>1526</v>
      </c>
      <c r="B1533" s="9" t="s">
        <v>1872</v>
      </c>
      <c r="C1533" s="9" t="s">
        <v>1837</v>
      </c>
      <c r="D1533" s="9" t="s">
        <v>1824</v>
      </c>
      <c r="E1533" s="9" t="s">
        <v>33</v>
      </c>
      <c r="F1533" s="7" t="s">
        <v>39</v>
      </c>
      <c r="G1533" s="11">
        <v>1</v>
      </c>
      <c r="H1533" s="11">
        <v>1</v>
      </c>
      <c r="I1533" s="14">
        <v>8000.0</v>
      </c>
      <c r="J1533" s="14"/>
      <c r="K1533" s="16">
        <f>IF(I1533&gt;0, J1533/I1533, 0)</f>
        <v>0</v>
      </c>
      <c r="L1533" s="14">
        <v>8000.0</v>
      </c>
      <c r="M1533" s="14"/>
      <c r="N1533" s="14">
        <f>L1533-M1533</f>
        <v>8000</v>
      </c>
      <c r="O1533" s="9" t="s">
        <v>40</v>
      </c>
      <c r="P1533" s="9" t="s">
        <v>41</v>
      </c>
      <c r="Q1533" s="9" t="s">
        <v>42</v>
      </c>
      <c r="R1533" s="7" t="s">
        <v>2116</v>
      </c>
      <c r="S1533" s="7" t="s">
        <v>42</v>
      </c>
    </row>
    <row r="1534" spans="1:19">
      <c r="A1534" s="8">
        <v>1527</v>
      </c>
      <c r="B1534" s="8" t="s">
        <v>1873</v>
      </c>
      <c r="C1534" s="8" t="s">
        <v>1837</v>
      </c>
      <c r="D1534" s="8" t="s">
        <v>1824</v>
      </c>
      <c r="E1534" s="8" t="s">
        <v>33</v>
      </c>
      <c r="F1534" s="6" t="s">
        <v>39</v>
      </c>
      <c r="G1534" s="10">
        <v>1</v>
      </c>
      <c r="H1534" s="10">
        <v>1</v>
      </c>
      <c r="I1534" s="13">
        <v>18000.0</v>
      </c>
      <c r="J1534" s="13"/>
      <c r="K1534" s="15">
        <f>IF(I1534&gt;0, J1534/I1534, 0)</f>
        <v>0</v>
      </c>
      <c r="L1534" s="13">
        <v>18000.0</v>
      </c>
      <c r="M1534" s="13"/>
      <c r="N1534" s="13">
        <f>L1534-M1534</f>
        <v>18000</v>
      </c>
      <c r="O1534" s="8" t="s">
        <v>40</v>
      </c>
      <c r="P1534" s="8" t="s">
        <v>41</v>
      </c>
      <c r="Q1534" s="8" t="s">
        <v>42</v>
      </c>
      <c r="R1534" s="6" t="s">
        <v>2120</v>
      </c>
      <c r="S1534" s="6" t="s">
        <v>42</v>
      </c>
    </row>
    <row r="1535" spans="1:19">
      <c r="A1535" s="9">
        <v>1528</v>
      </c>
      <c r="B1535" s="9" t="s">
        <v>1874</v>
      </c>
      <c r="C1535" s="9" t="s">
        <v>1837</v>
      </c>
      <c r="D1535" s="9" t="s">
        <v>1824</v>
      </c>
      <c r="E1535" s="9" t="s">
        <v>33</v>
      </c>
      <c r="F1535" s="7" t="s">
        <v>39</v>
      </c>
      <c r="G1535" s="11">
        <v>1</v>
      </c>
      <c r="H1535" s="11">
        <v>1</v>
      </c>
      <c r="I1535" s="14">
        <v>7000.0</v>
      </c>
      <c r="J1535" s="14"/>
      <c r="K1535" s="16">
        <f>IF(I1535&gt;0, J1535/I1535, 0)</f>
        <v>0</v>
      </c>
      <c r="L1535" s="14">
        <v>7000.0</v>
      </c>
      <c r="M1535" s="14"/>
      <c r="N1535" s="14">
        <f>L1535-M1535</f>
        <v>7000</v>
      </c>
      <c r="O1535" s="9" t="s">
        <v>40</v>
      </c>
      <c r="P1535" s="9" t="s">
        <v>41</v>
      </c>
      <c r="Q1535" s="9" t="s">
        <v>42</v>
      </c>
      <c r="R1535" s="7" t="s">
        <v>2109</v>
      </c>
      <c r="S1535" s="7" t="s">
        <v>42</v>
      </c>
    </row>
    <row r="1536" spans="1:19">
      <c r="A1536" s="8">
        <v>1529</v>
      </c>
      <c r="B1536" s="8" t="s">
        <v>1875</v>
      </c>
      <c r="C1536" s="8" t="s">
        <v>1837</v>
      </c>
      <c r="D1536" s="8" t="s">
        <v>1824</v>
      </c>
      <c r="E1536" s="8" t="s">
        <v>33</v>
      </c>
      <c r="F1536" s="6" t="s">
        <v>39</v>
      </c>
      <c r="G1536" s="10">
        <v>1</v>
      </c>
      <c r="H1536" s="10">
        <v>1</v>
      </c>
      <c r="I1536" s="13">
        <v>7000.0</v>
      </c>
      <c r="J1536" s="13"/>
      <c r="K1536" s="15">
        <f>IF(I1536&gt;0, J1536/I1536, 0)</f>
        <v>0</v>
      </c>
      <c r="L1536" s="13">
        <v>7000.0</v>
      </c>
      <c r="M1536" s="13"/>
      <c r="N1536" s="13">
        <f>L1536-M1536</f>
        <v>7000</v>
      </c>
      <c r="O1536" s="8" t="s">
        <v>40</v>
      </c>
      <c r="P1536" s="8" t="s">
        <v>41</v>
      </c>
      <c r="Q1536" s="8" t="s">
        <v>42</v>
      </c>
      <c r="R1536" s="6" t="s">
        <v>2155</v>
      </c>
      <c r="S1536" s="6" t="s">
        <v>42</v>
      </c>
    </row>
    <row r="1537" spans="1:19">
      <c r="A1537" s="9">
        <v>1530</v>
      </c>
      <c r="B1537" s="9" t="s">
        <v>1876</v>
      </c>
      <c r="C1537" s="9" t="s">
        <v>1837</v>
      </c>
      <c r="D1537" s="9" t="s">
        <v>1824</v>
      </c>
      <c r="E1537" s="9" t="s">
        <v>33</v>
      </c>
      <c r="F1537" s="7" t="s">
        <v>39</v>
      </c>
      <c r="G1537" s="11">
        <v>1</v>
      </c>
      <c r="H1537" s="11">
        <v>2</v>
      </c>
      <c r="I1537" s="14">
        <v>16000.0</v>
      </c>
      <c r="J1537" s="14"/>
      <c r="K1537" s="16">
        <f>IF(I1537&gt;0, J1537/I1537, 0)</f>
        <v>0</v>
      </c>
      <c r="L1537" s="14">
        <v>16000.0</v>
      </c>
      <c r="M1537" s="14"/>
      <c r="N1537" s="14">
        <f>L1537-M1537</f>
        <v>16000</v>
      </c>
      <c r="O1537" s="9" t="s">
        <v>40</v>
      </c>
      <c r="P1537" s="9" t="s">
        <v>41</v>
      </c>
      <c r="Q1537" s="9" t="s">
        <v>42</v>
      </c>
      <c r="R1537" s="7" t="s">
        <v>2168</v>
      </c>
      <c r="S1537" s="7" t="s">
        <v>42</v>
      </c>
    </row>
    <row r="1538" spans="1:19">
      <c r="A1538" s="8">
        <v>1531</v>
      </c>
      <c r="B1538" s="8" t="s">
        <v>1877</v>
      </c>
      <c r="C1538" s="8" t="s">
        <v>1878</v>
      </c>
      <c r="D1538" s="8" t="s">
        <v>1824</v>
      </c>
      <c r="E1538" s="8" t="s">
        <v>33</v>
      </c>
      <c r="F1538" s="6" t="s">
        <v>39</v>
      </c>
      <c r="G1538" s="10">
        <v>1</v>
      </c>
      <c r="H1538" s="10">
        <v>1</v>
      </c>
      <c r="I1538" s="13">
        <v>8000.0</v>
      </c>
      <c r="J1538" s="13"/>
      <c r="K1538" s="15">
        <f>IF(I1538&gt;0, J1538/I1538, 0)</f>
        <v>0</v>
      </c>
      <c r="L1538" s="13">
        <v>8000.0</v>
      </c>
      <c r="M1538" s="13"/>
      <c r="N1538" s="13">
        <f>L1538-M1538</f>
        <v>8000</v>
      </c>
      <c r="O1538" s="8" t="s">
        <v>40</v>
      </c>
      <c r="P1538" s="8" t="s">
        <v>41</v>
      </c>
      <c r="Q1538" s="8" t="s">
        <v>42</v>
      </c>
      <c r="R1538" s="6" t="s">
        <v>2152</v>
      </c>
      <c r="S1538" s="6" t="s">
        <v>42</v>
      </c>
    </row>
    <row r="1539" spans="1:19">
      <c r="A1539" s="9">
        <v>1532</v>
      </c>
      <c r="B1539" s="9" t="s">
        <v>1879</v>
      </c>
      <c r="C1539" s="9" t="s">
        <v>1878</v>
      </c>
      <c r="D1539" s="9" t="s">
        <v>1824</v>
      </c>
      <c r="E1539" s="9" t="s">
        <v>33</v>
      </c>
      <c r="F1539" s="7" t="s">
        <v>39</v>
      </c>
      <c r="G1539" s="11">
        <v>1</v>
      </c>
      <c r="H1539" s="11">
        <v>1</v>
      </c>
      <c r="I1539" s="14">
        <v>18000.0</v>
      </c>
      <c r="J1539" s="14"/>
      <c r="K1539" s="16">
        <f>IF(I1539&gt;0, J1539/I1539, 0)</f>
        <v>0</v>
      </c>
      <c r="L1539" s="14">
        <v>18000.0</v>
      </c>
      <c r="M1539" s="14"/>
      <c r="N1539" s="14">
        <f>L1539-M1539</f>
        <v>18000</v>
      </c>
      <c r="O1539" s="9" t="s">
        <v>40</v>
      </c>
      <c r="P1539" s="9" t="s">
        <v>41</v>
      </c>
      <c r="Q1539" s="9" t="s">
        <v>42</v>
      </c>
      <c r="R1539" s="7" t="s">
        <v>2160</v>
      </c>
      <c r="S1539" s="7" t="s">
        <v>42</v>
      </c>
    </row>
    <row r="1540" spans="1:19">
      <c r="A1540" s="8">
        <v>1533</v>
      </c>
      <c r="B1540" s="8" t="s">
        <v>1880</v>
      </c>
      <c r="C1540" s="8" t="s">
        <v>1878</v>
      </c>
      <c r="D1540" s="8" t="s">
        <v>1824</v>
      </c>
      <c r="E1540" s="8" t="s">
        <v>33</v>
      </c>
      <c r="F1540" s="6" t="s">
        <v>39</v>
      </c>
      <c r="G1540" s="10">
        <v>1</v>
      </c>
      <c r="H1540" s="10">
        <v>8</v>
      </c>
      <c r="I1540" s="13">
        <v>56000.0</v>
      </c>
      <c r="J1540" s="13"/>
      <c r="K1540" s="15">
        <f>IF(I1540&gt;0, J1540/I1540, 0)</f>
        <v>0</v>
      </c>
      <c r="L1540" s="13">
        <v>56000.0</v>
      </c>
      <c r="M1540" s="13"/>
      <c r="N1540" s="13">
        <f>L1540-M1540</f>
        <v>56000</v>
      </c>
      <c r="O1540" s="8" t="s">
        <v>40</v>
      </c>
      <c r="P1540" s="8" t="s">
        <v>41</v>
      </c>
      <c r="Q1540" s="8" t="s">
        <v>42</v>
      </c>
      <c r="R1540" s="6" t="s">
        <v>2293</v>
      </c>
      <c r="S1540" s="6" t="s">
        <v>42</v>
      </c>
    </row>
    <row r="1541" spans="1:19">
      <c r="A1541" s="9">
        <v>1534</v>
      </c>
      <c r="B1541" s="9" t="s">
        <v>1881</v>
      </c>
      <c r="C1541" s="9" t="s">
        <v>1878</v>
      </c>
      <c r="D1541" s="9" t="s">
        <v>1824</v>
      </c>
      <c r="E1541" s="9" t="s">
        <v>33</v>
      </c>
      <c r="F1541" s="7" t="s">
        <v>39</v>
      </c>
      <c r="G1541" s="11">
        <v>1</v>
      </c>
      <c r="H1541" s="11">
        <v>8</v>
      </c>
      <c r="I1541" s="14">
        <v>56000.0</v>
      </c>
      <c r="J1541" s="14"/>
      <c r="K1541" s="16">
        <f>IF(I1541&gt;0, J1541/I1541, 0)</f>
        <v>0</v>
      </c>
      <c r="L1541" s="14">
        <v>56000.0</v>
      </c>
      <c r="M1541" s="14"/>
      <c r="N1541" s="14">
        <f>L1541-M1541</f>
        <v>56000</v>
      </c>
      <c r="O1541" s="9" t="s">
        <v>40</v>
      </c>
      <c r="P1541" s="9" t="s">
        <v>41</v>
      </c>
      <c r="Q1541" s="9" t="s">
        <v>42</v>
      </c>
      <c r="R1541" s="7" t="s">
        <v>2294</v>
      </c>
      <c r="S1541" s="7" t="s">
        <v>42</v>
      </c>
    </row>
    <row r="1542" spans="1:19">
      <c r="A1542" s="8">
        <v>1535</v>
      </c>
      <c r="B1542" s="8" t="s">
        <v>1882</v>
      </c>
      <c r="C1542" s="8" t="s">
        <v>1878</v>
      </c>
      <c r="D1542" s="8" t="s">
        <v>1824</v>
      </c>
      <c r="E1542" s="8" t="s">
        <v>33</v>
      </c>
      <c r="F1542" s="6" t="s">
        <v>39</v>
      </c>
      <c r="G1542" s="10">
        <v>1</v>
      </c>
      <c r="H1542" s="10">
        <v>1</v>
      </c>
      <c r="I1542" s="13">
        <v>16500.0</v>
      </c>
      <c r="J1542" s="13"/>
      <c r="K1542" s="15">
        <f>IF(I1542&gt;0, J1542/I1542, 0)</f>
        <v>0</v>
      </c>
      <c r="L1542" s="13">
        <v>16500.0</v>
      </c>
      <c r="M1542" s="13"/>
      <c r="N1542" s="13">
        <f>L1542-M1542</f>
        <v>16500</v>
      </c>
      <c r="O1542" s="8" t="s">
        <v>40</v>
      </c>
      <c r="P1542" s="8" t="s">
        <v>41</v>
      </c>
      <c r="Q1542" s="8" t="s">
        <v>42</v>
      </c>
      <c r="R1542" s="6" t="s">
        <v>2118</v>
      </c>
      <c r="S1542" s="6" t="s">
        <v>42</v>
      </c>
    </row>
    <row r="1543" spans="1:19">
      <c r="A1543" s="9">
        <v>1536</v>
      </c>
      <c r="B1543" s="9" t="s">
        <v>1883</v>
      </c>
      <c r="C1543" s="9" t="s">
        <v>1878</v>
      </c>
      <c r="D1543" s="9" t="s">
        <v>1824</v>
      </c>
      <c r="E1543" s="9" t="s">
        <v>33</v>
      </c>
      <c r="F1543" s="7" t="s">
        <v>39</v>
      </c>
      <c r="G1543" s="11">
        <v>1</v>
      </c>
      <c r="H1543" s="11">
        <v>1</v>
      </c>
      <c r="I1543" s="14">
        <v>7500.0</v>
      </c>
      <c r="J1543" s="14"/>
      <c r="K1543" s="16">
        <f>IF(I1543&gt;0, J1543/I1543, 0)</f>
        <v>0</v>
      </c>
      <c r="L1543" s="14">
        <v>7500.0</v>
      </c>
      <c r="M1543" s="14"/>
      <c r="N1543" s="14">
        <f>L1543-M1543</f>
        <v>7500</v>
      </c>
      <c r="O1543" s="9" t="s">
        <v>40</v>
      </c>
      <c r="P1543" s="9" t="s">
        <v>41</v>
      </c>
      <c r="Q1543" s="9" t="s">
        <v>42</v>
      </c>
      <c r="R1543" s="7" t="s">
        <v>2128</v>
      </c>
      <c r="S1543" s="7" t="s">
        <v>42</v>
      </c>
    </row>
    <row r="1544" spans="1:19">
      <c r="A1544" s="8">
        <v>1537</v>
      </c>
      <c r="B1544" s="8" t="s">
        <v>1884</v>
      </c>
      <c r="C1544" s="8" t="s">
        <v>1878</v>
      </c>
      <c r="D1544" s="8" t="s">
        <v>1824</v>
      </c>
      <c r="E1544" s="8" t="s">
        <v>33</v>
      </c>
      <c r="F1544" s="6" t="s">
        <v>39</v>
      </c>
      <c r="G1544" s="10">
        <v>1</v>
      </c>
      <c r="H1544" s="10">
        <v>1</v>
      </c>
      <c r="I1544" s="13">
        <v>18000.0</v>
      </c>
      <c r="J1544" s="13"/>
      <c r="K1544" s="15">
        <f>IF(I1544&gt;0, J1544/I1544, 0)</f>
        <v>0</v>
      </c>
      <c r="L1544" s="13">
        <v>18000.0</v>
      </c>
      <c r="M1544" s="13"/>
      <c r="N1544" s="13">
        <f>L1544-M1544</f>
        <v>18000</v>
      </c>
      <c r="O1544" s="8" t="s">
        <v>40</v>
      </c>
      <c r="P1544" s="8" t="s">
        <v>41</v>
      </c>
      <c r="Q1544" s="8" t="s">
        <v>42</v>
      </c>
      <c r="R1544" s="6" t="s">
        <v>2119</v>
      </c>
      <c r="S1544" s="6" t="s">
        <v>42</v>
      </c>
    </row>
    <row r="1545" spans="1:19">
      <c r="A1545" s="9">
        <v>1538</v>
      </c>
      <c r="B1545" s="9" t="s">
        <v>1885</v>
      </c>
      <c r="C1545" s="9" t="s">
        <v>1878</v>
      </c>
      <c r="D1545" s="9" t="s">
        <v>1824</v>
      </c>
      <c r="E1545" s="9" t="s">
        <v>33</v>
      </c>
      <c r="F1545" s="7" t="s">
        <v>39</v>
      </c>
      <c r="G1545" s="11">
        <v>1</v>
      </c>
      <c r="H1545" s="11">
        <v>1</v>
      </c>
      <c r="I1545" s="14">
        <v>8500.0</v>
      </c>
      <c r="J1545" s="14"/>
      <c r="K1545" s="16">
        <f>IF(I1545&gt;0, J1545/I1545, 0)</f>
        <v>0</v>
      </c>
      <c r="L1545" s="14">
        <v>8500.0</v>
      </c>
      <c r="M1545" s="14"/>
      <c r="N1545" s="14">
        <f>L1545-M1545</f>
        <v>8500</v>
      </c>
      <c r="O1545" s="9" t="s">
        <v>40</v>
      </c>
      <c r="P1545" s="9" t="s">
        <v>41</v>
      </c>
      <c r="Q1545" s="9" t="s">
        <v>42</v>
      </c>
      <c r="R1545" s="7" t="s">
        <v>2076</v>
      </c>
      <c r="S1545" s="7" t="s">
        <v>42</v>
      </c>
    </row>
    <row r="1546" spans="1:19">
      <c r="A1546" s="8">
        <v>1539</v>
      </c>
      <c r="B1546" s="8" t="s">
        <v>1886</v>
      </c>
      <c r="C1546" s="8" t="s">
        <v>1878</v>
      </c>
      <c r="D1546" s="8" t="s">
        <v>1824</v>
      </c>
      <c r="E1546" s="8" t="s">
        <v>33</v>
      </c>
      <c r="F1546" s="6" t="s">
        <v>39</v>
      </c>
      <c r="G1546" s="10">
        <v>1</v>
      </c>
      <c r="H1546" s="10">
        <v>2</v>
      </c>
      <c r="I1546" s="13">
        <v>16000.0</v>
      </c>
      <c r="J1546" s="13"/>
      <c r="K1546" s="15">
        <f>IF(I1546&gt;0, J1546/I1546, 0)</f>
        <v>0</v>
      </c>
      <c r="L1546" s="13">
        <v>16000.0</v>
      </c>
      <c r="M1546" s="13"/>
      <c r="N1546" s="13">
        <f>L1546-M1546</f>
        <v>16000</v>
      </c>
      <c r="O1546" s="8" t="s">
        <v>40</v>
      </c>
      <c r="P1546" s="8" t="s">
        <v>41</v>
      </c>
      <c r="Q1546" s="8" t="s">
        <v>42</v>
      </c>
      <c r="R1546" s="6" t="s">
        <v>2104</v>
      </c>
      <c r="S1546" s="6" t="s">
        <v>42</v>
      </c>
    </row>
    <row r="1547" spans="1:19">
      <c r="A1547" s="9">
        <v>1540</v>
      </c>
      <c r="B1547" s="9" t="s">
        <v>1887</v>
      </c>
      <c r="C1547" s="9" t="s">
        <v>1878</v>
      </c>
      <c r="D1547" s="9" t="s">
        <v>1824</v>
      </c>
      <c r="E1547" s="9" t="s">
        <v>33</v>
      </c>
      <c r="F1547" s="7" t="s">
        <v>39</v>
      </c>
      <c r="G1547" s="11">
        <v>1</v>
      </c>
      <c r="H1547" s="11">
        <v>2</v>
      </c>
      <c r="I1547" s="14">
        <v>17600.0</v>
      </c>
      <c r="J1547" s="14"/>
      <c r="K1547" s="16">
        <f>IF(I1547&gt;0, J1547/I1547, 0)</f>
        <v>0</v>
      </c>
      <c r="L1547" s="14">
        <v>17600.0</v>
      </c>
      <c r="M1547" s="14"/>
      <c r="N1547" s="14">
        <f>L1547-M1547</f>
        <v>17600</v>
      </c>
      <c r="O1547" s="9" t="s">
        <v>40</v>
      </c>
      <c r="P1547" s="9" t="s">
        <v>41</v>
      </c>
      <c r="Q1547" s="9" t="s">
        <v>42</v>
      </c>
      <c r="R1547" s="7" t="s">
        <v>2210</v>
      </c>
      <c r="S1547" s="7" t="s">
        <v>42</v>
      </c>
    </row>
    <row r="1548" spans="1:19">
      <c r="A1548" s="8">
        <v>1541</v>
      </c>
      <c r="B1548" s="8" t="s">
        <v>1888</v>
      </c>
      <c r="C1548" s="8" t="s">
        <v>1889</v>
      </c>
      <c r="D1548" s="8" t="s">
        <v>1890</v>
      </c>
      <c r="E1548" s="8" t="s">
        <v>33</v>
      </c>
      <c r="F1548" s="6" t="s">
        <v>39</v>
      </c>
      <c r="G1548" s="10">
        <v>1</v>
      </c>
      <c r="H1548" s="10">
        <v>1</v>
      </c>
      <c r="I1548" s="13">
        <v>9500.0</v>
      </c>
      <c r="J1548" s="13"/>
      <c r="K1548" s="15">
        <f>IF(I1548&gt;0, J1548/I1548, 0)</f>
        <v>0</v>
      </c>
      <c r="L1548" s="13">
        <v>9500.0</v>
      </c>
      <c r="M1548" s="13"/>
      <c r="N1548" s="13">
        <f>L1548-M1548</f>
        <v>9500</v>
      </c>
      <c r="O1548" s="8" t="s">
        <v>40</v>
      </c>
      <c r="P1548" s="8" t="s">
        <v>41</v>
      </c>
      <c r="Q1548" s="8" t="s">
        <v>42</v>
      </c>
      <c r="R1548" s="6" t="s">
        <v>2295</v>
      </c>
      <c r="S1548" s="6" t="s">
        <v>42</v>
      </c>
    </row>
    <row r="1549" spans="1:19">
      <c r="A1549" s="5" t="s">
        <v>2296</v>
      </c>
      <c r="B1549" s="5"/>
      <c r="C1549" s="5"/>
      <c r="D1549" s="5"/>
      <c r="E1549" s="5"/>
      <c r="F1549" s="5"/>
      <c r="G1549" s="12">
        <f>SUBTOTAL(109, G8:G1548)</f>
        <v>1541</v>
      </c>
      <c r="H1549" s="12">
        <f>SUBTOTAL(109, H8:H1548)</f>
        <v>1922</v>
      </c>
      <c r="I1549" s="18">
        <f>SUBTOTAL(109, I8:I1548)</f>
        <v>19179900</v>
      </c>
      <c r="J1549" s="18">
        <f>SUBTOTAL(109, J8:J1548)</f>
        <v>17700</v>
      </c>
      <c r="K1549" s="17">
        <f>IF(I1549&gt;0, J1549/I1549, 0)</f>
        <v>0.0009228410992758</v>
      </c>
      <c r="L1549" s="18">
        <f>SUBTOTAL(109, L8:L1548)</f>
        <v>19162200</v>
      </c>
      <c r="M1549" s="18">
        <f>SUBTOTAL(109, M8:M1548)</f>
        <v>0</v>
      </c>
      <c r="N1549" s="18">
        <f>SUBTOTAL(109, N8:N1548)</f>
        <v>19162200</v>
      </c>
      <c r="O1549" s="5" t="str">
        <f>SUBTOTAL(103, A8:A1548) &amp; " чеков"</f>
        <v>1541 чеков</v>
      </c>
      <c r="P1549" s="5"/>
      <c r="Q1549" s="5"/>
      <c r="R1549" s="5"/>
      <c r="S1549" s="5"/>
    </row>
  </sheetData>
  <autoFilter ref="A7:S1548"/>
  <mergeCells>
    <mergeCell ref="A5:F5"/>
    <mergeCell ref="O5:S5"/>
    <mergeCell ref="A1549:F1549"/>
    <mergeCell ref="O1549:S154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M10"/>
  <sheetViews>
    <sheetView tabSelected="0" workbookViewId="0" showGridLines="true" showRowColHeaders="1">
      <pane ySplit="7" activePane="bottomLeft" state="frozen" topLeftCell="A8"/>
      <selection pane="bottomLeft" activeCell="M8" sqref="M8:M10"/>
    </sheetView>
  </sheetViews>
  <sheetFormatPr defaultRowHeight="14.4" outlineLevelRow="0" outlineLevelCol="0"/>
  <cols>
    <col min="1" max="1" width="121.316" bestFit="true" customWidth="true" style="0"/>
    <col min="2" max="2" width="22.164" bestFit="true" customWidth="true" style="0"/>
    <col min="3" max="3" width="21.164" bestFit="true" customWidth="true" style="0"/>
    <col min="4" max="4" width="23.497" bestFit="true" customWidth="true" style="0"/>
    <col min="5" max="5" width="26.663" bestFit="true" customWidth="true" style="0"/>
    <col min="6" max="6" width="23.497" bestFit="true" customWidth="true" style="0"/>
    <col min="7" max="7" width="31.162" bestFit="true" customWidth="true" style="0"/>
    <col min="8" max="8" width="26.663" bestFit="true" customWidth="true" style="0"/>
    <col min="9" max="9" width="23.497" bestFit="true" customWidth="true" style="0"/>
    <col min="10" max="10" width="25.663" bestFit="true" customWidth="true" style="0"/>
    <col min="11" max="11" width="33.495" bestFit="true" customWidth="true" style="0"/>
    <col min="12" max="12" width="34.662" bestFit="true" customWidth="true" style="0"/>
    <col min="13" max="13" width="34.662" bestFit="true" customWidth="true" style="0"/>
  </cols>
  <sheetData>
    <row r="2" spans="1:13">
      <c r="A2" s="1" t="s">
        <v>2297</v>
      </c>
    </row>
    <row r="3" spans="1:13">
      <c r="A3" s="2" t="s">
        <v>2298</v>
      </c>
    </row>
    <row r="5" spans="1:13" customHeight="1" ht="22">
      <c r="A5" s="4" t="s">
        <v>1892</v>
      </c>
      <c r="B5" s="4"/>
      <c r="C5" s="4"/>
      <c r="D5" s="4">
        <f>SUBTOTAL(109, D8:D9)</f>
        <v>1541</v>
      </c>
      <c r="E5" s="4">
        <f>SUBTOTAL(109, E8:E9)</f>
        <v>1922</v>
      </c>
      <c r="F5" s="4">
        <f>SUBTOTAL(109, F8:F9)</f>
        <v>19179900</v>
      </c>
      <c r="G5" s="4">
        <f>SUBTOTAL(109, G8:G9)</f>
        <v>17700</v>
      </c>
      <c r="H5" s="4">
        <f>SUBTOTAL(109, H8:H9)</f>
        <v>19162200</v>
      </c>
      <c r="I5" s="4">
        <f>SUBTOTAL(109, I8:I9)</f>
        <v>0</v>
      </c>
      <c r="J5" s="4">
        <f>SUBTOTAL(109, J8:J9)</f>
        <v>19162200</v>
      </c>
      <c r="K5" s="4">
        <f>IF(D5&gt;0, H5/D5, 0)</f>
        <v>12434.91239454899369</v>
      </c>
      <c r="L5" s="4">
        <f>IF(D5&gt;0, E5/D5, 0)</f>
        <v>1.24724205061648</v>
      </c>
      <c r="M5" s="4" t="s">
        <v>1981</v>
      </c>
    </row>
    <row r="7" spans="1:13" customHeight="1" ht="28">
      <c r="A7" s="3" t="s">
        <v>2</v>
      </c>
      <c r="B7" s="3" t="s">
        <v>2299</v>
      </c>
      <c r="C7" s="3" t="s">
        <v>2300</v>
      </c>
      <c r="D7" s="3" t="s">
        <v>1993</v>
      </c>
      <c r="E7" s="3" t="s">
        <v>2301</v>
      </c>
      <c r="F7" s="3" t="s">
        <v>18</v>
      </c>
      <c r="G7" s="3" t="s">
        <v>2302</v>
      </c>
      <c r="H7" s="3" t="s">
        <v>2303</v>
      </c>
      <c r="I7" s="3" t="s">
        <v>1995</v>
      </c>
      <c r="J7" s="3" t="s">
        <v>23</v>
      </c>
      <c r="K7" s="3" t="s">
        <v>2304</v>
      </c>
      <c r="L7" s="3" t="s">
        <v>2305</v>
      </c>
      <c r="M7" s="3" t="s">
        <v>1987</v>
      </c>
    </row>
    <row r="8" spans="1:13">
      <c r="A8" s="8">
        <v>1</v>
      </c>
      <c r="B8" s="6" t="s">
        <v>39</v>
      </c>
      <c r="C8" s="8" t="s">
        <v>2306</v>
      </c>
      <c r="D8" s="10">
        <v>1378</v>
      </c>
      <c r="E8" s="10">
        <v>1737</v>
      </c>
      <c r="F8" s="13">
        <v>17224900.0</v>
      </c>
      <c r="G8" s="13">
        <v>16500.0</v>
      </c>
      <c r="H8" s="13">
        <v>17208400.0</v>
      </c>
      <c r="I8" s="13"/>
      <c r="J8" s="13">
        <v>17208400.0</v>
      </c>
      <c r="K8" s="13">
        <f>IF(D8&gt;0, H8/D8, 0)</f>
        <v>12487.95355587808444</v>
      </c>
      <c r="L8" s="21">
        <f>IF(D8&gt;0, E8/D8, 0)</f>
        <v>1.26052249637155</v>
      </c>
      <c r="M8" s="15">
        <f>IF(H$5&gt;0, H8/H$5, 0)</f>
        <v>0.89803884731398</v>
      </c>
    </row>
    <row r="9" spans="1:13">
      <c r="A9" s="9">
        <v>2</v>
      </c>
      <c r="B9" s="7" t="s">
        <v>58</v>
      </c>
      <c r="C9" s="9" t="s">
        <v>2306</v>
      </c>
      <c r="D9" s="11">
        <v>163</v>
      </c>
      <c r="E9" s="11">
        <v>185</v>
      </c>
      <c r="F9" s="14">
        <v>1955000.0</v>
      </c>
      <c r="G9" s="14">
        <v>1200.0</v>
      </c>
      <c r="H9" s="14">
        <v>1953800.0</v>
      </c>
      <c r="I9" s="14"/>
      <c r="J9" s="14">
        <v>1953800.0</v>
      </c>
      <c r="K9" s="14">
        <f>IF(D9&gt;0, H9/D9, 0)</f>
        <v>11986.5030674846621</v>
      </c>
      <c r="L9" s="22">
        <f>IF(D9&gt;0, E9/D9, 0)</f>
        <v>1.13496932515337</v>
      </c>
      <c r="M9" s="16">
        <f>IF(H$5&gt;0, H9/H$5, 0)</f>
        <v>0.10196115268602</v>
      </c>
    </row>
    <row r="10" spans="1:13">
      <c r="A10" s="5" t="s">
        <v>2307</v>
      </c>
      <c r="B10" s="5"/>
      <c r="C10" s="5"/>
      <c r="D10" s="12">
        <f>SUBTOTAL(109, D8:D9)</f>
        <v>1541</v>
      </c>
      <c r="E10" s="12">
        <f>SUBTOTAL(109, E8:E9)</f>
        <v>1922</v>
      </c>
      <c r="F10" s="18">
        <f>SUBTOTAL(109, F8:F9)</f>
        <v>19179900</v>
      </c>
      <c r="G10" s="18">
        <f>SUBTOTAL(109, G8:G9)</f>
        <v>17700</v>
      </c>
      <c r="H10" s="18">
        <f>SUBTOTAL(109, H8:H9)</f>
        <v>19162200</v>
      </c>
      <c r="I10" s="18">
        <f>SUBTOTAL(109, I8:I9)</f>
        <v>0</v>
      </c>
      <c r="J10" s="18">
        <f>SUBTOTAL(109, J8:J9)</f>
        <v>19162200</v>
      </c>
      <c r="K10" s="18">
        <f>IF(D10&gt;0, H10/D10, 0)</f>
        <v>12434.91239454899369</v>
      </c>
      <c r="L10" s="23">
        <f>IF(D10&gt;0, E10/D10, 0)</f>
        <v>1.24724205061648</v>
      </c>
      <c r="M10" s="17" t="s">
        <v>1981</v>
      </c>
    </row>
  </sheetData>
  <autoFilter ref="A7:M9"/>
  <mergeCells>
    <mergeCell ref="A5:C5"/>
    <mergeCell ref="A10:C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1"/>
  <sheetViews>
    <sheetView tabSelected="0" workbookViewId="0" showGridLines="true" showRowColHeaders="1">
      <selection activeCell="A5" sqref="A5:B11"/>
    </sheetView>
  </sheetViews>
  <sheetFormatPr defaultRowHeight="14.4" outlineLevelRow="0" outlineLevelCol="0"/>
  <cols>
    <col min="1" max="1" width="30" customWidth="true" style="0"/>
    <col min="2" max="2" width="90" customWidth="true" style="0"/>
  </cols>
  <sheetData>
    <row r="2" spans="1:2">
      <c r="A2" s="24" t="s">
        <v>2308</v>
      </c>
    </row>
    <row r="3" spans="1:2">
      <c r="A3" s="2" t="s">
        <v>2309</v>
      </c>
    </row>
    <row r="5" spans="1:2" customHeight="1" ht="24">
      <c r="A5" s="25" t="s">
        <v>2310</v>
      </c>
      <c r="B5" s="27" t="s">
        <v>2311</v>
      </c>
    </row>
    <row r="6" spans="1:2" customHeight="1" ht="24">
      <c r="A6" s="26" t="s">
        <v>2312</v>
      </c>
      <c r="B6" s="28" t="s">
        <v>2313</v>
      </c>
    </row>
    <row r="7" spans="1:2" customHeight="1" ht="24">
      <c r="A7" s="25" t="s">
        <v>2314</v>
      </c>
      <c r="B7" s="27" t="s">
        <v>2315</v>
      </c>
    </row>
    <row r="8" spans="1:2" customHeight="1" ht="24">
      <c r="A8" s="26" t="s">
        <v>2316</v>
      </c>
      <c r="B8" s="28" t="s">
        <v>2317</v>
      </c>
    </row>
    <row r="9" spans="1:2" customHeight="1" ht="24">
      <c r="A9" s="25" t="s">
        <v>2318</v>
      </c>
      <c r="B9" s="27" t="s">
        <v>2319</v>
      </c>
    </row>
    <row r="10" spans="1:2" customHeight="1" ht="24">
      <c r="A10" s="26" t="s">
        <v>2320</v>
      </c>
      <c r="B10" s="28" t="s">
        <v>2321</v>
      </c>
    </row>
    <row r="11" spans="1:2" customHeight="1" ht="24">
      <c r="A11" s="25" t="s">
        <v>2322</v>
      </c>
      <c r="B11" s="27" t="s">
        <v>2323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Реестр продаж</vt:lpstr>
      <vt:lpstr>По номенклатуре</vt:lpstr>
      <vt:lpstr>Категории и виды</vt:lpstr>
      <vt:lpstr>Динамика по дням</vt:lpstr>
      <vt:lpstr>Журнал чеков</vt:lpstr>
      <vt:lpstr>Выработка сотрудников</vt:lpstr>
      <vt:lpstr>Справка об учете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2026-10-31T02:30:40+05:00</dcterms:created>
  <dcterms:modified xsi:type="dcterms:W3CDTF">2026-10-31T02:30:40+05:00</dcterms:modified>
  <dc:title>Untitled Spreadsheet</dc:title>
  <dc:description/>
  <dc:subject/>
  <cp:keywords/>
  <cp:category/>
</cp:coreProperties>
</file>